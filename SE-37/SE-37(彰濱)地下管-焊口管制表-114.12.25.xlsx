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智源_釋仁\2025_勝一\SE-37\"/>
    </mc:Choice>
  </mc:AlternateContent>
  <xr:revisionPtr revIDLastSave="0" documentId="13_ncr:1_{B30701C3-273E-46A8-82DF-8A0A424F15F6}" xr6:coauthVersionLast="47" xr6:coauthVersionMax="47" xr10:uidLastSave="{00000000-0000-0000-0000-000000000000}"/>
  <bookViews>
    <workbookView xWindow="-108" yWindow="-108" windowWidth="23256" windowHeight="12576" tabRatio="874" firstSheet="1" activeTab="4" xr2:uid="{00000000-000D-0000-FFFF-FFFF00000000}"/>
  </bookViews>
  <sheets>
    <sheet name="銲接型式" sheetId="4" state="hidden" r:id="rId1"/>
    <sheet name="DRAWING LIST" sheetId="29" r:id="rId2"/>
    <sheet name="分析" sheetId="19" r:id="rId3"/>
    <sheet name="分析-114.05.21預製完成" sheetId="20" state="hidden" r:id="rId4"/>
    <sheet name="焊口編號明細" sheetId="5" r:id="rId5"/>
    <sheet name="RTPT清單" sheetId="30" r:id="rId6"/>
    <sheet name="缺焊口清單" sheetId="17" state="hidden" r:id="rId7"/>
    <sheet name="接頭需求" sheetId="18" state="hidden" r:id="rId8"/>
    <sheet name="焊口登報表" sheetId="28" r:id="rId9"/>
    <sheet name="現場PE包覆數量" sheetId="32" r:id="rId10"/>
    <sheet name="PE包覆分析" sheetId="33" r:id="rId11"/>
  </sheets>
  <definedNames>
    <definedName name="__4aa1_" localSheetId="7" hidden="1">{#N/A,#N/A,FALSE,"CCTV"}</definedName>
    <definedName name="__4aa1_" localSheetId="9" hidden="1">{#N/A,#N/A,FALSE,"CCTV"}</definedName>
    <definedName name="__4aa1_" hidden="1">{#N/A,#N/A,FALSE,"CCTV"}</definedName>
    <definedName name="__aa1" localSheetId="7" hidden="1">{#N/A,#N/A,FALSE,"CCTV"}</definedName>
    <definedName name="__aa1" localSheetId="9" hidden="1">{#N/A,#N/A,FALSE,"CCTV"}</definedName>
    <definedName name="__aa1" hidden="1">{#N/A,#N/A,FALSE,"CCTV"}</definedName>
    <definedName name="__cf2" localSheetId="7" hidden="1">{#N/A,#N/A,FALSE,"Variables";#N/A,#N/A,FALSE,"NPV Cashflows NZ$";#N/A,#N/A,FALSE,"Cashflows NZ$"}</definedName>
    <definedName name="__cf2" localSheetId="9" hidden="1">{#N/A,#N/A,FALSE,"Variables";#N/A,#N/A,FALSE,"NPV Cashflows NZ$";#N/A,#N/A,FALSE,"Cashflows NZ$"}</definedName>
    <definedName name="__cf2" hidden="1">{#N/A,#N/A,FALSE,"Variables";#N/A,#N/A,FALSE,"NPV Cashflows NZ$";#N/A,#N/A,FALSE,"Cashflows NZ$"}</definedName>
    <definedName name="_41aa1_" localSheetId="7" hidden="1">{#N/A,#N/A,FALSE,"CCTV"}</definedName>
    <definedName name="_41aa1_" localSheetId="9" hidden="1">{#N/A,#N/A,FALSE,"CCTV"}</definedName>
    <definedName name="_41aa1_" hidden="1">{#N/A,#N/A,FALSE,"CCTV"}</definedName>
    <definedName name="_4aa1_" localSheetId="7" hidden="1">{#N/A,#N/A,FALSE,"CCTV"}</definedName>
    <definedName name="_4aa1_" localSheetId="9" hidden="1">{#N/A,#N/A,FALSE,"CCTV"}</definedName>
    <definedName name="_4aa1_" hidden="1">{#N/A,#N/A,FALSE,"CCTV"}</definedName>
    <definedName name="_6cf2_" localSheetId="7" hidden="1">{#N/A,#N/A,FALSE,"Variables";#N/A,#N/A,FALSE,"NPV Cashflows NZ$";#N/A,#N/A,FALSE,"Cashflows NZ$"}</definedName>
    <definedName name="_6cf2_" localSheetId="9" hidden="1">{#N/A,#N/A,FALSE,"Variables";#N/A,#N/A,FALSE,"NPV Cashflows NZ$";#N/A,#N/A,FALSE,"Cashflows NZ$"}</definedName>
    <definedName name="_6cf2_" hidden="1">{#N/A,#N/A,FALSE,"Variables";#N/A,#N/A,FALSE,"NPV Cashflows NZ$";#N/A,#N/A,FALSE,"Cashflows NZ$"}</definedName>
    <definedName name="_aa1" localSheetId="7" hidden="1">{#N/A,#N/A,FALSE,"CCTV"}</definedName>
    <definedName name="_aa1" localSheetId="9" hidden="1">{#N/A,#N/A,FALSE,"CCTV"}</definedName>
    <definedName name="_aa1" hidden="1">{#N/A,#N/A,FALSE,"CCTV"}</definedName>
    <definedName name="_cf2" localSheetId="7" hidden="1">{#N/A,#N/A,FALSE,"Variables";#N/A,#N/A,FALSE,"NPV Cashflows NZ$";#N/A,#N/A,FALSE,"Cashflows NZ$"}</definedName>
    <definedName name="_cf2" localSheetId="9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Fill" hidden="1">#REF!</definedName>
    <definedName name="_xlnm._FilterDatabase" localSheetId="6" hidden="1">缺焊口清單!$A$1:$B$1</definedName>
    <definedName name="_xlnm._FilterDatabase" localSheetId="4" hidden="1">焊口編號明細!$A$1:$O$5785</definedName>
    <definedName name="_Key1" hidden="1">#REF!</definedName>
    <definedName name="_Order1" hidden="1">255</definedName>
    <definedName name="_Sort" hidden="1">#REF!</definedName>
    <definedName name="_xlnm.Print_Titles" hidden="1">#REF!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5" l="1"/>
  <c r="M21" i="5"/>
  <c r="M16" i="5"/>
  <c r="M13" i="5"/>
  <c r="K13" i="5"/>
  <c r="K16" i="5"/>
  <c r="K21" i="5"/>
  <c r="K22" i="5"/>
  <c r="F317" i="28" l="1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316" i="28"/>
  <c r="M376" i="5" l="1"/>
  <c r="M138" i="5"/>
  <c r="M43" i="5"/>
  <c r="M254" i="5"/>
  <c r="M137" i="5"/>
  <c r="M41" i="5"/>
  <c r="M251" i="5"/>
  <c r="M130" i="5"/>
  <c r="M39" i="5"/>
  <c r="M226" i="5"/>
  <c r="M126" i="5"/>
  <c r="M36" i="5"/>
  <c r="M225" i="5"/>
  <c r="M122" i="5"/>
  <c r="M29" i="5"/>
  <c r="M223" i="5"/>
  <c r="M117" i="5"/>
  <c r="M25" i="5"/>
  <c r="M64" i="5"/>
  <c r="M191" i="5"/>
  <c r="M105" i="5"/>
  <c r="M186" i="5"/>
  <c r="M99" i="5"/>
  <c r="M179" i="5"/>
  <c r="M82" i="5"/>
  <c r="M176" i="5"/>
  <c r="M72" i="5"/>
  <c r="M165" i="5"/>
  <c r="M67" i="5"/>
  <c r="M163" i="5"/>
  <c r="M156" i="5"/>
  <c r="M56" i="5"/>
  <c r="M154" i="5"/>
  <c r="M53" i="5"/>
  <c r="M149" i="5"/>
  <c r="M48" i="5"/>
  <c r="M143" i="5"/>
  <c r="M45" i="5"/>
  <c r="M268" i="5"/>
  <c r="F472" i="5"/>
  <c r="F471" i="5"/>
  <c r="F470" i="5"/>
  <c r="F469" i="5"/>
  <c r="F468" i="5"/>
  <c r="F377" i="5"/>
  <c r="Q377" i="5"/>
  <c r="M171" i="5"/>
  <c r="M195" i="5"/>
  <c r="M197" i="5"/>
  <c r="M199" i="5"/>
  <c r="M201" i="5"/>
  <c r="M203" i="5"/>
  <c r="M209" i="5"/>
  <c r="M211" i="5"/>
  <c r="M213" i="5"/>
  <c r="M215" i="5"/>
  <c r="M217" i="5"/>
  <c r="M227" i="5"/>
  <c r="M232" i="5"/>
  <c r="M235" i="5"/>
  <c r="M238" i="5"/>
  <c r="M240" i="5"/>
  <c r="M241" i="5"/>
  <c r="M246" i="5"/>
  <c r="M256" i="5"/>
  <c r="M260" i="5"/>
  <c r="M261" i="5"/>
  <c r="M262" i="5"/>
  <c r="M264" i="5"/>
  <c r="M267" i="5"/>
  <c r="M269" i="5"/>
  <c r="M273" i="5"/>
  <c r="M275" i="5"/>
  <c r="M276" i="5"/>
  <c r="M280" i="5"/>
  <c r="M283" i="5"/>
  <c r="M287" i="5"/>
  <c r="M290" i="5"/>
  <c r="M293" i="5"/>
  <c r="M297" i="5"/>
  <c r="M304" i="5"/>
  <c r="M323" i="5"/>
  <c r="M330" i="5"/>
  <c r="M337" i="5"/>
  <c r="M349" i="5"/>
  <c r="M351" i="5"/>
  <c r="M352" i="5"/>
  <c r="M353" i="5"/>
  <c r="M356" i="5"/>
  <c r="M360" i="5"/>
  <c r="M366" i="5"/>
  <c r="M367" i="5"/>
  <c r="M381" i="5"/>
  <c r="M382" i="5"/>
  <c r="M384" i="5"/>
  <c r="M386" i="5"/>
  <c r="M388" i="5"/>
  <c r="M393" i="5"/>
  <c r="M399" i="5"/>
  <c r="M403" i="5"/>
  <c r="M409" i="5"/>
  <c r="M417" i="5"/>
  <c r="M425" i="5"/>
  <c r="M426" i="5"/>
  <c r="M435" i="5"/>
  <c r="M437" i="5"/>
  <c r="M441" i="5"/>
  <c r="M448" i="5"/>
  <c r="M450" i="5"/>
  <c r="M455" i="5"/>
  <c r="M461" i="5"/>
  <c r="M463" i="5"/>
  <c r="M467" i="5"/>
  <c r="P25" i="5"/>
  <c r="F25" i="5"/>
  <c r="Q25" i="5"/>
  <c r="P56" i="5"/>
  <c r="F56" i="5"/>
  <c r="Q56" i="5"/>
  <c r="F59" i="5"/>
  <c r="Q59" i="5"/>
  <c r="P60" i="5"/>
  <c r="F60" i="5"/>
  <c r="Q60" i="5"/>
  <c r="P53" i="5"/>
  <c r="F53" i="5"/>
  <c r="Q53" i="5"/>
  <c r="F54" i="5"/>
  <c r="Q54" i="5"/>
  <c r="F55" i="5"/>
  <c r="Q57" i="5"/>
  <c r="F57" i="5"/>
  <c r="F58" i="5"/>
  <c r="P39" i="5"/>
  <c r="F39" i="5"/>
  <c r="Q39" i="5"/>
  <c r="F40" i="5"/>
  <c r="Q40" i="5"/>
  <c r="P29" i="5"/>
  <c r="F29" i="5"/>
  <c r="Q29" i="5"/>
  <c r="F27" i="5"/>
  <c r="Q27" i="5"/>
  <c r="F26" i="5"/>
  <c r="F28" i="5"/>
  <c r="F24" i="5"/>
  <c r="Q24" i="5"/>
  <c r="J3" i="29" a="1"/>
  <c r="J3" i="29" s="1"/>
  <c r="K3" i="29" a="1"/>
  <c r="K3" i="29" s="1"/>
  <c r="K41" i="29" a="1"/>
  <c r="K41" i="29" s="1"/>
  <c r="J41" i="29" a="1"/>
  <c r="J41" i="29" s="1"/>
  <c r="K40" i="29" a="1"/>
  <c r="K40" i="29" s="1"/>
  <c r="J40" i="29" a="1"/>
  <c r="J40" i="29" s="1"/>
  <c r="K39" i="29" a="1"/>
  <c r="K39" i="29" s="1"/>
  <c r="J39" i="29" a="1"/>
  <c r="J39" i="29" s="1"/>
  <c r="K38" i="29" a="1"/>
  <c r="K38" i="29" s="1"/>
  <c r="J38" i="29" a="1"/>
  <c r="J38" i="29" s="1"/>
  <c r="K37" i="29" a="1"/>
  <c r="K37" i="29" s="1"/>
  <c r="J37" i="29" a="1"/>
  <c r="J37" i="29" s="1"/>
  <c r="K36" i="29" a="1"/>
  <c r="K36" i="29" s="1"/>
  <c r="J36" i="29" a="1"/>
  <c r="J36" i="29" s="1"/>
  <c r="K35" i="29" a="1"/>
  <c r="K35" i="29" s="1"/>
  <c r="J35" i="29" a="1"/>
  <c r="J35" i="29" s="1"/>
  <c r="K34" i="29" a="1"/>
  <c r="K34" i="29" s="1"/>
  <c r="J34" i="29" a="1"/>
  <c r="J34" i="29" s="1"/>
  <c r="K33" i="29" a="1"/>
  <c r="K33" i="29" s="1"/>
  <c r="J33" i="29" a="1"/>
  <c r="J33" i="29" s="1"/>
  <c r="K32" i="29" a="1"/>
  <c r="K32" i="29" s="1"/>
  <c r="J32" i="29" a="1"/>
  <c r="J32" i="29" s="1"/>
  <c r="K31" i="29" a="1"/>
  <c r="K31" i="29" s="1"/>
  <c r="J31" i="29" a="1"/>
  <c r="J31" i="29" s="1"/>
  <c r="K30" i="29" a="1"/>
  <c r="K30" i="29" s="1"/>
  <c r="J30" i="29" a="1"/>
  <c r="J30" i="29" s="1"/>
  <c r="K29" i="29" a="1"/>
  <c r="K29" i="29" s="1"/>
  <c r="J29" i="29" a="1"/>
  <c r="J29" i="29" s="1"/>
  <c r="K28" i="29" a="1"/>
  <c r="K28" i="29" s="1"/>
  <c r="J28" i="29" a="1"/>
  <c r="J28" i="29" s="1"/>
  <c r="K27" i="29" a="1"/>
  <c r="K27" i="29" s="1"/>
  <c r="J27" i="29" a="1"/>
  <c r="J27" i="29" s="1"/>
  <c r="K26" i="29" a="1"/>
  <c r="K26" i="29" s="1"/>
  <c r="J26" i="29" a="1"/>
  <c r="J26" i="29" s="1"/>
  <c r="K25" i="29" a="1"/>
  <c r="K25" i="29" s="1"/>
  <c r="J25" i="29" a="1"/>
  <c r="J25" i="29" s="1"/>
  <c r="K24" i="29" a="1"/>
  <c r="K24" i="29" s="1"/>
  <c r="J24" i="29" a="1"/>
  <c r="J24" i="29" s="1"/>
  <c r="K23" i="29" a="1"/>
  <c r="K23" i="29" s="1"/>
  <c r="J23" i="29" a="1"/>
  <c r="J23" i="29" s="1"/>
  <c r="K22" i="29" a="1"/>
  <c r="K22" i="29" s="1"/>
  <c r="J22" i="29" a="1"/>
  <c r="J22" i="29" s="1"/>
  <c r="K21" i="29" a="1"/>
  <c r="K21" i="29" s="1"/>
  <c r="J21" i="29" a="1"/>
  <c r="J21" i="29" s="1"/>
  <c r="K20" i="29" a="1"/>
  <c r="K20" i="29" s="1"/>
  <c r="J20" i="29" a="1"/>
  <c r="J20" i="29" s="1"/>
  <c r="K19" i="29" a="1"/>
  <c r="K19" i="29" s="1"/>
  <c r="J19" i="29" a="1"/>
  <c r="J19" i="29" s="1"/>
  <c r="K18" i="29" a="1"/>
  <c r="K18" i="29" s="1"/>
  <c r="J18" i="29" a="1"/>
  <c r="J18" i="29" s="1"/>
  <c r="K17" i="29" a="1"/>
  <c r="K17" i="29" s="1"/>
  <c r="J17" i="29" a="1"/>
  <c r="J17" i="29" s="1"/>
  <c r="K16" i="29" a="1"/>
  <c r="K16" i="29" s="1"/>
  <c r="J16" i="29" a="1"/>
  <c r="J16" i="29" s="1"/>
  <c r="K15" i="29" a="1"/>
  <c r="K15" i="29" s="1"/>
  <c r="J15" i="29" a="1"/>
  <c r="J15" i="29" s="1"/>
  <c r="K14" i="29" a="1"/>
  <c r="K14" i="29" s="1"/>
  <c r="J14" i="29" a="1"/>
  <c r="J14" i="29" s="1"/>
  <c r="K13" i="29" a="1"/>
  <c r="K13" i="29" s="1"/>
  <c r="J13" i="29" a="1"/>
  <c r="J13" i="29" s="1"/>
  <c r="K12" i="29" a="1"/>
  <c r="K12" i="29" s="1"/>
  <c r="J12" i="29" a="1"/>
  <c r="J12" i="29" s="1"/>
  <c r="K11" i="29" a="1"/>
  <c r="K11" i="29" s="1"/>
  <c r="J11" i="29" a="1"/>
  <c r="J11" i="29" s="1"/>
  <c r="K10" i="29" a="1"/>
  <c r="K10" i="29" s="1"/>
  <c r="J10" i="29" a="1"/>
  <c r="J10" i="29" s="1"/>
  <c r="K9" i="29" a="1"/>
  <c r="K9" i="29" s="1"/>
  <c r="J9" i="29" a="1"/>
  <c r="J9" i="29" s="1"/>
  <c r="K8" i="29" a="1"/>
  <c r="K8" i="29" s="1"/>
  <c r="J8" i="29" a="1"/>
  <c r="J8" i="29" s="1"/>
  <c r="K7" i="29" a="1"/>
  <c r="K7" i="29" s="1"/>
  <c r="J7" i="29" a="1"/>
  <c r="J7" i="29" s="1"/>
  <c r="K6" i="29" a="1"/>
  <c r="K6" i="29" s="1"/>
  <c r="J6" i="29" a="1"/>
  <c r="J6" i="29" s="1"/>
  <c r="K5" i="29" a="1"/>
  <c r="K5" i="29" s="1"/>
  <c r="J5" i="29" a="1"/>
  <c r="J5" i="29" s="1"/>
  <c r="K4" i="29" a="1"/>
  <c r="K4" i="29" s="1"/>
  <c r="J4" i="29" a="1"/>
  <c r="J4" i="29" s="1"/>
  <c r="A4" i="29"/>
  <c r="A5" i="29" s="1"/>
  <c r="A6" i="29" s="1"/>
  <c r="A7" i="29" s="1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K2" i="29" a="1"/>
  <c r="K2" i="29" s="1"/>
  <c r="J2" i="29" a="1"/>
  <c r="J2" i="29" s="1"/>
  <c r="Q55" i="5" l="1"/>
  <c r="Q58" i="5"/>
  <c r="Q26" i="5"/>
  <c r="Q28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04" i="5"/>
  <c r="Q405" i="5"/>
  <c r="Q406" i="5"/>
  <c r="Q407" i="5"/>
  <c r="Q408" i="5"/>
  <c r="Q367" i="5"/>
  <c r="Q368" i="5"/>
  <c r="Q369" i="5"/>
  <c r="Q370" i="5"/>
  <c r="Q371" i="5"/>
  <c r="Q372" i="5"/>
  <c r="Q373" i="5"/>
  <c r="Q374" i="5"/>
  <c r="Q375" i="5"/>
  <c r="Q376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31" i="5"/>
  <c r="Q332" i="5"/>
  <c r="Q333" i="5"/>
  <c r="Q334" i="5"/>
  <c r="Q335" i="5"/>
  <c r="Q336" i="5"/>
  <c r="Q324" i="5"/>
  <c r="Q325" i="5"/>
  <c r="Q326" i="5"/>
  <c r="Q327" i="5"/>
  <c r="Q328" i="5"/>
  <c r="Q329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298" i="5"/>
  <c r="Q299" i="5"/>
  <c r="Q300" i="5"/>
  <c r="Q301" i="5"/>
  <c r="Q302" i="5"/>
  <c r="Q303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00" i="5"/>
  <c r="Q101" i="5"/>
  <c r="Q102" i="5"/>
  <c r="Q103" i="5"/>
  <c r="Q104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37" i="5"/>
  <c r="Q38" i="5"/>
  <c r="Q41" i="5"/>
  <c r="Q42" i="5"/>
  <c r="Q43" i="5"/>
  <c r="Q44" i="5"/>
  <c r="Q45" i="5"/>
  <c r="Q46" i="5"/>
  <c r="Q47" i="5"/>
  <c r="Q48" i="5"/>
  <c r="Q49" i="5"/>
  <c r="Q50" i="5"/>
  <c r="Q51" i="5"/>
  <c r="Q52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30" i="5"/>
  <c r="Q31" i="5"/>
  <c r="Q32" i="5"/>
  <c r="Q33" i="5"/>
  <c r="Q34" i="5"/>
  <c r="Q35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F466" i="5" l="1"/>
  <c r="F467" i="5"/>
  <c r="F465" i="5"/>
  <c r="F464" i="5"/>
  <c r="F463" i="5"/>
  <c r="P461" i="5"/>
  <c r="F461" i="5"/>
  <c r="P455" i="5"/>
  <c r="F455" i="5"/>
  <c r="F447" i="5"/>
  <c r="F448" i="5"/>
  <c r="F449" i="5"/>
  <c r="F450" i="5"/>
  <c r="F451" i="5"/>
  <c r="F452" i="5"/>
  <c r="F453" i="5"/>
  <c r="F454" i="5"/>
  <c r="F456" i="5"/>
  <c r="F457" i="5"/>
  <c r="F458" i="5"/>
  <c r="F459" i="5"/>
  <c r="F460" i="5"/>
  <c r="F462" i="5"/>
  <c r="F446" i="5"/>
  <c r="P441" i="5"/>
  <c r="F441" i="5"/>
  <c r="F439" i="5"/>
  <c r="F440" i="5"/>
  <c r="F442" i="5"/>
  <c r="F443" i="5"/>
  <c r="F444" i="5"/>
  <c r="F445" i="5"/>
  <c r="P435" i="5"/>
  <c r="F435" i="5"/>
  <c r="P425" i="5"/>
  <c r="F425" i="5"/>
  <c r="F416" i="5"/>
  <c r="F417" i="5"/>
  <c r="F418" i="5"/>
  <c r="F419" i="5"/>
  <c r="F420" i="5"/>
  <c r="F421" i="5"/>
  <c r="F422" i="5"/>
  <c r="F423" i="5"/>
  <c r="F424" i="5"/>
  <c r="F426" i="5"/>
  <c r="F427" i="5"/>
  <c r="F428" i="5"/>
  <c r="F429" i="5"/>
  <c r="F430" i="5"/>
  <c r="F431" i="5"/>
  <c r="F432" i="5"/>
  <c r="F433" i="5"/>
  <c r="F434" i="5"/>
  <c r="F436" i="5"/>
  <c r="F437" i="5"/>
  <c r="F438" i="5"/>
  <c r="P409" i="5"/>
  <c r="F409" i="5"/>
  <c r="F408" i="5"/>
  <c r="F410" i="5"/>
  <c r="F411" i="5"/>
  <c r="F412" i="5"/>
  <c r="F413" i="5"/>
  <c r="F414" i="5"/>
  <c r="F415" i="5"/>
  <c r="F407" i="5"/>
  <c r="P403" i="5"/>
  <c r="F403" i="5"/>
  <c r="F401" i="5"/>
  <c r="F402" i="5"/>
  <c r="F404" i="5"/>
  <c r="F405" i="5"/>
  <c r="F406" i="5"/>
  <c r="F400" i="5"/>
  <c r="F399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76" i="5"/>
  <c r="P366" i="5"/>
  <c r="F366" i="5"/>
  <c r="F358" i="5"/>
  <c r="F359" i="5"/>
  <c r="F360" i="5"/>
  <c r="F361" i="5"/>
  <c r="F362" i="5"/>
  <c r="F363" i="5"/>
  <c r="F364" i="5"/>
  <c r="F365" i="5"/>
  <c r="F367" i="5"/>
  <c r="F368" i="5"/>
  <c r="F369" i="5"/>
  <c r="F370" i="5"/>
  <c r="F371" i="5"/>
  <c r="F372" i="5"/>
  <c r="F373" i="5"/>
  <c r="F374" i="5"/>
  <c r="F375" i="5"/>
  <c r="P351" i="5"/>
  <c r="F351" i="5"/>
  <c r="Q351" i="5"/>
  <c r="F350" i="5"/>
  <c r="F352" i="5"/>
  <c r="F353" i="5"/>
  <c r="F354" i="5"/>
  <c r="F355" i="5"/>
  <c r="F356" i="5"/>
  <c r="F357" i="5"/>
  <c r="F349" i="5"/>
  <c r="F344" i="5"/>
  <c r="F345" i="5"/>
  <c r="F346" i="5"/>
  <c r="F347" i="5"/>
  <c r="F348" i="5"/>
  <c r="P337" i="5"/>
  <c r="F337" i="5"/>
  <c r="F334" i="5"/>
  <c r="F335" i="5"/>
  <c r="F336" i="5"/>
  <c r="F338" i="5"/>
  <c r="F339" i="5"/>
  <c r="F340" i="5"/>
  <c r="F341" i="5"/>
  <c r="F342" i="5"/>
  <c r="F343" i="5"/>
  <c r="P330" i="5"/>
  <c r="F330" i="5"/>
  <c r="F327" i="5"/>
  <c r="F328" i="5"/>
  <c r="F329" i="5"/>
  <c r="F331" i="5"/>
  <c r="F332" i="5"/>
  <c r="F333" i="5"/>
  <c r="P323" i="5"/>
  <c r="F323" i="5"/>
  <c r="F322" i="5"/>
  <c r="F324" i="5"/>
  <c r="F325" i="5"/>
  <c r="F326" i="5"/>
  <c r="F321" i="5"/>
  <c r="F320" i="5"/>
  <c r="F313" i="5"/>
  <c r="F314" i="5"/>
  <c r="F315" i="5"/>
  <c r="F316" i="5"/>
  <c r="F317" i="5"/>
  <c r="F318" i="5"/>
  <c r="F319" i="5"/>
  <c r="F312" i="5"/>
  <c r="P304" i="5"/>
  <c r="F304" i="5"/>
  <c r="F301" i="5"/>
  <c r="F302" i="5"/>
  <c r="F303" i="5"/>
  <c r="F305" i="5"/>
  <c r="F306" i="5"/>
  <c r="F307" i="5"/>
  <c r="F308" i="5"/>
  <c r="F309" i="5"/>
  <c r="F310" i="5"/>
  <c r="F311" i="5"/>
  <c r="F300" i="5"/>
  <c r="P297" i="5"/>
  <c r="F297" i="5"/>
  <c r="F295" i="5"/>
  <c r="F296" i="5"/>
  <c r="F298" i="5"/>
  <c r="F299" i="5"/>
  <c r="F294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68" i="5"/>
  <c r="F269" i="5"/>
  <c r="F270" i="5"/>
  <c r="F271" i="5"/>
  <c r="F272" i="5"/>
  <c r="F273" i="5"/>
  <c r="F274" i="5"/>
  <c r="F275" i="5"/>
  <c r="F276" i="5"/>
  <c r="F277" i="5"/>
  <c r="F267" i="5"/>
  <c r="F262" i="5"/>
  <c r="F263" i="5"/>
  <c r="F264" i="5"/>
  <c r="F265" i="5"/>
  <c r="F266" i="5"/>
  <c r="F261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P225" i="5"/>
  <c r="F225" i="5"/>
  <c r="F224" i="5"/>
  <c r="F226" i="5"/>
  <c r="F227" i="5"/>
  <c r="F228" i="5"/>
  <c r="F229" i="5"/>
  <c r="F230" i="5"/>
  <c r="F231" i="5"/>
  <c r="F232" i="5"/>
  <c r="F233" i="5"/>
  <c r="F234" i="5"/>
  <c r="F220" i="5"/>
  <c r="F221" i="5"/>
  <c r="F222" i="5"/>
  <c r="F223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19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64" i="5"/>
  <c r="F165" i="5"/>
  <c r="F166" i="5"/>
  <c r="F167" i="5"/>
  <c r="F168" i="5"/>
  <c r="F169" i="5"/>
  <c r="F170" i="5"/>
  <c r="F171" i="5"/>
  <c r="F163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49" i="5"/>
  <c r="Q143" i="5"/>
  <c r="F143" i="5"/>
  <c r="F138" i="5"/>
  <c r="F139" i="5"/>
  <c r="F140" i="5"/>
  <c r="F141" i="5"/>
  <c r="F142" i="5"/>
  <c r="F144" i="5"/>
  <c r="F145" i="5"/>
  <c r="F146" i="5"/>
  <c r="F147" i="5"/>
  <c r="F148" i="5"/>
  <c r="F13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17" i="5"/>
  <c r="F107" i="5"/>
  <c r="F108" i="5"/>
  <c r="F109" i="5"/>
  <c r="F110" i="5"/>
  <c r="F111" i="5"/>
  <c r="F112" i="5"/>
  <c r="F113" i="5"/>
  <c r="F114" i="5"/>
  <c r="F115" i="5"/>
  <c r="F116" i="5"/>
  <c r="P105" i="5"/>
  <c r="F105" i="5"/>
  <c r="Q105" i="5"/>
  <c r="P99" i="5"/>
  <c r="F99" i="5"/>
  <c r="F94" i="5"/>
  <c r="F95" i="5"/>
  <c r="F96" i="5"/>
  <c r="F97" i="5"/>
  <c r="F98" i="5"/>
  <c r="F100" i="5"/>
  <c r="F101" i="5"/>
  <c r="F102" i="5"/>
  <c r="F103" i="5"/>
  <c r="F104" i="5"/>
  <c r="F106" i="5"/>
  <c r="F92" i="5"/>
  <c r="F93" i="5"/>
  <c r="P82" i="5"/>
  <c r="F82" i="5"/>
  <c r="F74" i="5"/>
  <c r="F75" i="5"/>
  <c r="F76" i="5"/>
  <c r="F77" i="5"/>
  <c r="F78" i="5"/>
  <c r="F79" i="5"/>
  <c r="F80" i="5"/>
  <c r="F81" i="5"/>
  <c r="F83" i="5"/>
  <c r="F84" i="5"/>
  <c r="F85" i="5"/>
  <c r="F86" i="5"/>
  <c r="F87" i="5"/>
  <c r="F88" i="5"/>
  <c r="F89" i="5"/>
  <c r="F90" i="5"/>
  <c r="F91" i="5"/>
  <c r="F73" i="5"/>
  <c r="Q441" i="5" l="1"/>
  <c r="Q409" i="5"/>
  <c r="Q403" i="5"/>
  <c r="Q366" i="5"/>
  <c r="Q337" i="5"/>
  <c r="Q330" i="5"/>
  <c r="Q323" i="5"/>
  <c r="Q304" i="5"/>
  <c r="Q297" i="5"/>
  <c r="Q225" i="5"/>
  <c r="Q99" i="5"/>
  <c r="Q82" i="5"/>
  <c r="F61" i="5" l="1"/>
  <c r="F62" i="5"/>
  <c r="F63" i="5"/>
  <c r="F64" i="5"/>
  <c r="F65" i="5"/>
  <c r="F66" i="5"/>
  <c r="F67" i="5"/>
  <c r="F68" i="5"/>
  <c r="F69" i="5"/>
  <c r="F70" i="5"/>
  <c r="F71" i="5"/>
  <c r="F72" i="5"/>
  <c r="F52" i="5"/>
  <c r="P36" i="5"/>
  <c r="F36" i="5"/>
  <c r="F23" i="5"/>
  <c r="F41" i="5"/>
  <c r="F42" i="5"/>
  <c r="F43" i="5"/>
  <c r="F44" i="5"/>
  <c r="F45" i="5"/>
  <c r="F46" i="5"/>
  <c r="F47" i="5"/>
  <c r="F48" i="5"/>
  <c r="F49" i="5"/>
  <c r="F50" i="5"/>
  <c r="F51" i="5"/>
  <c r="F31" i="5"/>
  <c r="F32" i="5"/>
  <c r="F33" i="5"/>
  <c r="F34" i="5"/>
  <c r="F35" i="5"/>
  <c r="F37" i="5"/>
  <c r="F38" i="5"/>
  <c r="F30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Q2" i="5"/>
  <c r="D2481" i="28"/>
  <c r="D2482" i="28"/>
  <c r="D2483" i="28"/>
  <c r="D2484" i="28"/>
  <c r="D2485" i="28"/>
  <c r="D2486" i="28"/>
  <c r="D2487" i="28"/>
  <c r="D2488" i="28"/>
  <c r="D2489" i="28"/>
  <c r="D2490" i="28"/>
  <c r="D2491" i="28"/>
  <c r="D2492" i="28"/>
  <c r="D2493" i="28"/>
  <c r="D2494" i="28"/>
  <c r="D2495" i="28"/>
  <c r="D2496" i="28"/>
  <c r="D2497" i="28"/>
  <c r="D2498" i="28"/>
  <c r="D2499" i="28"/>
  <c r="D2500" i="28"/>
  <c r="D2501" i="28"/>
  <c r="D2502" i="28"/>
  <c r="D2503" i="28"/>
  <c r="D2504" i="28"/>
  <c r="D2505" i="28"/>
  <c r="D2506" i="28"/>
  <c r="D2507" i="28"/>
  <c r="D2508" i="28"/>
  <c r="D2509" i="28"/>
  <c r="D2510" i="28"/>
  <c r="D2511" i="28"/>
  <c r="D2512" i="28"/>
  <c r="D2513" i="28"/>
  <c r="D2514" i="28"/>
  <c r="D2515" i="28"/>
  <c r="D2516" i="28"/>
  <c r="D2517" i="28"/>
  <c r="D2518" i="28"/>
  <c r="D2519" i="28"/>
  <c r="D2520" i="28"/>
  <c r="D2521" i="28"/>
  <c r="D2522" i="28"/>
  <c r="D2523" i="28"/>
  <c r="D2524" i="28"/>
  <c r="D2525" i="28"/>
  <c r="D2526" i="28"/>
  <c r="D2527" i="28"/>
  <c r="D2528" i="28"/>
  <c r="D2529" i="28"/>
  <c r="D2530" i="28"/>
  <c r="D2531" i="28"/>
  <c r="D2532" i="28"/>
  <c r="D2533" i="28"/>
  <c r="D2534" i="28"/>
  <c r="D2535" i="28"/>
  <c r="D2536" i="28"/>
  <c r="D2537" i="28"/>
  <c r="D2538" i="28"/>
  <c r="D2539" i="28"/>
  <c r="D2540" i="28"/>
  <c r="D2541" i="28"/>
  <c r="D2542" i="28"/>
  <c r="D2543" i="28"/>
  <c r="D2544" i="28"/>
  <c r="D2545" i="28"/>
  <c r="D2546" i="28"/>
  <c r="D2547" i="28"/>
  <c r="D2548" i="28"/>
  <c r="D2549" i="28"/>
  <c r="D2550" i="28"/>
  <c r="D2551" i="28"/>
  <c r="D2552" i="28"/>
  <c r="D2553" i="28"/>
  <c r="D2554" i="28"/>
  <c r="D2555" i="28"/>
  <c r="D2556" i="28"/>
  <c r="D2557" i="28"/>
  <c r="D2558" i="28"/>
  <c r="D2559" i="28"/>
  <c r="D2560" i="28"/>
  <c r="D2561" i="28"/>
  <c r="D2562" i="28"/>
  <c r="D2563" i="28"/>
  <c r="D2564" i="28"/>
  <c r="D2565" i="28"/>
  <c r="D2566" i="28"/>
  <c r="D2567" i="28"/>
  <c r="D2568" i="28"/>
  <c r="D2569" i="28"/>
  <c r="D2570" i="28"/>
  <c r="D2571" i="28"/>
  <c r="D2572" i="28"/>
  <c r="D2573" i="28"/>
  <c r="D2574" i="28"/>
  <c r="D2575" i="28"/>
  <c r="D2576" i="28"/>
  <c r="D2577" i="28"/>
  <c r="D2578" i="28"/>
  <c r="D2579" i="28"/>
  <c r="D2580" i="28"/>
  <c r="D2581" i="28"/>
  <c r="D2582" i="28"/>
  <c r="D2583" i="28"/>
  <c r="D2584" i="28"/>
  <c r="D2585" i="28"/>
  <c r="D2586" i="28"/>
  <c r="D2587" i="28"/>
  <c r="D2588" i="28"/>
  <c r="D2589" i="28"/>
  <c r="D2590" i="28"/>
  <c r="D2591" i="28"/>
  <c r="D2592" i="28"/>
  <c r="D2593" i="28"/>
  <c r="D2594" i="28"/>
  <c r="D2595" i="28"/>
  <c r="D2596" i="28"/>
  <c r="D2597" i="28"/>
  <c r="D2598" i="28"/>
  <c r="D2599" i="28"/>
  <c r="D2600" i="28"/>
  <c r="D2601" i="28"/>
  <c r="D2602" i="28"/>
  <c r="D2603" i="28"/>
  <c r="D2604" i="28"/>
  <c r="D2605" i="28"/>
  <c r="D2606" i="28"/>
  <c r="D2607" i="28"/>
  <c r="D2608" i="28"/>
  <c r="D2609" i="28"/>
  <c r="D2610" i="28"/>
  <c r="D2611" i="28"/>
  <c r="D2612" i="28"/>
  <c r="D2613" i="28"/>
  <c r="D2614" i="28"/>
  <c r="D2615" i="28"/>
  <c r="D2616" i="28"/>
  <c r="D2617" i="28"/>
  <c r="D2618" i="28"/>
  <c r="D2619" i="28"/>
  <c r="D2620" i="28"/>
  <c r="D2621" i="28"/>
  <c r="D2622" i="28"/>
  <c r="D2623" i="28"/>
  <c r="D2624" i="28"/>
  <c r="D2625" i="28"/>
  <c r="D2626" i="28"/>
  <c r="D2627" i="28"/>
  <c r="D2628" i="28"/>
  <c r="D2629" i="28"/>
  <c r="D2630" i="28"/>
  <c r="D2631" i="28"/>
  <c r="D2632" i="28"/>
  <c r="D2633" i="28"/>
  <c r="D2634" i="28"/>
  <c r="D2635" i="28"/>
  <c r="D2636" i="28"/>
  <c r="D2637" i="28"/>
  <c r="D2638" i="28"/>
  <c r="D2639" i="28"/>
  <c r="D2640" i="28"/>
  <c r="D2641" i="28"/>
  <c r="D2642" i="28"/>
  <c r="D2643" i="28"/>
  <c r="D2644" i="28"/>
  <c r="D2645" i="28"/>
  <c r="D2646" i="28"/>
  <c r="D2647" i="28"/>
  <c r="D2648" i="28"/>
  <c r="D2649" i="28"/>
  <c r="D2650" i="28"/>
  <c r="D2651" i="28"/>
  <c r="D2652" i="28"/>
  <c r="D2653" i="28"/>
  <c r="D2654" i="28"/>
  <c r="D2655" i="28"/>
  <c r="D2656" i="28"/>
  <c r="D2657" i="28"/>
  <c r="D2658" i="28"/>
  <c r="D2659" i="28"/>
  <c r="D2660" i="28"/>
  <c r="D2661" i="28"/>
  <c r="D2662" i="28"/>
  <c r="D2663" i="28"/>
  <c r="D2664" i="28"/>
  <c r="D2665" i="28"/>
  <c r="D2666" i="28"/>
  <c r="D2667" i="28"/>
  <c r="D2668" i="28"/>
  <c r="D2669" i="28"/>
  <c r="D2670" i="28"/>
  <c r="D2671" i="28"/>
  <c r="D2672" i="28"/>
  <c r="D2673" i="28"/>
  <c r="D2674" i="28"/>
  <c r="D2675" i="28"/>
  <c r="D2676" i="28"/>
  <c r="D2677" i="28"/>
  <c r="D2678" i="28"/>
  <c r="D2679" i="28"/>
  <c r="D2680" i="28"/>
  <c r="D2681" i="28"/>
  <c r="D2682" i="28"/>
  <c r="D2683" i="28"/>
  <c r="D2684" i="28"/>
  <c r="D2685" i="28"/>
  <c r="D2686" i="28"/>
  <c r="D2687" i="28"/>
  <c r="D2688" i="28"/>
  <c r="D2689" i="28"/>
  <c r="D2690" i="28"/>
  <c r="D2691" i="28"/>
  <c r="D2692" i="28"/>
  <c r="D2693" i="28"/>
  <c r="D2694" i="28"/>
  <c r="D2695" i="28"/>
  <c r="D2696" i="28"/>
  <c r="D2697" i="28"/>
  <c r="D2698" i="28"/>
  <c r="D2699" i="28"/>
  <c r="D2700" i="28"/>
  <c r="D2701" i="28"/>
  <c r="D2702" i="28"/>
  <c r="D2703" i="28"/>
  <c r="D2704" i="28"/>
  <c r="D2705" i="28"/>
  <c r="D2706" i="28"/>
  <c r="D2707" i="28"/>
  <c r="D2708" i="28"/>
  <c r="D2709" i="28"/>
  <c r="D2710" i="28"/>
  <c r="D2711" i="28"/>
  <c r="D2712" i="28"/>
  <c r="D2713" i="28"/>
  <c r="D2714" i="28"/>
  <c r="D2715" i="28"/>
  <c r="D2716" i="28"/>
  <c r="D2717" i="28"/>
  <c r="D2718" i="28"/>
  <c r="D2719" i="28"/>
  <c r="D2720" i="28"/>
  <c r="D2721" i="28"/>
  <c r="D2722" i="28"/>
  <c r="D2723" i="28"/>
  <c r="D2724" i="28"/>
  <c r="D2725" i="28"/>
  <c r="D2726" i="28"/>
  <c r="D2727" i="28"/>
  <c r="D2728" i="28"/>
  <c r="D2729" i="28"/>
  <c r="D2730" i="28"/>
  <c r="D2731" i="28"/>
  <c r="D2732" i="28"/>
  <c r="D2733" i="28"/>
  <c r="D2734" i="28"/>
  <c r="D2735" i="28"/>
  <c r="D2736" i="28"/>
  <c r="D2737" i="28"/>
  <c r="D2738" i="28"/>
  <c r="D2739" i="28"/>
  <c r="D2740" i="28"/>
  <c r="D2741" i="28"/>
  <c r="D2742" i="28"/>
  <c r="D2743" i="28"/>
  <c r="D2744" i="28"/>
  <c r="D2745" i="28"/>
  <c r="D2746" i="28"/>
  <c r="D2747" i="28"/>
  <c r="D2748" i="28"/>
  <c r="D2749" i="28"/>
  <c r="D2750" i="28"/>
  <c r="D2751" i="28"/>
  <c r="D2752" i="28"/>
  <c r="D2753" i="28"/>
  <c r="D2754" i="28"/>
  <c r="D2755" i="28"/>
  <c r="D2756" i="28"/>
  <c r="D2757" i="28"/>
  <c r="D2758" i="28"/>
  <c r="D2759" i="28"/>
  <c r="D2760" i="28"/>
  <c r="D2761" i="28"/>
  <c r="D2762" i="28"/>
  <c r="D2763" i="28"/>
  <c r="D2764" i="28"/>
  <c r="D2765" i="28"/>
  <c r="D2766" i="28"/>
  <c r="D2767" i="28"/>
  <c r="D2768" i="28"/>
  <c r="D2769" i="28"/>
  <c r="D2770" i="28"/>
  <c r="D2771" i="28"/>
  <c r="D2772" i="28"/>
  <c r="D2773" i="28"/>
  <c r="D2774" i="28"/>
  <c r="D2775" i="28"/>
  <c r="D2776" i="28"/>
  <c r="D2777" i="28"/>
  <c r="D2778" i="28"/>
  <c r="D2779" i="28"/>
  <c r="D2780" i="28"/>
  <c r="D2781" i="28"/>
  <c r="D2782" i="28"/>
  <c r="D2783" i="28"/>
  <c r="D2784" i="28"/>
  <c r="D2785" i="28"/>
  <c r="D2786" i="28"/>
  <c r="D2787" i="28"/>
  <c r="D2788" i="28"/>
  <c r="D2789" i="28"/>
  <c r="D2790" i="28"/>
  <c r="D2791" i="28"/>
  <c r="D2792" i="28"/>
  <c r="D2793" i="28"/>
  <c r="D2794" i="28"/>
  <c r="D2795" i="28"/>
  <c r="D2796" i="28"/>
  <c r="D2797" i="28"/>
  <c r="D2798" i="28"/>
  <c r="D2799" i="28"/>
  <c r="D2800" i="28"/>
  <c r="D2801" i="28"/>
  <c r="D2802" i="28"/>
  <c r="D2803" i="28"/>
  <c r="D2804" i="28"/>
  <c r="D2805" i="28"/>
  <c r="D2806" i="28"/>
  <c r="D2807" i="28"/>
  <c r="D2808" i="28"/>
  <c r="D2809" i="28"/>
  <c r="D2810" i="28"/>
  <c r="D2811" i="28"/>
  <c r="D2812" i="28"/>
  <c r="D2813" i="28"/>
  <c r="D2814" i="28"/>
  <c r="D2815" i="28"/>
  <c r="D2816" i="28"/>
  <c r="D2817" i="28"/>
  <c r="D2818" i="28"/>
  <c r="D2819" i="28"/>
  <c r="D2820" i="28"/>
  <c r="D2821" i="28"/>
  <c r="D2822" i="28"/>
  <c r="D2823" i="28"/>
  <c r="D2824" i="28"/>
  <c r="D2825" i="28"/>
  <c r="D2826" i="28"/>
  <c r="D2827" i="28"/>
  <c r="D2828" i="28"/>
  <c r="D2829" i="28"/>
  <c r="D2830" i="28"/>
  <c r="D2831" i="28"/>
  <c r="D2832" i="28"/>
  <c r="D2833" i="28"/>
  <c r="D2834" i="28"/>
  <c r="D2835" i="28"/>
  <c r="D2836" i="28"/>
  <c r="D2837" i="28"/>
  <c r="D2838" i="28"/>
  <c r="D2839" i="28"/>
  <c r="D2840" i="28"/>
  <c r="D2841" i="28"/>
  <c r="D2842" i="28"/>
  <c r="D2843" i="28"/>
  <c r="D2844" i="28"/>
  <c r="D2845" i="28"/>
  <c r="D2846" i="28"/>
  <c r="D2847" i="28"/>
  <c r="D2848" i="28"/>
  <c r="D2849" i="28"/>
  <c r="D2850" i="28"/>
  <c r="D2851" i="28"/>
  <c r="D2852" i="28"/>
  <c r="D2853" i="28"/>
  <c r="D2854" i="28"/>
  <c r="D2855" i="28"/>
  <c r="D2856" i="28"/>
  <c r="D2857" i="28"/>
  <c r="D2858" i="28"/>
  <c r="D2859" i="28"/>
  <c r="D2860" i="28"/>
  <c r="D2861" i="28"/>
  <c r="D2862" i="28"/>
  <c r="D2863" i="28"/>
  <c r="D2864" i="28"/>
  <c r="D2865" i="28"/>
  <c r="D2866" i="28"/>
  <c r="D2867" i="28"/>
  <c r="D2868" i="28"/>
  <c r="D2869" i="28"/>
  <c r="D2870" i="28"/>
  <c r="D2871" i="28"/>
  <c r="D2872" i="28"/>
  <c r="D2873" i="28"/>
  <c r="D2874" i="28"/>
  <c r="D2875" i="28"/>
  <c r="D2876" i="28"/>
  <c r="D2877" i="28"/>
  <c r="D2878" i="28"/>
  <c r="D2879" i="28"/>
  <c r="D2880" i="28"/>
  <c r="D2881" i="28"/>
  <c r="D2882" i="28"/>
  <c r="D2883" i="28"/>
  <c r="D2884" i="28"/>
  <c r="D2885" i="28"/>
  <c r="D2886" i="28"/>
  <c r="D2887" i="28"/>
  <c r="D2888" i="28"/>
  <c r="D2889" i="28"/>
  <c r="D2890" i="28"/>
  <c r="D2891" i="28"/>
  <c r="D2892" i="28"/>
  <c r="D2893" i="28"/>
  <c r="D2894" i="28"/>
  <c r="D2895" i="28"/>
  <c r="D2896" i="28"/>
  <c r="D2897" i="28"/>
  <c r="D2898" i="28"/>
  <c r="D2899" i="28"/>
  <c r="D2900" i="28"/>
  <c r="D2901" i="28"/>
  <c r="D2902" i="28"/>
  <c r="D2903" i="28"/>
  <c r="D2904" i="28"/>
  <c r="D2905" i="28"/>
  <c r="D2906" i="28"/>
  <c r="D2907" i="28"/>
  <c r="D2908" i="28"/>
  <c r="D2909" i="28"/>
  <c r="D2910" i="28"/>
  <c r="D2911" i="28"/>
  <c r="D2912" i="28"/>
  <c r="D2913" i="28"/>
  <c r="D2914" i="28"/>
  <c r="D2915" i="28"/>
  <c r="D2916" i="28"/>
  <c r="D2917" i="28"/>
  <c r="D2918" i="28"/>
  <c r="D2919" i="28"/>
  <c r="D2920" i="28"/>
  <c r="D2921" i="28"/>
  <c r="D2922" i="28"/>
  <c r="D2923" i="28"/>
  <c r="D2924" i="28"/>
  <c r="D2925" i="28"/>
  <c r="D2926" i="28"/>
  <c r="D2927" i="28"/>
  <c r="D2928" i="28"/>
  <c r="D2929" i="28"/>
  <c r="D2930" i="28"/>
  <c r="D2931" i="28"/>
  <c r="D2932" i="28"/>
  <c r="D2933" i="28"/>
  <c r="D2934" i="28"/>
  <c r="D2935" i="28"/>
  <c r="D2936" i="28"/>
  <c r="D2937" i="28"/>
  <c r="D2938" i="28"/>
  <c r="D2939" i="28"/>
  <c r="D2940" i="28"/>
  <c r="D2941" i="28"/>
  <c r="D2942" i="28"/>
  <c r="D2943" i="28"/>
  <c r="D2944" i="28"/>
  <c r="D2945" i="28"/>
  <c r="D2946" i="28"/>
  <c r="D2947" i="28"/>
  <c r="D2948" i="28"/>
  <c r="D2949" i="28"/>
  <c r="D2950" i="28"/>
  <c r="D2951" i="28"/>
  <c r="D2952" i="28"/>
  <c r="D2953" i="28"/>
  <c r="D2954" i="28"/>
  <c r="D2955" i="28"/>
  <c r="D2956" i="28"/>
  <c r="D2957" i="28"/>
  <c r="D2958" i="28"/>
  <c r="D2959" i="28"/>
  <c r="D2960" i="28"/>
  <c r="D2961" i="28"/>
  <c r="D2962" i="28"/>
  <c r="D2963" i="28"/>
  <c r="D2964" i="28"/>
  <c r="D2965" i="28"/>
  <c r="D2966" i="28"/>
  <c r="D2967" i="28"/>
  <c r="D2968" i="28"/>
  <c r="D2969" i="28"/>
  <c r="D2970" i="28"/>
  <c r="D2971" i="28"/>
  <c r="D2972" i="28"/>
  <c r="D2973" i="28"/>
  <c r="D2974" i="28"/>
  <c r="D2975" i="28"/>
  <c r="D2976" i="28"/>
  <c r="D2977" i="28"/>
  <c r="D2978" i="28"/>
  <c r="D2979" i="28"/>
  <c r="D2980" i="28"/>
  <c r="D2981" i="28"/>
  <c r="D2982" i="28"/>
  <c r="D2983" i="28"/>
  <c r="D2984" i="28"/>
  <c r="D2985" i="28"/>
  <c r="D2986" i="28"/>
  <c r="D2987" i="28"/>
  <c r="D2988" i="28"/>
  <c r="D2989" i="28"/>
  <c r="D2990" i="28"/>
  <c r="D2991" i="28"/>
  <c r="D2992" i="28"/>
  <c r="D2993" i="28"/>
  <c r="D2994" i="28"/>
  <c r="D2995" i="28"/>
  <c r="D2996" i="28"/>
  <c r="D2997" i="28"/>
  <c r="D2998" i="28"/>
  <c r="D2999" i="28"/>
  <c r="D3000" i="28"/>
  <c r="D3001" i="28"/>
  <c r="D3002" i="28"/>
  <c r="D3003" i="28"/>
  <c r="D3004" i="28"/>
  <c r="D3005" i="28"/>
  <c r="D3006" i="28"/>
  <c r="D3007" i="28"/>
  <c r="D3008" i="28"/>
  <c r="D3009" i="28"/>
  <c r="D3010" i="28"/>
  <c r="D3011" i="28"/>
  <c r="D3012" i="28"/>
  <c r="D3013" i="28"/>
  <c r="D3014" i="28"/>
  <c r="D3015" i="28"/>
  <c r="D3016" i="28"/>
  <c r="D3017" i="28"/>
  <c r="D3018" i="28"/>
  <c r="D3019" i="28"/>
  <c r="D3020" i="28"/>
  <c r="D3021" i="28"/>
  <c r="D3022" i="28"/>
  <c r="D3023" i="28"/>
  <c r="D3024" i="28"/>
  <c r="D3025" i="28"/>
  <c r="D3026" i="28"/>
  <c r="D3027" i="28"/>
  <c r="D3028" i="28"/>
  <c r="D3029" i="28"/>
  <c r="D3030" i="28"/>
  <c r="D3031" i="28"/>
  <c r="D3032" i="28"/>
  <c r="D3033" i="28"/>
  <c r="D3034" i="28"/>
  <c r="D3035" i="28"/>
  <c r="D3036" i="28"/>
  <c r="D3037" i="28"/>
  <c r="D3038" i="28"/>
  <c r="D3039" i="28"/>
  <c r="D3040" i="28"/>
  <c r="D3041" i="28"/>
  <c r="D3042" i="28"/>
  <c r="D3043" i="28"/>
  <c r="D3044" i="28"/>
  <c r="D3045" i="28"/>
  <c r="D3046" i="28"/>
  <c r="D3047" i="28"/>
  <c r="D3048" i="28"/>
  <c r="D3049" i="28"/>
  <c r="D3050" i="28"/>
  <c r="D3051" i="28"/>
  <c r="D3052" i="28"/>
  <c r="D3053" i="28"/>
  <c r="D3054" i="28"/>
  <c r="D3055" i="28"/>
  <c r="D3056" i="28"/>
  <c r="D3057" i="28"/>
  <c r="D3058" i="28"/>
  <c r="D3059" i="28"/>
  <c r="D3060" i="28"/>
  <c r="D3061" i="28"/>
  <c r="D3062" i="28"/>
  <c r="D3063" i="28"/>
  <c r="D3064" i="28"/>
  <c r="D3065" i="28"/>
  <c r="D3066" i="28"/>
  <c r="D3067" i="28"/>
  <c r="D3068" i="28"/>
  <c r="D3069" i="28"/>
  <c r="D3070" i="28"/>
  <c r="D3071" i="28"/>
  <c r="D3072" i="28"/>
  <c r="D3073" i="28"/>
  <c r="D3074" i="28"/>
  <c r="D3075" i="28"/>
  <c r="D3076" i="28"/>
  <c r="D3077" i="28"/>
  <c r="D3078" i="28"/>
  <c r="D3079" i="28"/>
  <c r="D3080" i="28"/>
  <c r="D3081" i="28"/>
  <c r="D3082" i="28"/>
  <c r="D3083" i="28"/>
  <c r="D3084" i="28"/>
  <c r="D3085" i="28"/>
  <c r="D3086" i="28"/>
  <c r="D3087" i="28"/>
  <c r="D3088" i="28"/>
  <c r="D3089" i="28"/>
  <c r="D3090" i="28"/>
  <c r="D3091" i="28"/>
  <c r="D3092" i="28"/>
  <c r="D3093" i="28"/>
  <c r="D3094" i="28"/>
  <c r="D3095" i="28"/>
  <c r="D3096" i="28"/>
  <c r="D3097" i="28"/>
  <c r="D3098" i="28"/>
  <c r="D3099" i="28"/>
  <c r="D3100" i="28"/>
  <c r="D3101" i="28"/>
  <c r="D3102" i="28"/>
  <c r="D3103" i="28"/>
  <c r="D3104" i="28"/>
  <c r="D3105" i="28"/>
  <c r="D3106" i="28"/>
  <c r="D3107" i="28"/>
  <c r="D3108" i="28"/>
  <c r="D3109" i="28"/>
  <c r="D3110" i="28"/>
  <c r="D3111" i="28"/>
  <c r="D3112" i="28"/>
  <c r="D3113" i="28"/>
  <c r="D3114" i="28"/>
  <c r="D3115" i="28"/>
  <c r="D3116" i="28"/>
  <c r="D3117" i="28"/>
  <c r="D3118" i="28"/>
  <c r="D3119" i="28"/>
  <c r="D3120" i="28"/>
  <c r="D3121" i="28"/>
  <c r="D3122" i="28"/>
  <c r="D3123" i="28"/>
  <c r="D3124" i="28"/>
  <c r="D3125" i="28"/>
  <c r="D3126" i="28"/>
  <c r="D3127" i="28"/>
  <c r="D3128" i="28"/>
  <c r="D3129" i="28"/>
  <c r="D3130" i="28"/>
  <c r="D3131" i="28"/>
  <c r="D3132" i="28"/>
  <c r="D3133" i="28"/>
  <c r="D3134" i="28"/>
  <c r="D3135" i="28"/>
  <c r="D3136" i="28"/>
  <c r="D3137" i="28"/>
  <c r="D3138" i="28"/>
  <c r="D3139" i="28"/>
  <c r="D3140" i="28"/>
  <c r="D3141" i="28"/>
  <c r="D3142" i="28"/>
  <c r="D3143" i="28"/>
  <c r="D3144" i="28"/>
  <c r="D3145" i="28"/>
  <c r="D3146" i="28"/>
  <c r="D3147" i="28"/>
  <c r="D3148" i="28"/>
  <c r="D3149" i="28"/>
  <c r="D3150" i="28"/>
  <c r="D3151" i="28"/>
  <c r="D3152" i="28"/>
  <c r="D3153" i="28"/>
  <c r="D3154" i="28"/>
  <c r="D3155" i="28"/>
  <c r="D3156" i="28"/>
  <c r="D3157" i="28"/>
  <c r="D3158" i="28"/>
  <c r="D3159" i="28"/>
  <c r="D3160" i="28"/>
  <c r="D3161" i="28"/>
  <c r="D3162" i="28"/>
  <c r="D3163" i="28"/>
  <c r="D3164" i="28"/>
  <c r="D3165" i="28"/>
  <c r="D3166" i="28"/>
  <c r="D3167" i="28"/>
  <c r="D3168" i="28"/>
  <c r="D3169" i="28"/>
  <c r="D3170" i="28"/>
  <c r="D3171" i="28"/>
  <c r="D3172" i="28"/>
  <c r="D3173" i="28"/>
  <c r="D3174" i="28"/>
  <c r="D3175" i="28"/>
  <c r="D3176" i="28"/>
  <c r="D3177" i="28"/>
  <c r="D3178" i="28"/>
  <c r="D3179" i="28"/>
  <c r="D3180" i="28"/>
  <c r="D3181" i="28"/>
  <c r="D3182" i="28"/>
  <c r="D3183" i="28"/>
  <c r="D3184" i="28"/>
  <c r="D3185" i="28"/>
  <c r="D2480" i="28"/>
  <c r="D2479" i="28"/>
  <c r="D2106" i="28"/>
  <c r="D2107" i="28"/>
  <c r="D2108" i="28"/>
  <c r="D2109" i="28"/>
  <c r="D2110" i="28"/>
  <c r="D2111" i="28"/>
  <c r="D2112" i="28"/>
  <c r="D2117" i="28"/>
  <c r="D2119" i="28"/>
  <c r="D2120" i="28"/>
  <c r="D2122" i="28"/>
  <c r="D2125" i="28"/>
  <c r="D2128" i="28"/>
  <c r="D2130" i="28"/>
  <c r="D2134" i="28"/>
  <c r="D2138" i="28"/>
  <c r="D2139" i="28"/>
  <c r="D2142" i="28"/>
  <c r="D2144" i="28"/>
  <c r="D2145" i="28"/>
  <c r="D2146" i="28"/>
  <c r="D2147" i="28"/>
  <c r="D2152" i="28"/>
  <c r="D2153" i="28"/>
  <c r="D2155" i="28"/>
  <c r="D2156" i="28"/>
  <c r="D2157" i="28"/>
  <c r="D2158" i="28"/>
  <c r="D2159" i="28"/>
  <c r="D2160" i="28"/>
  <c r="D2161" i="28"/>
  <c r="D2163" i="28"/>
  <c r="D2164" i="28"/>
  <c r="D2166" i="28"/>
  <c r="D2168" i="28"/>
  <c r="D2169" i="28"/>
  <c r="D2171" i="28"/>
  <c r="D2174" i="28"/>
  <c r="D2178" i="28"/>
  <c r="D2182" i="28"/>
  <c r="D2183" i="28"/>
  <c r="D2184" i="28"/>
  <c r="D2190" i="28"/>
  <c r="D2191" i="28"/>
  <c r="D2193" i="28"/>
  <c r="D2197" i="28"/>
  <c r="D2199" i="28"/>
  <c r="D2200" i="28"/>
  <c r="D2201" i="28"/>
  <c r="D2207" i="28"/>
  <c r="D2212" i="28"/>
  <c r="D2213" i="28"/>
  <c r="D2214" i="28"/>
  <c r="D2222" i="28"/>
  <c r="D2226" i="28"/>
  <c r="D2227" i="28"/>
  <c r="D2229" i="28"/>
  <c r="D2230" i="28"/>
  <c r="D2231" i="28"/>
  <c r="D2232" i="28"/>
  <c r="D2233" i="28"/>
  <c r="D2234" i="28"/>
  <c r="D2235" i="28"/>
  <c r="D2237" i="28"/>
  <c r="D2238" i="28"/>
  <c r="D2239" i="28"/>
  <c r="D2244" i="28"/>
  <c r="D2248" i="28"/>
  <c r="D2249" i="28"/>
  <c r="D2252" i="28"/>
  <c r="D2253" i="28"/>
  <c r="D2254" i="28"/>
  <c r="D2255" i="28"/>
  <c r="D2256" i="28"/>
  <c r="D2257" i="28"/>
  <c r="D2260" i="28"/>
  <c r="D2264" i="28"/>
  <c r="D2266" i="28"/>
  <c r="D2268" i="28"/>
  <c r="D2270" i="28"/>
  <c r="D2271" i="28"/>
  <c r="D2272" i="28"/>
  <c r="D2273" i="28"/>
  <c r="D2274" i="28"/>
  <c r="D2275" i="28"/>
  <c r="D2276" i="28"/>
  <c r="D2277" i="28"/>
  <c r="D2278" i="28"/>
  <c r="D2279" i="28"/>
  <c r="D2282" i="28"/>
  <c r="D2283" i="28"/>
  <c r="D2284" i="28"/>
  <c r="D2285" i="28"/>
  <c r="D2288" i="28"/>
  <c r="D2290" i="28"/>
  <c r="D2293" i="28"/>
  <c r="D2296" i="28"/>
  <c r="D2298" i="28"/>
  <c r="D2299" i="28"/>
  <c r="D2300" i="28"/>
  <c r="D2301" i="28"/>
  <c r="D2309" i="28"/>
  <c r="D2319" i="28"/>
  <c r="D2320" i="28"/>
  <c r="D2321" i="28"/>
  <c r="D2322" i="28"/>
  <c r="D2323" i="28"/>
  <c r="D2327" i="28"/>
  <c r="D2328" i="28"/>
  <c r="D2344" i="28"/>
  <c r="D2345" i="28"/>
  <c r="D2359" i="28"/>
  <c r="D2362" i="28"/>
  <c r="D2364" i="28"/>
  <c r="D2365" i="28"/>
  <c r="D2366" i="28"/>
  <c r="D2367" i="28"/>
  <c r="D2375" i="28"/>
  <c r="D2376" i="28"/>
  <c r="D2380" i="28"/>
  <c r="D2381" i="28"/>
  <c r="D2384" i="28"/>
  <c r="D2385" i="28"/>
  <c r="D2386" i="28"/>
  <c r="D2387" i="28"/>
  <c r="D2388" i="28"/>
  <c r="D2389" i="28"/>
  <c r="D2393" i="28"/>
  <c r="D2394" i="28"/>
  <c r="D2395" i="28"/>
  <c r="D2402" i="28"/>
  <c r="D2403" i="28"/>
  <c r="D2406" i="28"/>
  <c r="D2408" i="28"/>
  <c r="D2409" i="28"/>
  <c r="D2410" i="28"/>
  <c r="D2411" i="28"/>
  <c r="D2417" i="28"/>
  <c r="D2419" i="28"/>
  <c r="D2420" i="28"/>
  <c r="D2422" i="28"/>
  <c r="D2423" i="28"/>
  <c r="D2424" i="28"/>
  <c r="D2425" i="28"/>
  <c r="D2427" i="28"/>
  <c r="D2428" i="28"/>
  <c r="D2429" i="28"/>
  <c r="D2430" i="28"/>
  <c r="D2431" i="28"/>
  <c r="D2432" i="28"/>
  <c r="D2433" i="28"/>
  <c r="D2438" i="28"/>
  <c r="D2439" i="28"/>
  <c r="D2445" i="28"/>
  <c r="D2446" i="28"/>
  <c r="D2447" i="28"/>
  <c r="D2448" i="28"/>
  <c r="D2449" i="28"/>
  <c r="D2450" i="28"/>
  <c r="D2451" i="28"/>
  <c r="D2452" i="28"/>
  <c r="D2453" i="28"/>
  <c r="D2454" i="28"/>
  <c r="D2455" i="28"/>
  <c r="D2459" i="28"/>
  <c r="D2460" i="28"/>
  <c r="D2461" i="28"/>
  <c r="D2462" i="28"/>
  <c r="D2463" i="28"/>
  <c r="D2464" i="28"/>
  <c r="D2466" i="28"/>
  <c r="D2467" i="28"/>
  <c r="D2468" i="28"/>
  <c r="D2469" i="28"/>
  <c r="D2471" i="28"/>
  <c r="D2472" i="28"/>
  <c r="D2473" i="28"/>
  <c r="D2474" i="28"/>
  <c r="D2475" i="28"/>
  <c r="D2476" i="28"/>
  <c r="D2477" i="28"/>
  <c r="D2478" i="28"/>
  <c r="D2437" i="28"/>
  <c r="D2416" i="28"/>
  <c r="D2374" i="28"/>
  <c r="D2358" i="28"/>
  <c r="D2310" i="28"/>
  <c r="D2308" i="28"/>
  <c r="D2297" i="28"/>
  <c r="D2295" i="28"/>
  <c r="D2289" i="28"/>
  <c r="D2287" i="28"/>
  <c r="D2281" i="28"/>
  <c r="D2269" i="28"/>
  <c r="D2259" i="28"/>
  <c r="D2251" i="28"/>
  <c r="D2236" i="28"/>
  <c r="D2228" i="28"/>
  <c r="D2206" i="28"/>
  <c r="D2196" i="28"/>
  <c r="D2192" i="28"/>
  <c r="D2173" i="28"/>
  <c r="D2170" i="28"/>
  <c r="D2167" i="28"/>
  <c r="D2165" i="28"/>
  <c r="D2154" i="28"/>
  <c r="D2143" i="28"/>
  <c r="D2137" i="28"/>
  <c r="D2129" i="28"/>
  <c r="D2127" i="28"/>
  <c r="D2118" i="28"/>
  <c r="D2113" i="28"/>
  <c r="D1758" i="28"/>
  <c r="D1769" i="28"/>
  <c r="D1780" i="28"/>
  <c r="D1792" i="28"/>
  <c r="D1804" i="28"/>
  <c r="D1819" i="28"/>
  <c r="D1826" i="28"/>
  <c r="D1839" i="28"/>
  <c r="D1841" i="28"/>
  <c r="D1843" i="28"/>
  <c r="D1857" i="28"/>
  <c r="D1862" i="28"/>
  <c r="D1866" i="28"/>
  <c r="D1874" i="28"/>
  <c r="D1881" i="28"/>
  <c r="D1888" i="28"/>
  <c r="D1895" i="28"/>
  <c r="D1902" i="28"/>
  <c r="D1920" i="28"/>
  <c r="D1923" i="28"/>
  <c r="D1926" i="28"/>
  <c r="D1930" i="28"/>
  <c r="D1933" i="28"/>
  <c r="D1944" i="28"/>
  <c r="D1945" i="28"/>
  <c r="D1946" i="28"/>
  <c r="D1947" i="28"/>
  <c r="D1948" i="28"/>
  <c r="D1952" i="28"/>
  <c r="D1956" i="28"/>
  <c r="D1957" i="28"/>
  <c r="D1960" i="28"/>
  <c r="D1964" i="28"/>
  <c r="D1968" i="28"/>
  <c r="D1972" i="28"/>
  <c r="D1976" i="28"/>
  <c r="D1978" i="28"/>
  <c r="D1979" i="28"/>
  <c r="D1982" i="28"/>
  <c r="D1984" i="28"/>
  <c r="D1985" i="28"/>
  <c r="D1986" i="28"/>
  <c r="D1991" i="28"/>
  <c r="D2013" i="28"/>
  <c r="D2021" i="28"/>
  <c r="D2037" i="28"/>
  <c r="D2044" i="28"/>
  <c r="D2053" i="28"/>
  <c r="D2055" i="28"/>
  <c r="D2056" i="28"/>
  <c r="D2057" i="28"/>
  <c r="D2058" i="28"/>
  <c r="D2071" i="28"/>
  <c r="D2084" i="28"/>
  <c r="D2088" i="28"/>
  <c r="D2090" i="28"/>
  <c r="D2094" i="28"/>
  <c r="D2098" i="28"/>
  <c r="D2102" i="28"/>
  <c r="D2105" i="28"/>
  <c r="D2101" i="28"/>
  <c r="D2097" i="28"/>
  <c r="D2089" i="28"/>
  <c r="D2070" i="28"/>
  <c r="D2054" i="28"/>
  <c r="D1990" i="28"/>
  <c r="D1983" i="28"/>
  <c r="D1981" i="28"/>
  <c r="D1977" i="28"/>
  <c r="D1971" i="28"/>
  <c r="D1967" i="28"/>
  <c r="D1963" i="28"/>
  <c r="D1959" i="28"/>
  <c r="D1949" i="28"/>
  <c r="D1943" i="28"/>
  <c r="D1932" i="28"/>
  <c r="D1929" i="28"/>
  <c r="D1925" i="28"/>
  <c r="D1922" i="28"/>
  <c r="D1880" i="28"/>
  <c r="D1865" i="28"/>
  <c r="D1861" i="28"/>
  <c r="D1856" i="28"/>
  <c r="D1842" i="28"/>
  <c r="D1840" i="28"/>
  <c r="D1838" i="28"/>
  <c r="D1787" i="28"/>
  <c r="D1779" i="28"/>
  <c r="D1768" i="28"/>
  <c r="Q36" i="5" l="1"/>
  <c r="Q23" i="5"/>
  <c r="D2440" i="28"/>
  <c r="D2263" i="28"/>
  <c r="D2262" i="28"/>
  <c r="D2124" i="28"/>
  <c r="D2343" i="28"/>
  <c r="D2211" i="28"/>
  <c r="D2189" i="28"/>
  <c r="D2123" i="28"/>
  <c r="D2342" i="28"/>
  <c r="D2210" i="28"/>
  <c r="D2188" i="28"/>
  <c r="D2407" i="28"/>
  <c r="D2363" i="28"/>
  <c r="D2341" i="28"/>
  <c r="D2209" i="28"/>
  <c r="D2187" i="28"/>
  <c r="D2121" i="28"/>
  <c r="D2340" i="28"/>
  <c r="D2208" i="28"/>
  <c r="D2186" i="28"/>
  <c r="D2405" i="28"/>
  <c r="D2383" i="28"/>
  <c r="D2361" i="28"/>
  <c r="D2339" i="28"/>
  <c r="D2185" i="28"/>
  <c r="D2141" i="28"/>
  <c r="D2470" i="28"/>
  <c r="D2426" i="28"/>
  <c r="D2404" i="28"/>
  <c r="D2382" i="28"/>
  <c r="D2360" i="28"/>
  <c r="D2338" i="28"/>
  <c r="D2294" i="28"/>
  <c r="D2250" i="28"/>
  <c r="D2162" i="28"/>
  <c r="D2140" i="28"/>
  <c r="D2337" i="28"/>
  <c r="D2401" i="28"/>
  <c r="D2379" i="28"/>
  <c r="D2357" i="28"/>
  <c r="D2335" i="28"/>
  <c r="D2291" i="28"/>
  <c r="D2247" i="28"/>
  <c r="D2225" i="28"/>
  <c r="D2203" i="28"/>
  <c r="D2181" i="28"/>
  <c r="D2400" i="28"/>
  <c r="D2378" i="28"/>
  <c r="D2356" i="28"/>
  <c r="D2334" i="28"/>
  <c r="D2246" i="28"/>
  <c r="D2224" i="28"/>
  <c r="D2202" i="28"/>
  <c r="D2180" i="28"/>
  <c r="D2136" i="28"/>
  <c r="D2465" i="28"/>
  <c r="D2421" i="28"/>
  <c r="D2399" i="28"/>
  <c r="D2377" i="28"/>
  <c r="D2355" i="28"/>
  <c r="D2333" i="28"/>
  <c r="D2267" i="28"/>
  <c r="D2245" i="28"/>
  <c r="D2223" i="28"/>
  <c r="D2179" i="28"/>
  <c r="D2135" i="28"/>
  <c r="D2354" i="28"/>
  <c r="D2397" i="28"/>
  <c r="D2353" i="28"/>
  <c r="D2331" i="28"/>
  <c r="D2265" i="28"/>
  <c r="D2243" i="28"/>
  <c r="D2221" i="28"/>
  <c r="D2177" i="28"/>
  <c r="D2133" i="28"/>
  <c r="D2205" i="28"/>
  <c r="D2292" i="28"/>
  <c r="D2332" i="28"/>
  <c r="D2418" i="28"/>
  <c r="D2396" i="28"/>
  <c r="D2352" i="28"/>
  <c r="D2330" i="28"/>
  <c r="D2286" i="28"/>
  <c r="D2242" i="28"/>
  <c r="D2220" i="28"/>
  <c r="D2198" i="28"/>
  <c r="D2176" i="28"/>
  <c r="D2132" i="28"/>
  <c r="D2398" i="28"/>
  <c r="D2373" i="28"/>
  <c r="D2329" i="28"/>
  <c r="D2307" i="28"/>
  <c r="D2241" i="28"/>
  <c r="D2219" i="28"/>
  <c r="D2175" i="28"/>
  <c r="D2131" i="28"/>
  <c r="D2305" i="28"/>
  <c r="D2261" i="28"/>
  <c r="D2217" i="28"/>
  <c r="D2195" i="28"/>
  <c r="D2151" i="28"/>
  <c r="D2458" i="28"/>
  <c r="D2436" i="28"/>
  <c r="D2414" i="28"/>
  <c r="D2392" i="28"/>
  <c r="D2370" i="28"/>
  <c r="D2348" i="28"/>
  <c r="D2326" i="28"/>
  <c r="D2304" i="28"/>
  <c r="D2216" i="28"/>
  <c r="D2194" i="28"/>
  <c r="D2172" i="28"/>
  <c r="D2150" i="28"/>
  <c r="D2351" i="28"/>
  <c r="D2350" i="28"/>
  <c r="D2306" i="28"/>
  <c r="D2240" i="28"/>
  <c r="D2415" i="28"/>
  <c r="D2371" i="28"/>
  <c r="D2457" i="28"/>
  <c r="D2435" i="28"/>
  <c r="D2413" i="28"/>
  <c r="D2391" i="28"/>
  <c r="D2369" i="28"/>
  <c r="D2347" i="28"/>
  <c r="D2325" i="28"/>
  <c r="D2303" i="28"/>
  <c r="D2215" i="28"/>
  <c r="D2149" i="28"/>
  <c r="D2336" i="28"/>
  <c r="D2204" i="28"/>
  <c r="D1875" i="28"/>
  <c r="D2372" i="28"/>
  <c r="D2218" i="28"/>
  <c r="D2349" i="28"/>
  <c r="D2456" i="28"/>
  <c r="D2434" i="28"/>
  <c r="D2412" i="28"/>
  <c r="D2390" i="28"/>
  <c r="D2368" i="28"/>
  <c r="D2346" i="28"/>
  <c r="D2324" i="28"/>
  <c r="D2302" i="28"/>
  <c r="D2280" i="28"/>
  <c r="D2258" i="28"/>
  <c r="D2148" i="28"/>
  <c r="D2126" i="28"/>
  <c r="D1777" i="28"/>
  <c r="D1934" i="28"/>
  <c r="D1778" i="28"/>
  <c r="D1776" i="28"/>
  <c r="D1771" i="28"/>
  <c r="D2061" i="28"/>
  <c r="D1766" i="28"/>
  <c r="D1941" i="28"/>
  <c r="D2060" i="28"/>
  <c r="D1765" i="28"/>
  <c r="D1942" i="28"/>
  <c r="D2059" i="28"/>
  <c r="D1879" i="28"/>
  <c r="D1785" i="28"/>
  <c r="D1793" i="28"/>
  <c r="D1781" i="28"/>
  <c r="D1784" i="28"/>
  <c r="D2099" i="28"/>
  <c r="D2096" i="28"/>
  <c r="D2095" i="28"/>
  <c r="D1940" i="28"/>
  <c r="D1980" i="28"/>
  <c r="D1939" i="28"/>
  <c r="D1770" i="28"/>
  <c r="D1938" i="28"/>
  <c r="D1845" i="28"/>
  <c r="D1958" i="28"/>
  <c r="D1782" i="28"/>
  <c r="D1936" i="28"/>
  <c r="D1844" i="28"/>
  <c r="D2062" i="28"/>
  <c r="D1935" i="28"/>
  <c r="D1767" i="28"/>
  <c r="D2100" i="28"/>
  <c r="D1764" i="28"/>
  <c r="D1931" i="28"/>
  <c r="D1969" i="28"/>
  <c r="D1859" i="28"/>
  <c r="D1832" i="28"/>
  <c r="D1855" i="28"/>
  <c r="D1924" i="28"/>
  <c r="D2066" i="28"/>
  <c r="D1989" i="28"/>
  <c r="D1851" i="28"/>
  <c r="D1762" i="28"/>
  <c r="D1836" i="28"/>
  <c r="D1863" i="28"/>
  <c r="D1833" i="28"/>
  <c r="D1858" i="28"/>
  <c r="D1763" i="28"/>
  <c r="D2065" i="28"/>
  <c r="D1848" i="28"/>
  <c r="D1760" i="28"/>
  <c r="D1864" i="28"/>
  <c r="D1835" i="28"/>
  <c r="D2023" i="28"/>
  <c r="D2022" i="28"/>
  <c r="D2067" i="28"/>
  <c r="D2064" i="28"/>
  <c r="D1847" i="28"/>
  <c r="D1759" i="28"/>
  <c r="D1837" i="28"/>
  <c r="D1834" i="28"/>
  <c r="D1966" i="28"/>
  <c r="D1965" i="28"/>
  <c r="D1831" i="28"/>
  <c r="D1854" i="28"/>
  <c r="D2068" i="28"/>
  <c r="D1853" i="28"/>
  <c r="D1852" i="28"/>
  <c r="D2063" i="28"/>
  <c r="D1846" i="28"/>
  <c r="D1786" i="28"/>
  <c r="D1988" i="28"/>
  <c r="D1882" i="28"/>
  <c r="D1975" i="28"/>
  <c r="D1974" i="28"/>
  <c r="D1867" i="28"/>
  <c r="D1987" i="28"/>
  <c r="D1992" i="28"/>
  <c r="D1878" i="28"/>
  <c r="D2014" i="28"/>
  <c r="D1921" i="28"/>
  <c r="D1877" i="28"/>
  <c r="D1889" i="28"/>
  <c r="D2025" i="28"/>
  <c r="D2024" i="28"/>
  <c r="D1876" i="28"/>
  <c r="D2038" i="28"/>
  <c r="D1904" i="28"/>
  <c r="D2047" i="28"/>
  <c r="D1896" i="28"/>
  <c r="D2085" i="28"/>
  <c r="D2091" i="28"/>
  <c r="D1794" i="28"/>
  <c r="D1953" i="28"/>
  <c r="D2046" i="28"/>
  <c r="D1748" i="28"/>
  <c r="D1903" i="28"/>
  <c r="D2072" i="28"/>
  <c r="D1805" i="28"/>
  <c r="D2045" i="28"/>
  <c r="D1820" i="28"/>
  <c r="D1962" i="28"/>
  <c r="D1830" i="28"/>
  <c r="D1961" i="28"/>
  <c r="D1829" i="28"/>
  <c r="D1850" i="28"/>
  <c r="D1828" i="28"/>
  <c r="D2069" i="28"/>
  <c r="D1937" i="28"/>
  <c r="D1849" i="28"/>
  <c r="D1827" i="28"/>
  <c r="D1783" i="28"/>
  <c r="D1761" i="28"/>
  <c r="D1973" i="28"/>
  <c r="D1775" i="28"/>
  <c r="D2104" i="28"/>
  <c r="D1928" i="28"/>
  <c r="D1774" i="28"/>
  <c r="D2103" i="28"/>
  <c r="D1927" i="28"/>
  <c r="D1773" i="28"/>
  <c r="D1970" i="28"/>
  <c r="D1860" i="28"/>
  <c r="D1772" i="28"/>
  <c r="D1747" i="28"/>
  <c r="D1735" i="28"/>
  <c r="D1736" i="28"/>
  <c r="D1737" i="28"/>
  <c r="D1738" i="28"/>
  <c r="D1739" i="28"/>
  <c r="D1740" i="28"/>
  <c r="D1741" i="28"/>
  <c r="D1742" i="28"/>
  <c r="D1743" i="28"/>
  <c r="D1744" i="28"/>
  <c r="D1745" i="28"/>
  <c r="D1746" i="28"/>
  <c r="D1481" i="28"/>
  <c r="D1489" i="28"/>
  <c r="D1511" i="28"/>
  <c r="D1512" i="28"/>
  <c r="D1516" i="28"/>
  <c r="D1526" i="28"/>
  <c r="D1527" i="28"/>
  <c r="D1535" i="28"/>
  <c r="D1537" i="28"/>
  <c r="D1550" i="28"/>
  <c r="D1555" i="28"/>
  <c r="D1559" i="28"/>
  <c r="D1572" i="28"/>
  <c r="D1575" i="28"/>
  <c r="D1581" i="28"/>
  <c r="D1594" i="28"/>
  <c r="D1605" i="28"/>
  <c r="D1612" i="28"/>
  <c r="D1621" i="28"/>
  <c r="D1634" i="28"/>
  <c r="D1645" i="28"/>
  <c r="D1655" i="28"/>
  <c r="D1665" i="28"/>
  <c r="D1668" i="28"/>
  <c r="D1672" i="28"/>
  <c r="D1679" i="28"/>
  <c r="D1683" i="28"/>
  <c r="D1685" i="28"/>
  <c r="D1688" i="28"/>
  <c r="D1690" i="28"/>
  <c r="D1701" i="28"/>
  <c r="D1702" i="28"/>
  <c r="D1710" i="28"/>
  <c r="D1715" i="28"/>
  <c r="D1719" i="28"/>
  <c r="D1725" i="28"/>
  <c r="D1734" i="28"/>
  <c r="D1724" i="28"/>
  <c r="D1718" i="28"/>
  <c r="D1714" i="28"/>
  <c r="D1709" i="28"/>
  <c r="D1700" i="28"/>
  <c r="D1689" i="28"/>
  <c r="D1687" i="28"/>
  <c r="D1684" i="28"/>
  <c r="D1680" i="28"/>
  <c r="D1678" i="28"/>
  <c r="D1671" i="28"/>
  <c r="D1667" i="28"/>
  <c r="D1664" i="28"/>
  <c r="D1654" i="28"/>
  <c r="D1644" i="28"/>
  <c r="D1633" i="28"/>
  <c r="D1620" i="28"/>
  <c r="D1611" i="28"/>
  <c r="D1604" i="28"/>
  <c r="D1593" i="28"/>
  <c r="D1580" i="28"/>
  <c r="D1574" i="28"/>
  <c r="D1571" i="28"/>
  <c r="D1558" i="28"/>
  <c r="D1554" i="28"/>
  <c r="D1549" i="28"/>
  <c r="D1536" i="28"/>
  <c r="D1529" i="28"/>
  <c r="D1525" i="28"/>
  <c r="D1515" i="28"/>
  <c r="D1510" i="28"/>
  <c r="D1482" i="28"/>
  <c r="D1205" i="28"/>
  <c r="D1210" i="28"/>
  <c r="D1228" i="28"/>
  <c r="D1233" i="28"/>
  <c r="D1247" i="28"/>
  <c r="D1260" i="28"/>
  <c r="D1269" i="28"/>
  <c r="D1270" i="28"/>
  <c r="D1274" i="28"/>
  <c r="D1283" i="28"/>
  <c r="D1287" i="28"/>
  <c r="D1291" i="28"/>
  <c r="D1298" i="28"/>
  <c r="D1308" i="28"/>
  <c r="D1313" i="28"/>
  <c r="D1318" i="28"/>
  <c r="D1334" i="28"/>
  <c r="D1346" i="28"/>
  <c r="D1358" i="28"/>
  <c r="D1362" i="28"/>
  <c r="D1372" i="28"/>
  <c r="D1374" i="28"/>
  <c r="D1376" i="28"/>
  <c r="D1380" i="28"/>
  <c r="D1386" i="28"/>
  <c r="D1387" i="28"/>
  <c r="D1388" i="28"/>
  <c r="D1389" i="28"/>
  <c r="D1390" i="28"/>
  <c r="D1393" i="28"/>
  <c r="D1397" i="28"/>
  <c r="D1407" i="28"/>
  <c r="D1417" i="28"/>
  <c r="D1420" i="28"/>
  <c r="D1423" i="28"/>
  <c r="D1425" i="28"/>
  <c r="D1434" i="28"/>
  <c r="D1436" i="28"/>
  <c r="D1442" i="28"/>
  <c r="D1451" i="28"/>
  <c r="D1455" i="28"/>
  <c r="D1461" i="28"/>
  <c r="D1480" i="28"/>
  <c r="D1460" i="28"/>
  <c r="D1454" i="28"/>
  <c r="D1450" i="28"/>
  <c r="D1441" i="28"/>
  <c r="D1435" i="28"/>
  <c r="D1433" i="28"/>
  <c r="D1424" i="28"/>
  <c r="D1422" i="28"/>
  <c r="D1419" i="28"/>
  <c r="D1416" i="28"/>
  <c r="D1406" i="28"/>
  <c r="D1396" i="28"/>
  <c r="D1392" i="28"/>
  <c r="D1379" i="28"/>
  <c r="D1371" i="28"/>
  <c r="D1361" i="28"/>
  <c r="D1357" i="28"/>
  <c r="D1345" i="28"/>
  <c r="D1328" i="28"/>
  <c r="D1317" i="28"/>
  <c r="D1312" i="28"/>
  <c r="D1307" i="28"/>
  <c r="D1297" i="28"/>
  <c r="D1290" i="28"/>
  <c r="D1286" i="28"/>
  <c r="D1282" i="28"/>
  <c r="D1273" i="28"/>
  <c r="D1268" i="28"/>
  <c r="D1259" i="28"/>
  <c r="D1246" i="28"/>
  <c r="D1232" i="28"/>
  <c r="D1227" i="28"/>
  <c r="D1209" i="28"/>
  <c r="D2311" i="28" l="1"/>
  <c r="D1528" i="28"/>
  <c r="D1214" i="28"/>
  <c r="D1637" i="28"/>
  <c r="D1490" i="28"/>
  <c r="D1254" i="28"/>
  <c r="D1643" i="28"/>
  <c r="D1428" i="28"/>
  <c r="D1623" i="28"/>
  <c r="D2114" i="28"/>
  <c r="D1429" i="28"/>
  <c r="D1427" i="28"/>
  <c r="D1622" i="28"/>
  <c r="D2441" i="28"/>
  <c r="D1638" i="28"/>
  <c r="D1375" i="28"/>
  <c r="D1615" i="28"/>
  <c r="D1501" i="28"/>
  <c r="D1613" i="28"/>
  <c r="D1494" i="28"/>
  <c r="D1616" i="28"/>
  <c r="D1373" i="28"/>
  <c r="D1493" i="28"/>
  <c r="D1216" i="28"/>
  <c r="D1492" i="28"/>
  <c r="D1215" i="28"/>
  <c r="D1491" i="28"/>
  <c r="D1348" i="28"/>
  <c r="D1676" i="28"/>
  <c r="D1677" i="28"/>
  <c r="D1567" i="28"/>
  <c r="D1560" i="28"/>
  <c r="D1213" i="28"/>
  <c r="D1212" i="28"/>
  <c r="D1675" i="28"/>
  <c r="D1673" i="28"/>
  <c r="D1347" i="28"/>
  <c r="D1566" i="28"/>
  <c r="D1403" i="28"/>
  <c r="D1244" i="28"/>
  <c r="D1565" i="28"/>
  <c r="D1426" i="28"/>
  <c r="D1243" i="28"/>
  <c r="D1564" i="28"/>
  <c r="D1279" i="28"/>
  <c r="D1235" i="28"/>
  <c r="D1722" i="28"/>
  <c r="D1723" i="28"/>
  <c r="D1721" i="28"/>
  <c r="D1277" i="28"/>
  <c r="D1653" i="28"/>
  <c r="D1591" i="28"/>
  <c r="D1590" i="28"/>
  <c r="D1242" i="28"/>
  <c r="D1418" i="28"/>
  <c r="D1278" i="28"/>
  <c r="D1234" i="28"/>
  <c r="D1414" i="28"/>
  <c r="D1276" i="28"/>
  <c r="D1717" i="28"/>
  <c r="D1458" i="28"/>
  <c r="D1413" i="28"/>
  <c r="D1275" i="28"/>
  <c r="D1230" i="28"/>
  <c r="D1589" i="28"/>
  <c r="D1238" i="28"/>
  <c r="D1280" i="28"/>
  <c r="D1411" i="28"/>
  <c r="D1587" i="28"/>
  <c r="D1586" i="28"/>
  <c r="D1236" i="28"/>
  <c r="D1711" i="28"/>
  <c r="D1408" i="28"/>
  <c r="D1635" i="28"/>
  <c r="D1577" i="28"/>
  <c r="D1410" i="28"/>
  <c r="D1409" i="28"/>
  <c r="D1266" i="28"/>
  <c r="D1509" i="28"/>
  <c r="D1316" i="28"/>
  <c r="D1507" i="28"/>
  <c r="D1281" i="28"/>
  <c r="D1264" i="28"/>
  <c r="D1431" i="28"/>
  <c r="D1314" i="28"/>
  <c r="D1263" i="28"/>
  <c r="D1631" i="28"/>
  <c r="D1569" i="28"/>
  <c r="D1505" i="28"/>
  <c r="D1237" i="28"/>
  <c r="D1265" i="28"/>
  <c r="D1432" i="28"/>
  <c r="D1315" i="28"/>
  <c r="D1632" i="28"/>
  <c r="D1506" i="28"/>
  <c r="D1430" i="28"/>
  <c r="D1198" i="28"/>
  <c r="D1630" i="28"/>
  <c r="D1568" i="28"/>
  <c r="D1502" i="28"/>
  <c r="D1651" i="28"/>
  <c r="D1650" i="28"/>
  <c r="D1649" i="28"/>
  <c r="D1479" i="28"/>
  <c r="D1412" i="28"/>
  <c r="D1241" i="28"/>
  <c r="D1211" i="28"/>
  <c r="D1648" i="28"/>
  <c r="D1513" i="28"/>
  <c r="D1456" i="28"/>
  <c r="D1478" i="28"/>
  <c r="D1647" i="28"/>
  <c r="D1712" i="28"/>
  <c r="D1674" i="28"/>
  <c r="D1473" i="28"/>
  <c r="D1652" i="28"/>
  <c r="D1646" i="28"/>
  <c r="D1474" i="28"/>
  <c r="D1369" i="28"/>
  <c r="D1557" i="28"/>
  <c r="D1471" i="28"/>
  <c r="D1402" i="28"/>
  <c r="D1368" i="28"/>
  <c r="D1231" i="28"/>
  <c r="D1704" i="28"/>
  <c r="D1588" i="28"/>
  <c r="D1556" i="28"/>
  <c r="D1503" i="28"/>
  <c r="D1666" i="28"/>
  <c r="D1477" i="28"/>
  <c r="D1310" i="28"/>
  <c r="D1472" i="28"/>
  <c r="D1309" i="28"/>
  <c r="D1303" i="28"/>
  <c r="D1500" i="28"/>
  <c r="D1476" i="28"/>
  <c r="D1367" i="28"/>
  <c r="D1398" i="28"/>
  <c r="D1467" i="28"/>
  <c r="D1659" i="28"/>
  <c r="D1499" i="28"/>
  <c r="D1470" i="28"/>
  <c r="D1733" i="28"/>
  <c r="D1466" i="28"/>
  <c r="D1354" i="28"/>
  <c r="D1258" i="28"/>
  <c r="D1546" i="28"/>
  <c r="D1464" i="28"/>
  <c r="D1353" i="28"/>
  <c r="D1288" i="28"/>
  <c r="D1257" i="28"/>
  <c r="D1221" i="28"/>
  <c r="D1729" i="28"/>
  <c r="D1692" i="28"/>
  <c r="D1656" i="28"/>
  <c r="D1629" i="28"/>
  <c r="D1538" i="28"/>
  <c r="D1497" i="28"/>
  <c r="D1457" i="28"/>
  <c r="D1498" i="28"/>
  <c r="D1463" i="28"/>
  <c r="D1256" i="28"/>
  <c r="D1220" i="28"/>
  <c r="D1727" i="28"/>
  <c r="D1627" i="28"/>
  <c r="D1579" i="28"/>
  <c r="D1496" i="28"/>
  <c r="D1475" i="28"/>
  <c r="D1370" i="28"/>
  <c r="D1400" i="28"/>
  <c r="D1304" i="28"/>
  <c r="D1703" i="28"/>
  <c r="D1469" i="28"/>
  <c r="D1366" i="28"/>
  <c r="D1468" i="28"/>
  <c r="D1302" i="28"/>
  <c r="D1226" i="28"/>
  <c r="D1660" i="28"/>
  <c r="D1585" i="28"/>
  <c r="D1224" i="28"/>
  <c r="D1732" i="28"/>
  <c r="D1583" i="28"/>
  <c r="D1547" i="28"/>
  <c r="D1395" i="28"/>
  <c r="D1222" i="28"/>
  <c r="D1731" i="28"/>
  <c r="D1699" i="28"/>
  <c r="D1657" i="28"/>
  <c r="D1582" i="28"/>
  <c r="D1352" i="28"/>
  <c r="D1462" i="28"/>
  <c r="D1391" i="28"/>
  <c r="D1351" i="28"/>
  <c r="D1255" i="28"/>
  <c r="D1219" i="28"/>
  <c r="D1726" i="28"/>
  <c r="D1626" i="28"/>
  <c r="D1578" i="28"/>
  <c r="D1495" i="28"/>
  <c r="D1788" i="28"/>
  <c r="D1199" i="28"/>
  <c r="D1806" i="28"/>
  <c r="D1905" i="28"/>
  <c r="D1524" i="28"/>
  <c r="D1749" i="28"/>
  <c r="D1326" i="28"/>
  <c r="D1453" i="28"/>
  <c r="D1363" i="28"/>
  <c r="D1253" i="28"/>
  <c r="D1545" i="28"/>
  <c r="D1523" i="28"/>
  <c r="D1720" i="28"/>
  <c r="D1698" i="28"/>
  <c r="D1610" i="28"/>
  <c r="D1544" i="28"/>
  <c r="D1522" i="28"/>
  <c r="D1449" i="28"/>
  <c r="D1405" i="28"/>
  <c r="D1383" i="28"/>
  <c r="D1339" i="28"/>
  <c r="D1295" i="28"/>
  <c r="D1251" i="28"/>
  <c r="D1229" i="28"/>
  <c r="D1207" i="28"/>
  <c r="D1697" i="28"/>
  <c r="D1609" i="28"/>
  <c r="D1543" i="28"/>
  <c r="D1521" i="28"/>
  <c r="D2026" i="28"/>
  <c r="D1440" i="28"/>
  <c r="D1323" i="28"/>
  <c r="D1883" i="28"/>
  <c r="D1344" i="28"/>
  <c r="D1322" i="28"/>
  <c r="D1365" i="28"/>
  <c r="D1321" i="28"/>
  <c r="D2039" i="28"/>
  <c r="D1342" i="28"/>
  <c r="D1320" i="28"/>
  <c r="D1385" i="28"/>
  <c r="D1341" i="28"/>
  <c r="D1319" i="28"/>
  <c r="D1384" i="28"/>
  <c r="D1340" i="28"/>
  <c r="D1296" i="28"/>
  <c r="D1252" i="28"/>
  <c r="D1208" i="28"/>
  <c r="D1448" i="28"/>
  <c r="D1404" i="28"/>
  <c r="D1382" i="28"/>
  <c r="D1360" i="28"/>
  <c r="D1338" i="28"/>
  <c r="D1294" i="28"/>
  <c r="D1272" i="28"/>
  <c r="D1250" i="28"/>
  <c r="D1206" i="28"/>
  <c r="D1696" i="28"/>
  <c r="D1608" i="28"/>
  <c r="D1542" i="28"/>
  <c r="D1520" i="28"/>
  <c r="D1343" i="28"/>
  <c r="D1452" i="28"/>
  <c r="D1447" i="28"/>
  <c r="D1381" i="28"/>
  <c r="D1359" i="28"/>
  <c r="D1337" i="28"/>
  <c r="D1293" i="28"/>
  <c r="D1271" i="28"/>
  <c r="D1249" i="28"/>
  <c r="D1695" i="28"/>
  <c r="D1607" i="28"/>
  <c r="D1563" i="28"/>
  <c r="D1541" i="28"/>
  <c r="D1519" i="28"/>
  <c r="D1955" i="28"/>
  <c r="D1954" i="28"/>
  <c r="D1890" i="28"/>
  <c r="D1716" i="28"/>
  <c r="D1694" i="28"/>
  <c r="D1628" i="28"/>
  <c r="D1606" i="28"/>
  <c r="D1584" i="28"/>
  <c r="D1562" i="28"/>
  <c r="D1540" i="28"/>
  <c r="D1518" i="28"/>
  <c r="D1445" i="28"/>
  <c r="D1401" i="28"/>
  <c r="D1335" i="28"/>
  <c r="D1225" i="28"/>
  <c r="D1693" i="28"/>
  <c r="D1561" i="28"/>
  <c r="D1539" i="28"/>
  <c r="D1517" i="28"/>
  <c r="D1795" i="28"/>
  <c r="D1601" i="28"/>
  <c r="D1325" i="28"/>
  <c r="D1324" i="28"/>
  <c r="D1300" i="28"/>
  <c r="D1299" i="28"/>
  <c r="D1446" i="28"/>
  <c r="D1336" i="28"/>
  <c r="D1292" i="28"/>
  <c r="D1444" i="28"/>
  <c r="D1356" i="28"/>
  <c r="D1364" i="28"/>
  <c r="D1248" i="28"/>
  <c r="D1378" i="28"/>
  <c r="D1670" i="28"/>
  <c r="D1465" i="28"/>
  <c r="D1443" i="28"/>
  <c r="D1421" i="28"/>
  <c r="D1399" i="28"/>
  <c r="D1377" i="28"/>
  <c r="D1355" i="28"/>
  <c r="D1311" i="28"/>
  <c r="D1289" i="28"/>
  <c r="D1267" i="28"/>
  <c r="D1245" i="28"/>
  <c r="D1223" i="28"/>
  <c r="D1713" i="28"/>
  <c r="D1691" i="28"/>
  <c r="D1669" i="28"/>
  <c r="D1625" i="28"/>
  <c r="D1603" i="28"/>
  <c r="D2015" i="28"/>
  <c r="D1624" i="28"/>
  <c r="D1602" i="28"/>
  <c r="D1514" i="28"/>
  <c r="D2093" i="28"/>
  <c r="D2092" i="28"/>
  <c r="D1951" i="28"/>
  <c r="D1950" i="28"/>
  <c r="D1730" i="28"/>
  <c r="D1708" i="28"/>
  <c r="D1686" i="28"/>
  <c r="D1642" i="28"/>
  <c r="D1598" i="28"/>
  <c r="D1576" i="28"/>
  <c r="D1600" i="28"/>
  <c r="D1993" i="28"/>
  <c r="D1439" i="28"/>
  <c r="D1285" i="28"/>
  <c r="D1599" i="28"/>
  <c r="D2087" i="28"/>
  <c r="D2086" i="28"/>
  <c r="D1438" i="28"/>
  <c r="D1394" i="28"/>
  <c r="D1350" i="28"/>
  <c r="D1306" i="28"/>
  <c r="D1284" i="28"/>
  <c r="D1262" i="28"/>
  <c r="D1240" i="28"/>
  <c r="D1218" i="28"/>
  <c r="D1459" i="28"/>
  <c r="D1437" i="28"/>
  <c r="D1415" i="28"/>
  <c r="D1349" i="28"/>
  <c r="D1327" i="28"/>
  <c r="D1305" i="28"/>
  <c r="D1261" i="28"/>
  <c r="D1239" i="28"/>
  <c r="D1217" i="28"/>
  <c r="D1707" i="28"/>
  <c r="D1663" i="28"/>
  <c r="D1641" i="28"/>
  <c r="D1619" i="28"/>
  <c r="D1597" i="28"/>
  <c r="D1553" i="28"/>
  <c r="D1821" i="28"/>
  <c r="D1897" i="28"/>
  <c r="D1868" i="28"/>
  <c r="D1728" i="28"/>
  <c r="D1706" i="28"/>
  <c r="D1662" i="28"/>
  <c r="D1640" i="28"/>
  <c r="D1618" i="28"/>
  <c r="D1596" i="28"/>
  <c r="D1552" i="28"/>
  <c r="D1508" i="28"/>
  <c r="D1705" i="28"/>
  <c r="D1661" i="28"/>
  <c r="D1639" i="28"/>
  <c r="D1617" i="28"/>
  <c r="D1595" i="28"/>
  <c r="D1573" i="28"/>
  <c r="D1551" i="28"/>
  <c r="D2048" i="28"/>
  <c r="D1301" i="28"/>
  <c r="D1658" i="28"/>
  <c r="D1636" i="28"/>
  <c r="D1614" i="28"/>
  <c r="D1592" i="28"/>
  <c r="D1570" i="28"/>
  <c r="D1548" i="28"/>
  <c r="D1504" i="28"/>
  <c r="D2073" i="28"/>
  <c r="D1197" i="28"/>
  <c r="D912" i="28"/>
  <c r="D913" i="28"/>
  <c r="D914" i="28"/>
  <c r="D915" i="28"/>
  <c r="D916" i="28"/>
  <c r="D917" i="28"/>
  <c r="D918" i="28"/>
  <c r="D919" i="28"/>
  <c r="D920" i="28"/>
  <c r="D921" i="28"/>
  <c r="D922" i="28"/>
  <c r="D923" i="28"/>
  <c r="D924" i="28"/>
  <c r="D925" i="28"/>
  <c r="D926" i="28"/>
  <c r="D927" i="28"/>
  <c r="D928" i="28"/>
  <c r="D929" i="28"/>
  <c r="D930" i="28"/>
  <c r="D931" i="28"/>
  <c r="D932" i="28"/>
  <c r="D933" i="28"/>
  <c r="D934" i="28"/>
  <c r="D935" i="28"/>
  <c r="D936" i="28"/>
  <c r="D937" i="28"/>
  <c r="D938" i="28"/>
  <c r="D939" i="28"/>
  <c r="D940" i="28"/>
  <c r="D941" i="28"/>
  <c r="D942" i="28"/>
  <c r="D943" i="28"/>
  <c r="D944" i="28"/>
  <c r="D945" i="28"/>
  <c r="D946" i="28"/>
  <c r="D947" i="28"/>
  <c r="D948" i="28"/>
  <c r="D949" i="28"/>
  <c r="D950" i="28"/>
  <c r="D951" i="28"/>
  <c r="D952" i="28"/>
  <c r="D953" i="28"/>
  <c r="D954" i="28"/>
  <c r="D955" i="28"/>
  <c r="D956" i="28"/>
  <c r="D957" i="28"/>
  <c r="D958" i="28"/>
  <c r="D959" i="28"/>
  <c r="D960" i="28"/>
  <c r="D961" i="28"/>
  <c r="D962" i="28"/>
  <c r="D963" i="28"/>
  <c r="D964" i="28"/>
  <c r="D965" i="28"/>
  <c r="D966" i="28"/>
  <c r="D967" i="28"/>
  <c r="D968" i="28"/>
  <c r="D969" i="28"/>
  <c r="D970" i="28"/>
  <c r="D971" i="28"/>
  <c r="D972" i="28"/>
  <c r="D973" i="28"/>
  <c r="D974" i="28"/>
  <c r="D975" i="28"/>
  <c r="D976" i="28"/>
  <c r="D977" i="28"/>
  <c r="D978" i="28"/>
  <c r="D979" i="28"/>
  <c r="D980" i="28"/>
  <c r="D981" i="28"/>
  <c r="D982" i="28"/>
  <c r="D983" i="28"/>
  <c r="D984" i="28"/>
  <c r="D985" i="28"/>
  <c r="D986" i="28"/>
  <c r="D987" i="28"/>
  <c r="D988" i="28"/>
  <c r="D989" i="28"/>
  <c r="D990" i="28"/>
  <c r="D991" i="28"/>
  <c r="D992" i="28"/>
  <c r="D993" i="28"/>
  <c r="D994" i="28"/>
  <c r="D995" i="28"/>
  <c r="D996" i="28"/>
  <c r="D997" i="28"/>
  <c r="D998" i="28"/>
  <c r="D999" i="28"/>
  <c r="D1000" i="28"/>
  <c r="D1001" i="28"/>
  <c r="D1002" i="28"/>
  <c r="D1003" i="28"/>
  <c r="D1004" i="28"/>
  <c r="D1005" i="28"/>
  <c r="D1006" i="28"/>
  <c r="D1007" i="28"/>
  <c r="D1008" i="28"/>
  <c r="D1009" i="28"/>
  <c r="D1010" i="28"/>
  <c r="D1011" i="28"/>
  <c r="D1012" i="28"/>
  <c r="D1013" i="28"/>
  <c r="D1014" i="28"/>
  <c r="D1015" i="28"/>
  <c r="D1016" i="28"/>
  <c r="D1017" i="28"/>
  <c r="D1018" i="28"/>
  <c r="D1019" i="28"/>
  <c r="D1020" i="28"/>
  <c r="D1021" i="28"/>
  <c r="D1022" i="28"/>
  <c r="D1023" i="28"/>
  <c r="D1024" i="28"/>
  <c r="D1025" i="28"/>
  <c r="D1026" i="28"/>
  <c r="D1027" i="28"/>
  <c r="D1028" i="28"/>
  <c r="D1029" i="28"/>
  <c r="D1030" i="28"/>
  <c r="D1031" i="28"/>
  <c r="D1032" i="28"/>
  <c r="D1033" i="28"/>
  <c r="D1034" i="28"/>
  <c r="D1035" i="28"/>
  <c r="D1036" i="28"/>
  <c r="D1037" i="28"/>
  <c r="D1038" i="28"/>
  <c r="D1039" i="28"/>
  <c r="D1040" i="28"/>
  <c r="D1041" i="28"/>
  <c r="D1042" i="28"/>
  <c r="D1043" i="28"/>
  <c r="D1044" i="28"/>
  <c r="D1045" i="28"/>
  <c r="D1046" i="28"/>
  <c r="D1047" i="28"/>
  <c r="D1048" i="28"/>
  <c r="D1049" i="28"/>
  <c r="D1050" i="28"/>
  <c r="D1051" i="28"/>
  <c r="D1052" i="28"/>
  <c r="D1053" i="28"/>
  <c r="D1054" i="28"/>
  <c r="D1055" i="28"/>
  <c r="D1056" i="28"/>
  <c r="D1057" i="28"/>
  <c r="D1058" i="28"/>
  <c r="D1059" i="28"/>
  <c r="D1060" i="28"/>
  <c r="D1061" i="28"/>
  <c r="D1062" i="28"/>
  <c r="D1063" i="28"/>
  <c r="D1064" i="28"/>
  <c r="D1065" i="28"/>
  <c r="D1066" i="28"/>
  <c r="D1067" i="28"/>
  <c r="D1068" i="28"/>
  <c r="D1069" i="28"/>
  <c r="D1070" i="28"/>
  <c r="D1071" i="28"/>
  <c r="D1072" i="28"/>
  <c r="D1073" i="28"/>
  <c r="D1074" i="28"/>
  <c r="D1075" i="28"/>
  <c r="D1076" i="28"/>
  <c r="D1077" i="28"/>
  <c r="D1078" i="28"/>
  <c r="D1079" i="28"/>
  <c r="D1080" i="28"/>
  <c r="D1081" i="28"/>
  <c r="D1082" i="28"/>
  <c r="D1083" i="28"/>
  <c r="D1084" i="28"/>
  <c r="D1085" i="28"/>
  <c r="D1086" i="28"/>
  <c r="D1087" i="28"/>
  <c r="D1088" i="28"/>
  <c r="D1089" i="28"/>
  <c r="D1090" i="28"/>
  <c r="D1091" i="28"/>
  <c r="D1092" i="28"/>
  <c r="D1093" i="28"/>
  <c r="D1094" i="28"/>
  <c r="D1095" i="28"/>
  <c r="D1096" i="28"/>
  <c r="D1097" i="28"/>
  <c r="D1098" i="28"/>
  <c r="D1099" i="28"/>
  <c r="D1100" i="28"/>
  <c r="D1101" i="28"/>
  <c r="D1102" i="28"/>
  <c r="D1103" i="28"/>
  <c r="D1104" i="28"/>
  <c r="D1105" i="28"/>
  <c r="D1106" i="28"/>
  <c r="D1107" i="28"/>
  <c r="D1108" i="28"/>
  <c r="D1109" i="28"/>
  <c r="D1110" i="28"/>
  <c r="D1111" i="28"/>
  <c r="D1112" i="28"/>
  <c r="D1113" i="28"/>
  <c r="D1114" i="28"/>
  <c r="D1115" i="28"/>
  <c r="D1116" i="28"/>
  <c r="D1117" i="28"/>
  <c r="D1118" i="28"/>
  <c r="D1119" i="28"/>
  <c r="D1120" i="28"/>
  <c r="D1121" i="28"/>
  <c r="D1122" i="28"/>
  <c r="D1123" i="28"/>
  <c r="D1124" i="28"/>
  <c r="D1125" i="28"/>
  <c r="D1126" i="28"/>
  <c r="D1127" i="28"/>
  <c r="D1128" i="28"/>
  <c r="D1129" i="28"/>
  <c r="D1130" i="28"/>
  <c r="D1131" i="28"/>
  <c r="D1132" i="28"/>
  <c r="D1133" i="28"/>
  <c r="D1134" i="28"/>
  <c r="D1135" i="28"/>
  <c r="D1136" i="28"/>
  <c r="D1137" i="28"/>
  <c r="D1138" i="28"/>
  <c r="D1139" i="28"/>
  <c r="D1140" i="28"/>
  <c r="D1141" i="28"/>
  <c r="D1142" i="28"/>
  <c r="D1143" i="28"/>
  <c r="D1144" i="28"/>
  <c r="D1145" i="28"/>
  <c r="D1146" i="28"/>
  <c r="D1147" i="28"/>
  <c r="D1148" i="28"/>
  <c r="D1149" i="28"/>
  <c r="D1150" i="28"/>
  <c r="D1151" i="28"/>
  <c r="D1152" i="28"/>
  <c r="D1153" i="28"/>
  <c r="D1154" i="28"/>
  <c r="D1155" i="28"/>
  <c r="D1156" i="28"/>
  <c r="D1157" i="28"/>
  <c r="D1158" i="28"/>
  <c r="D1159" i="28"/>
  <c r="D1160" i="28"/>
  <c r="D1161" i="28"/>
  <c r="D1162" i="28"/>
  <c r="D1163" i="28"/>
  <c r="D1164" i="28"/>
  <c r="D1165" i="28"/>
  <c r="D1166" i="28"/>
  <c r="D1167" i="28"/>
  <c r="D1168" i="28"/>
  <c r="D1169" i="28"/>
  <c r="D1170" i="28"/>
  <c r="D1171" i="28"/>
  <c r="D1172" i="28"/>
  <c r="D1173" i="28"/>
  <c r="D1174" i="28"/>
  <c r="D1175" i="28"/>
  <c r="D1176" i="28"/>
  <c r="D1177" i="28"/>
  <c r="D1178" i="28"/>
  <c r="D1179" i="28"/>
  <c r="D1180" i="28"/>
  <c r="D1181" i="28"/>
  <c r="D1182" i="28"/>
  <c r="D1183" i="28"/>
  <c r="D1184" i="28"/>
  <c r="D1185" i="28"/>
  <c r="D1186" i="28"/>
  <c r="D1187" i="28"/>
  <c r="D1188" i="28"/>
  <c r="D1189" i="28"/>
  <c r="D1190" i="28"/>
  <c r="D1191" i="28"/>
  <c r="D1192" i="28"/>
  <c r="D1193" i="28"/>
  <c r="D1194" i="28"/>
  <c r="D1195" i="28"/>
  <c r="D1196" i="28"/>
  <c r="D911" i="28"/>
  <c r="D898" i="28"/>
  <c r="D903" i="28"/>
  <c r="D904" i="28"/>
  <c r="D905" i="28"/>
  <c r="D906" i="28"/>
  <c r="D907" i="28"/>
  <c r="D908" i="28"/>
  <c r="D909" i="28"/>
  <c r="D910" i="28"/>
  <c r="D887" i="28"/>
  <c r="D886" i="28"/>
  <c r="D2442" i="28" l="1"/>
  <c r="D2116" i="28"/>
  <c r="D2115" i="28"/>
  <c r="D2312" i="28"/>
  <c r="D1789" i="28"/>
  <c r="D2074" i="28"/>
  <c r="D1884" i="28"/>
  <c r="D1530" i="28"/>
  <c r="D2027" i="28"/>
  <c r="D1898" i="28"/>
  <c r="D1750" i="28"/>
  <c r="D1891" i="28"/>
  <c r="D1329" i="28"/>
  <c r="D1822" i="28"/>
  <c r="D1796" i="28"/>
  <c r="D1869" i="28"/>
  <c r="D2049" i="28"/>
  <c r="D1682" i="28"/>
  <c r="D1681" i="28"/>
  <c r="D1807" i="28"/>
  <c r="D1906" i="28"/>
  <c r="D2040" i="28"/>
  <c r="D2016" i="28"/>
  <c r="D1483" i="28"/>
  <c r="D1994" i="28"/>
  <c r="D1200" i="28"/>
  <c r="D899" i="28"/>
  <c r="D900" i="28"/>
  <c r="D10" i="28"/>
  <c r="D16" i="28"/>
  <c r="D24" i="28"/>
  <c r="D32" i="28"/>
  <c r="D34" i="28"/>
  <c r="D40" i="28"/>
  <c r="D42" i="28"/>
  <c r="D44" i="28"/>
  <c r="D48" i="28"/>
  <c r="D53" i="28"/>
  <c r="D55" i="28"/>
  <c r="D57" i="28"/>
  <c r="D58" i="28"/>
  <c r="D64" i="28"/>
  <c r="D67" i="28"/>
  <c r="D71" i="28"/>
  <c r="D73" i="28"/>
  <c r="D75" i="28"/>
  <c r="D77" i="28"/>
  <c r="D79" i="28"/>
  <c r="D87" i="28"/>
  <c r="D94" i="28"/>
  <c r="D96" i="28"/>
  <c r="D97" i="28"/>
  <c r="D98" i="28"/>
  <c r="D100" i="28"/>
  <c r="D106" i="28"/>
  <c r="D108" i="28"/>
  <c r="D109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D724" i="28"/>
  <c r="D725" i="28"/>
  <c r="D726" i="28"/>
  <c r="D727" i="28"/>
  <c r="D728" i="28"/>
  <c r="D729" i="28"/>
  <c r="D730" i="28"/>
  <c r="D731" i="28"/>
  <c r="D732" i="28"/>
  <c r="D733" i="28"/>
  <c r="D734" i="28"/>
  <c r="D735" i="28"/>
  <c r="D736" i="28"/>
  <c r="D737" i="28"/>
  <c r="D738" i="28"/>
  <c r="D739" i="28"/>
  <c r="D740" i="28"/>
  <c r="D741" i="28"/>
  <c r="D742" i="28"/>
  <c r="D743" i="28"/>
  <c r="D744" i="28"/>
  <c r="D745" i="28"/>
  <c r="D746" i="28"/>
  <c r="D747" i="28"/>
  <c r="D748" i="28"/>
  <c r="D749" i="28"/>
  <c r="D750" i="28"/>
  <c r="D751" i="28"/>
  <c r="D752" i="28"/>
  <c r="D753" i="28"/>
  <c r="D754" i="28"/>
  <c r="D755" i="28"/>
  <c r="D756" i="28"/>
  <c r="D757" i="28"/>
  <c r="D758" i="28"/>
  <c r="D759" i="28"/>
  <c r="D760" i="28"/>
  <c r="D761" i="28"/>
  <c r="D762" i="28"/>
  <c r="D763" i="28"/>
  <c r="D764" i="28"/>
  <c r="D765" i="28"/>
  <c r="D766" i="28"/>
  <c r="D767" i="28"/>
  <c r="D768" i="28"/>
  <c r="D769" i="28"/>
  <c r="D770" i="28"/>
  <c r="D771" i="28"/>
  <c r="D772" i="28"/>
  <c r="D773" i="28"/>
  <c r="D774" i="28"/>
  <c r="D775" i="28"/>
  <c r="D776" i="28"/>
  <c r="D777" i="28"/>
  <c r="D778" i="28"/>
  <c r="D779" i="28"/>
  <c r="D780" i="28"/>
  <c r="D781" i="28"/>
  <c r="D782" i="28"/>
  <c r="D783" i="28"/>
  <c r="D784" i="28"/>
  <c r="D785" i="28"/>
  <c r="D786" i="28"/>
  <c r="D787" i="28"/>
  <c r="D788" i="28"/>
  <c r="D789" i="28"/>
  <c r="D790" i="28"/>
  <c r="D791" i="28"/>
  <c r="D792" i="28"/>
  <c r="D793" i="28"/>
  <c r="D794" i="28"/>
  <c r="D795" i="28"/>
  <c r="D796" i="28"/>
  <c r="D797" i="28"/>
  <c r="D798" i="28"/>
  <c r="D799" i="28"/>
  <c r="D800" i="28"/>
  <c r="D801" i="28"/>
  <c r="D802" i="28"/>
  <c r="D803" i="28"/>
  <c r="D804" i="28"/>
  <c r="D805" i="28"/>
  <c r="D806" i="28"/>
  <c r="D807" i="28"/>
  <c r="D808" i="28"/>
  <c r="D809" i="28"/>
  <c r="D810" i="28"/>
  <c r="D811" i="28"/>
  <c r="D812" i="28"/>
  <c r="D813" i="28"/>
  <c r="D814" i="28"/>
  <c r="D815" i="28"/>
  <c r="D816" i="28"/>
  <c r="D817" i="28"/>
  <c r="D818" i="28"/>
  <c r="D819" i="28"/>
  <c r="D820" i="28"/>
  <c r="D821" i="28"/>
  <c r="D822" i="28"/>
  <c r="D823" i="28"/>
  <c r="D824" i="28"/>
  <c r="D825" i="28"/>
  <c r="D826" i="28"/>
  <c r="D827" i="28"/>
  <c r="D828" i="28"/>
  <c r="D829" i="28"/>
  <c r="D830" i="28"/>
  <c r="D831" i="28"/>
  <c r="D832" i="28"/>
  <c r="D833" i="28"/>
  <c r="D834" i="28"/>
  <c r="D835" i="28"/>
  <c r="D836" i="28"/>
  <c r="D837" i="28"/>
  <c r="D838" i="28"/>
  <c r="D839" i="28"/>
  <c r="D840" i="28"/>
  <c r="D841" i="28"/>
  <c r="D842" i="28"/>
  <c r="D843" i="28"/>
  <c r="D844" i="28"/>
  <c r="D845" i="28"/>
  <c r="D846" i="28"/>
  <c r="D847" i="28"/>
  <c r="D848" i="28"/>
  <c r="D849" i="28"/>
  <c r="D850" i="28"/>
  <c r="D851" i="28"/>
  <c r="D852" i="28"/>
  <c r="D853" i="28"/>
  <c r="D854" i="28"/>
  <c r="D855" i="28"/>
  <c r="D856" i="28"/>
  <c r="D857" i="28"/>
  <c r="D858" i="28"/>
  <c r="D859" i="28"/>
  <c r="D860" i="28"/>
  <c r="D861" i="28"/>
  <c r="D862" i="28"/>
  <c r="D863" i="28"/>
  <c r="D864" i="28"/>
  <c r="D865" i="28"/>
  <c r="D866" i="28"/>
  <c r="D867" i="28"/>
  <c r="D868" i="28"/>
  <c r="D869" i="28"/>
  <c r="D870" i="28"/>
  <c r="D871" i="28"/>
  <c r="D872" i="28"/>
  <c r="D873" i="28"/>
  <c r="D874" i="28"/>
  <c r="D875" i="28"/>
  <c r="D876" i="28"/>
  <c r="D877" i="28"/>
  <c r="D878" i="28"/>
  <c r="D879" i="28"/>
  <c r="D880" i="28"/>
  <c r="D881" i="28"/>
  <c r="D882" i="28"/>
  <c r="D883" i="28"/>
  <c r="D884" i="28"/>
  <c r="D885" i="28"/>
  <c r="D2" i="28"/>
  <c r="D110" i="28"/>
  <c r="D107" i="28"/>
  <c r="D99" i="28"/>
  <c r="D95" i="28"/>
  <c r="D78" i="28"/>
  <c r="D76" i="28"/>
  <c r="D74" i="28"/>
  <c r="D72" i="28"/>
  <c r="D63" i="28"/>
  <c r="D56" i="28"/>
  <c r="D54" i="28"/>
  <c r="D45" i="28"/>
  <c r="D43" i="28"/>
  <c r="D41" i="28"/>
  <c r="D33" i="28"/>
  <c r="D31" i="28"/>
  <c r="D17" i="28"/>
  <c r="K441" i="5" l="1"/>
  <c r="K367" i="5"/>
  <c r="K260" i="5"/>
  <c r="K149" i="5"/>
  <c r="K437" i="5"/>
  <c r="K366" i="5"/>
  <c r="K256" i="5"/>
  <c r="K143" i="5"/>
  <c r="K435" i="5"/>
  <c r="K360" i="5"/>
  <c r="K254" i="5"/>
  <c r="K138" i="5"/>
  <c r="K426" i="5"/>
  <c r="K356" i="5"/>
  <c r="K251" i="5"/>
  <c r="K137" i="5"/>
  <c r="K425" i="5"/>
  <c r="K353" i="5"/>
  <c r="K226" i="5"/>
  <c r="K130" i="5"/>
  <c r="K39" i="5"/>
  <c r="K105" i="5"/>
  <c r="K99" i="5"/>
  <c r="K386" i="5"/>
  <c r="K72" i="5"/>
  <c r="K417" i="5"/>
  <c r="K352" i="5"/>
  <c r="K225" i="5"/>
  <c r="K126" i="5"/>
  <c r="K36" i="5"/>
  <c r="K223" i="5"/>
  <c r="K29" i="5"/>
  <c r="K191" i="5"/>
  <c r="K463" i="5"/>
  <c r="K304" i="5"/>
  <c r="K409" i="5"/>
  <c r="K351" i="5"/>
  <c r="K122" i="5"/>
  <c r="K117" i="5"/>
  <c r="K403" i="5"/>
  <c r="K349" i="5"/>
  <c r="K399" i="5"/>
  <c r="K337" i="5"/>
  <c r="K186" i="5"/>
  <c r="K393" i="5"/>
  <c r="K330" i="5"/>
  <c r="K179" i="5"/>
  <c r="K82" i="5"/>
  <c r="K467" i="5"/>
  <c r="K388" i="5"/>
  <c r="K323" i="5"/>
  <c r="K176" i="5"/>
  <c r="K171" i="5"/>
  <c r="K461" i="5"/>
  <c r="K384" i="5"/>
  <c r="K297" i="5"/>
  <c r="K165" i="5"/>
  <c r="K67" i="5"/>
  <c r="K53" i="5"/>
  <c r="K455" i="5"/>
  <c r="K382" i="5"/>
  <c r="K287" i="5"/>
  <c r="K163" i="5"/>
  <c r="K64" i="5"/>
  <c r="K45" i="5"/>
  <c r="K450" i="5"/>
  <c r="K381" i="5"/>
  <c r="K283" i="5"/>
  <c r="K156" i="5"/>
  <c r="K56" i="5"/>
  <c r="K376" i="5"/>
  <c r="K280" i="5"/>
  <c r="K48" i="5"/>
  <c r="K43" i="5"/>
  <c r="K448" i="5"/>
  <c r="K154" i="5"/>
  <c r="K41" i="5"/>
  <c r="K62" i="5"/>
  <c r="D2313" i="28"/>
  <c r="D2444" i="28"/>
  <c r="D2443" i="28"/>
  <c r="D1791" i="28"/>
  <c r="D1790" i="28"/>
  <c r="D1797" i="28"/>
  <c r="D1201" i="28"/>
  <c r="D1823" i="28"/>
  <c r="D1995" i="28"/>
  <c r="D1330" i="28"/>
  <c r="D1870" i="28"/>
  <c r="D1892" i="28"/>
  <c r="D1751" i="28"/>
  <c r="D2017" i="28"/>
  <c r="D2041" i="28"/>
  <c r="D1899" i="28"/>
  <c r="D1484" i="28"/>
  <c r="D1907" i="28"/>
  <c r="D2028" i="28"/>
  <c r="D1808" i="28"/>
  <c r="D1531" i="28"/>
  <c r="D1885" i="28"/>
  <c r="D2050" i="28"/>
  <c r="D2075" i="28"/>
  <c r="D901" i="28"/>
  <c r="D902" i="28"/>
  <c r="D888" i="28"/>
  <c r="D30" i="28"/>
  <c r="D29" i="28"/>
  <c r="D28" i="28"/>
  <c r="D27" i="28"/>
  <c r="D47" i="28"/>
  <c r="D25" i="28"/>
  <c r="D26" i="28"/>
  <c r="D88" i="28"/>
  <c r="D3" i="28"/>
  <c r="D80" i="28"/>
  <c r="D11" i="28"/>
  <c r="D59" i="28"/>
  <c r="D66" i="28"/>
  <c r="D65" i="28"/>
  <c r="D68" i="28"/>
  <c r="D35" i="28"/>
  <c r="D46" i="28"/>
  <c r="D49" i="28"/>
  <c r="D101" i="28"/>
  <c r="D2314" i="28" l="1"/>
  <c r="D1908" i="28"/>
  <c r="D1887" i="28"/>
  <c r="D1886" i="28"/>
  <c r="D1532" i="28"/>
  <c r="D1809" i="28"/>
  <c r="D2018" i="28"/>
  <c r="D1752" i="28"/>
  <c r="D1331" i="28"/>
  <c r="D1901" i="28"/>
  <c r="D1900" i="28"/>
  <c r="D2043" i="28"/>
  <c r="D2042" i="28"/>
  <c r="D2029" i="28"/>
  <c r="D1485" i="28"/>
  <c r="D1894" i="28"/>
  <c r="D1893" i="28"/>
  <c r="D1871" i="28"/>
  <c r="D1996" i="28"/>
  <c r="D2076" i="28"/>
  <c r="D1825" i="28"/>
  <c r="D1824" i="28"/>
  <c r="D2052" i="28"/>
  <c r="D2051" i="28"/>
  <c r="D1202" i="28"/>
  <c r="D1798" i="28"/>
  <c r="D889" i="28"/>
  <c r="D102" i="28"/>
  <c r="D50" i="28"/>
  <c r="D36" i="28"/>
  <c r="D18" i="28"/>
  <c r="D70" i="28"/>
  <c r="D69" i="28"/>
  <c r="D60" i="28"/>
  <c r="D81" i="28"/>
  <c r="D89" i="28"/>
  <c r="D12" i="28"/>
  <c r="D4" i="28"/>
  <c r="K63" i="5" l="1"/>
  <c r="D2315" i="28"/>
  <c r="D1753" i="28"/>
  <c r="D2030" i="28"/>
  <c r="D1997" i="28"/>
  <c r="D2020" i="28"/>
  <c r="D2019" i="28"/>
  <c r="D1333" i="28"/>
  <c r="D1332" i="28"/>
  <c r="D1534" i="28"/>
  <c r="D1533" i="28"/>
  <c r="D1810" i="28"/>
  <c r="D2077" i="28"/>
  <c r="D1873" i="28"/>
  <c r="D1872" i="28"/>
  <c r="D1799" i="28"/>
  <c r="D1486" i="28"/>
  <c r="D1909" i="28"/>
  <c r="D1204" i="28"/>
  <c r="D1203" i="28"/>
  <c r="D890" i="28"/>
  <c r="D13" i="28"/>
  <c r="D90" i="28"/>
  <c r="D62" i="28"/>
  <c r="D61" i="28"/>
  <c r="D19" i="28"/>
  <c r="D37" i="28"/>
  <c r="D52" i="28"/>
  <c r="D51" i="28"/>
  <c r="D82" i="28"/>
  <c r="D5" i="28"/>
  <c r="D103" i="28"/>
  <c r="F2" i="5"/>
  <c r="F3" i="5"/>
  <c r="F4" i="5"/>
  <c r="K65" i="5" l="1"/>
  <c r="Q3" i="5"/>
  <c r="Q4" i="5"/>
  <c r="D2316" i="28"/>
  <c r="D2078" i="28"/>
  <c r="D1811" i="28"/>
  <c r="D1910" i="28"/>
  <c r="D1998" i="28"/>
  <c r="D1488" i="28"/>
  <c r="D1487" i="28"/>
  <c r="D2031" i="28"/>
  <c r="D1800" i="28"/>
  <c r="D1754" i="28"/>
  <c r="D891" i="28"/>
  <c r="D6" i="28"/>
  <c r="D105" i="28"/>
  <c r="D104" i="28"/>
  <c r="D83" i="28"/>
  <c r="D39" i="28"/>
  <c r="D38" i="28"/>
  <c r="D20" i="28"/>
  <c r="D91" i="28"/>
  <c r="D15" i="28"/>
  <c r="D14" i="28"/>
  <c r="D2318" i="28" l="1"/>
  <c r="D2317" i="28"/>
  <c r="D1755" i="28"/>
  <c r="D1801" i="28"/>
  <c r="D2032" i="28"/>
  <c r="D1999" i="28"/>
  <c r="D1911" i="28"/>
  <c r="D1812" i="28"/>
  <c r="D2079" i="28"/>
  <c r="D892" i="28"/>
  <c r="D21" i="28"/>
  <c r="D7" i="28"/>
  <c r="D93" i="28"/>
  <c r="D92" i="28"/>
  <c r="D84" i="28"/>
  <c r="K66" i="5" l="1"/>
  <c r="K202" i="5"/>
  <c r="K174" i="5"/>
  <c r="K127" i="5"/>
  <c r="K95" i="5"/>
  <c r="K131" i="5"/>
  <c r="K204" i="5"/>
  <c r="D2080" i="28"/>
  <c r="D1813" i="28"/>
  <c r="D2000" i="28"/>
  <c r="D2033" i="28"/>
  <c r="D1803" i="28"/>
  <c r="D1802" i="28"/>
  <c r="D1912" i="28"/>
  <c r="D1757" i="28"/>
  <c r="D1756" i="28"/>
  <c r="D893" i="28"/>
  <c r="D86" i="28"/>
  <c r="D85" i="28"/>
  <c r="D9" i="28"/>
  <c r="K159" i="5" s="1"/>
  <c r="D8" i="28"/>
  <c r="K181" i="5" s="1"/>
  <c r="D23" i="28"/>
  <c r="K4" i="5" s="1"/>
  <c r="D22" i="28"/>
  <c r="K134" i="5" l="1"/>
  <c r="K133" i="5"/>
  <c r="K111" i="5"/>
  <c r="K83" i="5"/>
  <c r="K200" i="5"/>
  <c r="K136" i="5"/>
  <c r="K129" i="5"/>
  <c r="K42" i="5"/>
  <c r="K172" i="5"/>
  <c r="K377" i="5"/>
  <c r="R377" i="5" s="1"/>
  <c r="K123" i="5"/>
  <c r="K180" i="5"/>
  <c r="K153" i="5"/>
  <c r="K196" i="5"/>
  <c r="K182" i="5"/>
  <c r="K185" i="5"/>
  <c r="K120" i="5"/>
  <c r="K135" i="5"/>
  <c r="K151" i="5"/>
  <c r="K106" i="5"/>
  <c r="K189" i="5"/>
  <c r="K85" i="5"/>
  <c r="K73" i="5"/>
  <c r="K54" i="5"/>
  <c r="K121" i="5"/>
  <c r="K173" i="5"/>
  <c r="K162" i="5"/>
  <c r="K188" i="5"/>
  <c r="K183" i="5"/>
  <c r="K132" i="5"/>
  <c r="K150" i="5"/>
  <c r="K124" i="5"/>
  <c r="K198" i="5"/>
  <c r="K119" i="5"/>
  <c r="K194" i="5"/>
  <c r="K187" i="5"/>
  <c r="K192" i="5"/>
  <c r="K177" i="5"/>
  <c r="K175" i="5"/>
  <c r="K118" i="5"/>
  <c r="K113" i="5"/>
  <c r="K96" i="5"/>
  <c r="K115" i="5"/>
  <c r="K184" i="5"/>
  <c r="K93" i="5"/>
  <c r="K107" i="5"/>
  <c r="K193" i="5"/>
  <c r="K116" i="5"/>
  <c r="K178" i="5"/>
  <c r="K109" i="5"/>
  <c r="K160" i="5"/>
  <c r="K205" i="5"/>
  <c r="K128" i="5"/>
  <c r="K190" i="5"/>
  <c r="K152" i="5"/>
  <c r="K80" i="5"/>
  <c r="K125" i="5"/>
  <c r="K161" i="5"/>
  <c r="K102" i="5"/>
  <c r="K265" i="5"/>
  <c r="K362" i="5"/>
  <c r="K347" i="5"/>
  <c r="K212" i="5"/>
  <c r="K170" i="5"/>
  <c r="K221" i="5"/>
  <c r="K336" i="5"/>
  <c r="K255" i="5"/>
  <c r="K257" i="5"/>
  <c r="K139" i="5"/>
  <c r="K413" i="5"/>
  <c r="K253" i="5"/>
  <c r="K263" i="5"/>
  <c r="K272" i="5"/>
  <c r="K390" i="5"/>
  <c r="K146" i="5"/>
  <c r="K345" i="5"/>
  <c r="K400" i="5"/>
  <c r="K224" i="5"/>
  <c r="K141" i="5"/>
  <c r="K374" i="5"/>
  <c r="K303" i="5"/>
  <c r="K166" i="5"/>
  <c r="K310" i="5"/>
  <c r="K101" i="5"/>
  <c r="K158" i="5"/>
  <c r="K341" i="5"/>
  <c r="K270" i="5"/>
  <c r="K231" i="5"/>
  <c r="K387" i="5"/>
  <c r="K364" i="5"/>
  <c r="K397" i="5"/>
  <c r="K350" i="5"/>
  <c r="K169" i="5"/>
  <c r="K406" i="5"/>
  <c r="K317" i="5"/>
  <c r="K301" i="5"/>
  <c r="K365" i="5"/>
  <c r="K415" i="5"/>
  <c r="K282" i="5"/>
  <c r="K207" i="5"/>
  <c r="K218" i="5"/>
  <c r="K234" i="5"/>
  <c r="K414" i="5"/>
  <c r="K249" i="5"/>
  <c r="K389" i="5"/>
  <c r="K398" i="5"/>
  <c r="K289" i="5"/>
  <c r="K278" i="5"/>
  <c r="K237" i="5"/>
  <c r="K408" i="5"/>
  <c r="K206" i="5"/>
  <c r="K216" i="5"/>
  <c r="K291" i="5"/>
  <c r="K378" i="5"/>
  <c r="K148" i="5"/>
  <c r="K370" i="5"/>
  <c r="K358" i="5"/>
  <c r="K222" i="5"/>
  <c r="K369" i="5"/>
  <c r="K103" i="5"/>
  <c r="K361" i="5"/>
  <c r="K394" i="5"/>
  <c r="K277" i="5"/>
  <c r="K402" i="5"/>
  <c r="K359" i="5"/>
  <c r="K258" i="5"/>
  <c r="K247" i="5"/>
  <c r="K100" i="5"/>
  <c r="K396" i="5"/>
  <c r="K164" i="5"/>
  <c r="K144" i="5"/>
  <c r="K285" i="5"/>
  <c r="K245" i="5"/>
  <c r="K98" i="5"/>
  <c r="K363" i="5"/>
  <c r="K302" i="5"/>
  <c r="K295" i="5"/>
  <c r="K104" i="5"/>
  <c r="K252" i="5"/>
  <c r="K319" i="5"/>
  <c r="K355" i="5"/>
  <c r="K157" i="5"/>
  <c r="K412" i="5"/>
  <c r="K142" i="5"/>
  <c r="K147" i="5"/>
  <c r="K292" i="5"/>
  <c r="K284" i="5"/>
  <c r="K373" i="5"/>
  <c r="K391" i="5"/>
  <c r="K242" i="5"/>
  <c r="K219" i="5"/>
  <c r="K316" i="5"/>
  <c r="K250" i="5"/>
  <c r="K274" i="5"/>
  <c r="K230" i="5"/>
  <c r="K308" i="5"/>
  <c r="K271" i="5"/>
  <c r="K313" i="5"/>
  <c r="K395" i="5"/>
  <c r="K357" i="5"/>
  <c r="K340" i="5"/>
  <c r="K167" i="5"/>
  <c r="K281" i="5"/>
  <c r="K329" i="5"/>
  <c r="K228" i="5"/>
  <c r="K214" i="5"/>
  <c r="K405" i="5"/>
  <c r="K401" i="5"/>
  <c r="K140" i="5"/>
  <c r="K243" i="5"/>
  <c r="K145" i="5"/>
  <c r="K229" i="5"/>
  <c r="K208" i="5"/>
  <c r="K279" i="5"/>
  <c r="K372" i="5"/>
  <c r="K371" i="5"/>
  <c r="K368" i="5"/>
  <c r="K307" i="5"/>
  <c r="K328" i="5"/>
  <c r="K97" i="5"/>
  <c r="K296" i="5"/>
  <c r="K244" i="5"/>
  <c r="K380" i="5"/>
  <c r="K288" i="5"/>
  <c r="K286" i="5"/>
  <c r="K334" i="5"/>
  <c r="K248" i="5"/>
  <c r="K385" i="5"/>
  <c r="K309" i="5"/>
  <c r="K354" i="5"/>
  <c r="K168" i="5"/>
  <c r="K342" i="5"/>
  <c r="K383" i="5"/>
  <c r="K220" i="5"/>
  <c r="K239" i="5"/>
  <c r="K404" i="5"/>
  <c r="K392" i="5"/>
  <c r="K314" i="5"/>
  <c r="K322" i="5"/>
  <c r="K266" i="5"/>
  <c r="K335" i="5"/>
  <c r="K379" i="5"/>
  <c r="K326" i="5"/>
  <c r="K236" i="5"/>
  <c r="K375" i="5"/>
  <c r="K233" i="5"/>
  <c r="K259" i="5"/>
  <c r="K210" i="5"/>
  <c r="K28" i="5"/>
  <c r="K30" i="5"/>
  <c r="K59" i="5"/>
  <c r="K7" i="5"/>
  <c r="K27" i="5"/>
  <c r="K17" i="5"/>
  <c r="K31" i="5"/>
  <c r="K76" i="5"/>
  <c r="K52" i="5"/>
  <c r="K58" i="5"/>
  <c r="K40" i="5"/>
  <c r="K18" i="5"/>
  <c r="K9" i="5"/>
  <c r="K47" i="5"/>
  <c r="K14" i="5"/>
  <c r="K20" i="5"/>
  <c r="K23" i="5"/>
  <c r="K33" i="5"/>
  <c r="K3" i="5"/>
  <c r="K51" i="5"/>
  <c r="K55" i="5"/>
  <c r="K35" i="5"/>
  <c r="K46" i="5"/>
  <c r="K74" i="5"/>
  <c r="K77" i="5"/>
  <c r="K32" i="5"/>
  <c r="K2" i="5"/>
  <c r="K57" i="5"/>
  <c r="K49" i="5"/>
  <c r="K60" i="5"/>
  <c r="K19" i="5"/>
  <c r="K37" i="5"/>
  <c r="K15" i="5"/>
  <c r="K5" i="5"/>
  <c r="K44" i="5"/>
  <c r="K38" i="5"/>
  <c r="K8" i="5"/>
  <c r="K26" i="5"/>
  <c r="K34" i="5"/>
  <c r="K24" i="5"/>
  <c r="K50" i="5"/>
  <c r="K11" i="5"/>
  <c r="K75" i="5"/>
  <c r="D2034" i="28"/>
  <c r="D1913" i="28"/>
  <c r="D1814" i="28"/>
  <c r="D2001" i="28"/>
  <c r="D2081" i="28"/>
  <c r="D894" i="28"/>
  <c r="D2083" i="28" l="1"/>
  <c r="D2082" i="28"/>
  <c r="D2002" i="28"/>
  <c r="D1815" i="28"/>
  <c r="D1914" i="28"/>
  <c r="D2036" i="28"/>
  <c r="D2035" i="28"/>
  <c r="D895" i="28"/>
  <c r="K68" i="5" l="1"/>
  <c r="K69" i="5"/>
  <c r="K70" i="5"/>
  <c r="K79" i="5"/>
  <c r="K84" i="5"/>
  <c r="K90" i="5"/>
  <c r="K88" i="5"/>
  <c r="K81" i="5"/>
  <c r="K71" i="5"/>
  <c r="K87" i="5"/>
  <c r="D1915" i="28"/>
  <c r="D2003" i="28"/>
  <c r="D1816" i="28"/>
  <c r="D897" i="28"/>
  <c r="D896" i="28"/>
  <c r="D1818" i="28" l="1"/>
  <c r="D1817" i="28"/>
  <c r="D2004" i="28"/>
  <c r="D1916" i="28"/>
  <c r="D1917" i="28" l="1"/>
  <c r="D2005" i="28"/>
  <c r="D2006" i="28" l="1"/>
  <c r="D1919" i="28"/>
  <c r="D1918" i="28"/>
  <c r="R4" i="5" l="1"/>
  <c r="R2" i="5"/>
  <c r="R3" i="5"/>
  <c r="D2007" i="28"/>
  <c r="D2008" i="28" l="1"/>
  <c r="D2009" i="28" l="1"/>
  <c r="D2010" i="28" l="1"/>
  <c r="R59" i="5" l="1"/>
  <c r="R57" i="5"/>
  <c r="R23" i="5"/>
  <c r="R55" i="5"/>
  <c r="D2012" i="28"/>
  <c r="D2011" i="28"/>
  <c r="K267" i="5" l="1"/>
  <c r="K293" i="5"/>
  <c r="K12" i="5"/>
  <c r="K211" i="5"/>
  <c r="K446" i="5"/>
  <c r="R409" i="5"/>
  <c r="K431" i="5"/>
  <c r="K262" i="5"/>
  <c r="K201" i="5"/>
  <c r="R143" i="5"/>
  <c r="K427" i="5"/>
  <c r="K275" i="5"/>
  <c r="R53" i="5"/>
  <c r="K424" i="5"/>
  <c r="K430" i="5"/>
  <c r="K459" i="5"/>
  <c r="K217" i="5"/>
  <c r="K155" i="5"/>
  <c r="K434" i="5"/>
  <c r="K246" i="5"/>
  <c r="R435" i="5"/>
  <c r="K209" i="5"/>
  <c r="K457" i="5"/>
  <c r="K460" i="5"/>
  <c r="K227" i="5"/>
  <c r="R105" i="5"/>
  <c r="R461" i="5"/>
  <c r="K436" i="5"/>
  <c r="R225" i="5"/>
  <c r="K199" i="5"/>
  <c r="K452" i="5"/>
  <c r="K454" i="5"/>
  <c r="K241" i="5"/>
  <c r="K213" i="5"/>
  <c r="K215" i="5"/>
  <c r="R56" i="5"/>
  <c r="R304" i="5"/>
  <c r="K458" i="5"/>
  <c r="K433" i="5"/>
  <c r="R455" i="5"/>
  <c r="K440" i="5"/>
  <c r="K449" i="5"/>
  <c r="K456" i="5"/>
  <c r="K273" i="5"/>
  <c r="K197" i="5"/>
  <c r="R323" i="5"/>
  <c r="K419" i="5"/>
  <c r="K232" i="5"/>
  <c r="K428" i="5"/>
  <c r="K464" i="5"/>
  <c r="K466" i="5"/>
  <c r="K269" i="5"/>
  <c r="K235" i="5"/>
  <c r="K422" i="5"/>
  <c r="R330" i="5"/>
  <c r="R36" i="5"/>
  <c r="K195" i="5"/>
  <c r="K290" i="5"/>
  <c r="K238" i="5"/>
  <c r="K429" i="5"/>
  <c r="K416" i="5"/>
  <c r="R82" i="5"/>
  <c r="K268" i="5"/>
  <c r="K451" i="5"/>
  <c r="K203" i="5"/>
  <c r="K276" i="5"/>
  <c r="K462" i="5"/>
  <c r="R99" i="5"/>
  <c r="K264" i="5"/>
  <c r="K438" i="5"/>
  <c r="K444" i="5"/>
  <c r="R441" i="5"/>
  <c r="K445" i="5"/>
  <c r="R366" i="5"/>
  <c r="K418" i="5"/>
  <c r="K240" i="5"/>
  <c r="R297" i="5"/>
  <c r="K423" i="5"/>
  <c r="K447" i="5"/>
  <c r="K420" i="5"/>
  <c r="R403" i="5"/>
  <c r="R425" i="5"/>
  <c r="R337" i="5"/>
  <c r="R351" i="5"/>
  <c r="K421" i="5"/>
  <c r="K453" i="5"/>
  <c r="R39" i="5"/>
  <c r="K25" i="5"/>
  <c r="R25" i="5" s="1"/>
  <c r="K465" i="5"/>
  <c r="R29" i="5"/>
  <c r="K432" i="5"/>
  <c r="K261" i="5"/>
  <c r="R28" i="5"/>
  <c r="R27" i="5"/>
  <c r="R40" i="5"/>
  <c r="R54" i="5"/>
  <c r="R26" i="5"/>
  <c r="R60" i="5"/>
  <c r="R58" i="5"/>
  <c r="R24" i="5"/>
  <c r="K6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<sst xmlns="http://schemas.openxmlformats.org/spreadsheetml/2006/main" count="3427" uniqueCount="298">
  <si>
    <t>SHEET 
 NO</t>
    <phoneticPr fontId="2" type="noConversion"/>
  </si>
  <si>
    <t>銲口編號</t>
  </si>
  <si>
    <t>尺寸</t>
  </si>
  <si>
    <t>厚度</t>
  </si>
  <si>
    <t>材質</t>
  </si>
  <si>
    <t>預製S/
現場F</t>
  </si>
  <si>
    <t>組銲完成日期</t>
  </si>
  <si>
    <r>
      <rPr>
        <sz val="12"/>
        <rFont val="微軟正黑體"/>
        <family val="2"/>
        <charset val="136"/>
      </rPr>
      <t>說明</t>
    </r>
    <phoneticPr fontId="6" type="noConversion"/>
  </si>
  <si>
    <r>
      <rPr>
        <sz val="12"/>
        <rFont val="微軟正黑體"/>
        <family val="2"/>
        <charset val="136"/>
      </rPr>
      <t>加成係數</t>
    </r>
    <phoneticPr fontId="6" type="noConversion"/>
  </si>
  <si>
    <r>
      <rPr>
        <sz val="12"/>
        <rFont val="微軟正黑體"/>
        <family val="2"/>
        <charset val="136"/>
      </rPr>
      <t>加成係數</t>
    </r>
    <r>
      <rPr>
        <sz val="12"/>
        <rFont val="Calibri"/>
        <family val="2"/>
      </rPr>
      <t>.1</t>
    </r>
    <phoneticPr fontId="6" type="noConversion"/>
  </si>
  <si>
    <t>BW</t>
    <phoneticPr fontId="6" type="noConversion"/>
  </si>
  <si>
    <r>
      <rPr>
        <sz val="12"/>
        <rFont val="微軟正黑體"/>
        <family val="2"/>
        <charset val="136"/>
      </rPr>
      <t>對銲</t>
    </r>
    <phoneticPr fontId="6" type="noConversion"/>
  </si>
  <si>
    <t>SW</t>
    <phoneticPr fontId="6" type="noConversion"/>
  </si>
  <si>
    <r>
      <rPr>
        <sz val="12"/>
        <rFont val="微軟正黑體"/>
        <family val="2"/>
        <charset val="136"/>
      </rPr>
      <t>套銲</t>
    </r>
    <phoneticPr fontId="6" type="noConversion"/>
  </si>
  <si>
    <t>FSW</t>
    <phoneticPr fontId="6" type="noConversion"/>
  </si>
  <si>
    <r>
      <rPr>
        <sz val="12"/>
        <rFont val="微軟正黑體"/>
        <family val="2"/>
        <charset val="136"/>
      </rPr>
      <t>套銲法蘭</t>
    </r>
    <phoneticPr fontId="6" type="noConversion"/>
  </si>
  <si>
    <t>IW</t>
    <phoneticPr fontId="6" type="noConversion"/>
  </si>
  <si>
    <r>
      <rPr>
        <sz val="12"/>
        <rFont val="微軟正黑體"/>
        <family val="2"/>
        <charset val="136"/>
      </rPr>
      <t>插銲</t>
    </r>
    <r>
      <rPr>
        <sz val="12"/>
        <rFont val="Calibri"/>
        <family val="2"/>
      </rPr>
      <t>(SOCKOLET,WELDOLET,THREADOLET)</t>
    </r>
    <phoneticPr fontId="6" type="noConversion"/>
  </si>
  <si>
    <t>IWN</t>
    <phoneticPr fontId="6" type="noConversion"/>
  </si>
  <si>
    <r>
      <rPr>
        <sz val="12"/>
        <rFont val="微軟正黑體"/>
        <family val="2"/>
        <charset val="136"/>
      </rPr>
      <t>插銲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無補強板</t>
    </r>
    <r>
      <rPr>
        <sz val="12"/>
        <rFont val="Calibri"/>
        <family val="2"/>
      </rPr>
      <t>)</t>
    </r>
    <phoneticPr fontId="6" type="noConversion"/>
  </si>
  <si>
    <t>IWR</t>
    <phoneticPr fontId="6" type="noConversion"/>
  </si>
  <si>
    <r>
      <rPr>
        <sz val="12"/>
        <rFont val="微軟正黑體"/>
        <family val="2"/>
        <charset val="136"/>
      </rPr>
      <t>插銲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有補強板</t>
    </r>
    <r>
      <rPr>
        <sz val="12"/>
        <rFont val="Calibri"/>
        <family val="2"/>
      </rPr>
      <t>)</t>
    </r>
    <phoneticPr fontId="6" type="noConversion"/>
  </si>
  <si>
    <t>NPT</t>
    <phoneticPr fontId="6" type="noConversion"/>
  </si>
  <si>
    <r>
      <rPr>
        <sz val="12"/>
        <rFont val="微軟正黑體"/>
        <family val="2"/>
        <charset val="136"/>
      </rPr>
      <t>牙口</t>
    </r>
    <phoneticPr fontId="6" type="noConversion"/>
  </si>
  <si>
    <t>FF</t>
    <phoneticPr fontId="9" type="noConversion"/>
  </si>
  <si>
    <t>FF-CV</t>
    <phoneticPr fontId="9" type="noConversion"/>
  </si>
  <si>
    <t>FF-SV</t>
    <phoneticPr fontId="9" type="noConversion"/>
  </si>
  <si>
    <r>
      <t xml:space="preserve">FF </t>
    </r>
    <r>
      <rPr>
        <sz val="12"/>
        <rFont val="微軟正黑體"/>
        <family val="2"/>
        <charset val="136"/>
      </rPr>
      <t>或</t>
    </r>
    <r>
      <rPr>
        <sz val="12"/>
        <rFont val="Calibri"/>
        <family val="2"/>
      </rPr>
      <t xml:space="preserve"> RF</t>
    </r>
    <phoneticPr fontId="9" type="noConversion"/>
  </si>
  <si>
    <r>
      <rPr>
        <sz val="12"/>
        <rFont val="微軟正黑體"/>
        <family val="2"/>
        <charset val="136"/>
      </rPr>
      <t>屬於安裝工作</t>
    </r>
    <phoneticPr fontId="9" type="noConversion"/>
  </si>
  <si>
    <r>
      <rPr>
        <sz val="12"/>
        <rFont val="微軟正黑體"/>
        <family val="2"/>
        <charset val="136"/>
      </rPr>
      <t>焊口編號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以下</t>
    </r>
    <phoneticPr fontId="9" type="noConversion"/>
  </si>
  <si>
    <t>F</t>
    <phoneticPr fontId="6" type="noConversion"/>
  </si>
  <si>
    <r>
      <rPr>
        <sz val="12"/>
        <rFont val="微軟正黑體"/>
        <family val="2"/>
        <charset val="136"/>
      </rPr>
      <t>法蘭安裝</t>
    </r>
    <phoneticPr fontId="6" type="noConversion"/>
  </si>
  <si>
    <t>V</t>
    <phoneticPr fontId="6" type="noConversion"/>
  </si>
  <si>
    <r>
      <rPr>
        <sz val="12"/>
        <rFont val="微軟正黑體"/>
        <family val="2"/>
        <charset val="136"/>
      </rPr>
      <t>閥安裝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手動閥、過濾器、軟管、眼鏡盲板、限流板等</t>
    </r>
    <r>
      <rPr>
        <sz val="12"/>
        <rFont val="Calibri"/>
        <family val="2"/>
      </rPr>
      <t>)</t>
    </r>
    <phoneticPr fontId="6" type="noConversion"/>
  </si>
  <si>
    <t>CV</t>
    <phoneticPr fontId="6" type="noConversion"/>
  </si>
  <si>
    <r>
      <rPr>
        <sz val="12"/>
        <rFont val="微軟正黑體"/>
        <family val="2"/>
        <charset val="136"/>
      </rPr>
      <t>控制閥及流量計等安裝</t>
    </r>
    <phoneticPr fontId="6" type="noConversion"/>
  </si>
  <si>
    <t>SV</t>
    <phoneticPr fontId="6" type="noConversion"/>
  </si>
  <si>
    <r>
      <rPr>
        <sz val="12"/>
        <rFont val="微軟正黑體"/>
        <family val="2"/>
        <charset val="136"/>
      </rPr>
      <t>安全閥安裝</t>
    </r>
    <phoneticPr fontId="6" type="noConversion"/>
  </si>
  <si>
    <t>V V</t>
    <phoneticPr fontId="6" type="noConversion"/>
  </si>
  <si>
    <r>
      <rPr>
        <sz val="12"/>
        <rFont val="微軟正黑體"/>
        <family val="2"/>
        <charset val="136"/>
      </rPr>
      <t>特殊閥安裝</t>
    </r>
    <r>
      <rPr>
        <sz val="12"/>
        <rFont val="Calibri"/>
        <family val="2"/>
      </rPr>
      <t>(</t>
    </r>
    <r>
      <rPr>
        <sz val="12"/>
        <rFont val="微軟正黑體"/>
        <family val="2"/>
        <charset val="136"/>
      </rPr>
      <t>如桶底閥、三通閥等等</t>
    </r>
    <r>
      <rPr>
        <sz val="12"/>
        <rFont val="Calibri"/>
        <family val="2"/>
      </rPr>
      <t>)</t>
    </r>
    <phoneticPr fontId="6" type="noConversion"/>
  </si>
  <si>
    <r>
      <rPr>
        <sz val="12"/>
        <rFont val="微軟正黑體"/>
        <family val="2"/>
        <charset val="136"/>
      </rPr>
      <t>銲口編號補充</t>
    </r>
    <r>
      <rPr>
        <sz val="12"/>
        <rFont val="Calibri"/>
        <family val="2"/>
      </rPr>
      <t>:</t>
    </r>
    <phoneticPr fontId="6" type="noConversion"/>
  </si>
  <si>
    <r>
      <t>1.</t>
    </r>
    <r>
      <rPr>
        <sz val="12"/>
        <rFont val="微軟正黑體"/>
        <family val="2"/>
        <charset val="136"/>
      </rPr>
      <t>新增銲口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用最接近焊口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英文字母</t>
    </r>
    <r>
      <rPr>
        <sz val="12"/>
        <rFont val="Calibri"/>
        <family val="2"/>
      </rPr>
      <t xml:space="preserve"> a1..a2..a3..</t>
    </r>
    <r>
      <rPr>
        <sz val="12"/>
        <rFont val="微軟正黑體"/>
        <family val="2"/>
        <charset val="136"/>
      </rPr>
      <t>等依此類推</t>
    </r>
    <phoneticPr fontId="6" type="noConversion"/>
  </si>
  <si>
    <r>
      <t>2.</t>
    </r>
    <r>
      <rPr>
        <sz val="12"/>
        <rFont val="微軟正黑體"/>
        <family val="2"/>
        <charset val="136"/>
      </rPr>
      <t>修改銲口</t>
    </r>
    <r>
      <rPr>
        <sz val="12"/>
        <rFont val="Calibri"/>
        <family val="2"/>
      </rPr>
      <t>:</t>
    </r>
    <r>
      <rPr>
        <sz val="12"/>
        <rFont val="微軟正黑體"/>
        <family val="2"/>
        <charset val="136"/>
      </rPr>
      <t>用該焊口</t>
    </r>
    <r>
      <rPr>
        <sz val="12"/>
        <rFont val="Calibri"/>
        <family val="2"/>
      </rPr>
      <t>+</t>
    </r>
    <r>
      <rPr>
        <sz val="12"/>
        <rFont val="微軟正黑體"/>
        <family val="2"/>
        <charset val="136"/>
      </rPr>
      <t>英文字母</t>
    </r>
    <r>
      <rPr>
        <sz val="12"/>
        <rFont val="Calibri"/>
        <family val="2"/>
      </rPr>
      <t xml:space="preserve">  r1..r2..r3..</t>
    </r>
    <r>
      <rPr>
        <sz val="12"/>
        <rFont val="微軟正黑體"/>
        <family val="2"/>
        <charset val="136"/>
      </rPr>
      <t>等依此類推</t>
    </r>
    <phoneticPr fontId="6" type="noConversion"/>
  </si>
  <si>
    <r>
      <t>3.</t>
    </r>
    <r>
      <rPr>
        <sz val="12"/>
        <rFont val="微軟正黑體"/>
        <family val="2"/>
        <charset val="136"/>
      </rPr>
      <t>法蘭安裝銲口自行編列並加</t>
    </r>
    <r>
      <rPr>
        <sz val="12"/>
        <rFont val="Calibri"/>
        <family val="2"/>
      </rPr>
      <t>F</t>
    </r>
    <r>
      <rPr>
        <sz val="12"/>
        <rFont val="微軟正黑體"/>
        <family val="2"/>
        <charset val="136"/>
      </rPr>
      <t>以方便統計</t>
    </r>
    <phoneticPr fontId="10" type="noConversion"/>
  </si>
  <si>
    <t>銲接型式</t>
    <phoneticPr fontId="2" type="noConversion"/>
  </si>
  <si>
    <t>備註</t>
    <phoneticPr fontId="2" type="noConversion"/>
  </si>
  <si>
    <t>DWG NO</t>
  </si>
  <si>
    <r>
      <rPr>
        <sz val="12"/>
        <color theme="1"/>
        <rFont val="Microsoft JhengHei"/>
        <family val="2"/>
      </rPr>
      <t>流水號</t>
    </r>
    <phoneticPr fontId="2" type="noConversion"/>
  </si>
  <si>
    <r>
      <rPr>
        <sz val="12"/>
        <color theme="1"/>
        <rFont val="細明體"/>
        <family val="3"/>
        <charset val="136"/>
      </rPr>
      <t>銲接型式</t>
    </r>
  </si>
  <si>
    <t>流水號</t>
    <phoneticPr fontId="2" type="noConversion"/>
  </si>
  <si>
    <t>圖面問題</t>
    <phoneticPr fontId="2" type="noConversion"/>
  </si>
  <si>
    <t>欠全接頭,新增焊口</t>
    <phoneticPr fontId="2" type="noConversion"/>
  </si>
  <si>
    <t>新增焊口</t>
    <phoneticPr fontId="2" type="noConversion"/>
  </si>
  <si>
    <t>hyper</t>
    <phoneticPr fontId="2" type="noConversion"/>
  </si>
  <si>
    <t>BW</t>
  </si>
  <si>
    <t>SW</t>
  </si>
  <si>
    <t>IW</t>
  </si>
  <si>
    <t>S-40</t>
  </si>
  <si>
    <t>S-10</t>
  </si>
  <si>
    <t>C.S</t>
  </si>
  <si>
    <t>304</t>
  </si>
  <si>
    <t>S</t>
  </si>
  <si>
    <t>流水號</t>
    <phoneticPr fontId="9" type="noConversion"/>
  </si>
  <si>
    <t>需購買管接頭數量</t>
    <phoneticPr fontId="9" type="noConversion"/>
  </si>
  <si>
    <t>尺寸</t>
    <phoneticPr fontId="9" type="noConversion"/>
  </si>
  <si>
    <t>材質</t>
    <phoneticPr fontId="9" type="noConversion"/>
  </si>
  <si>
    <r>
      <t>DB</t>
    </r>
    <r>
      <rPr>
        <sz val="12"/>
        <color rgb="FFFF0000"/>
        <rFont val="細明體"/>
        <family val="2"/>
        <charset val="136"/>
      </rPr>
      <t>數</t>
    </r>
    <phoneticPr fontId="2" type="noConversion"/>
  </si>
  <si>
    <t>銲接型式</t>
  </si>
  <si>
    <t>總計</t>
  </si>
  <si>
    <t>加總 - DB數</t>
  </si>
  <si>
    <t>值</t>
  </si>
  <si>
    <t>計數 - 銲口編號</t>
  </si>
  <si>
    <t>304 合計</t>
  </si>
  <si>
    <t>S-10</t>
    <phoneticPr fontId="2" type="noConversion"/>
  </si>
  <si>
    <t>品項</t>
    <phoneticPr fontId="2" type="noConversion"/>
  </si>
  <si>
    <t>品項</t>
  </si>
  <si>
    <t>BW</t>
    <phoneticPr fontId="2" type="noConversion"/>
  </si>
  <si>
    <r>
      <rPr>
        <b/>
        <sz val="12"/>
        <color theme="1"/>
        <rFont val="細明體"/>
        <family val="2"/>
        <charset val="136"/>
      </rPr>
      <t>分析</t>
    </r>
    <r>
      <rPr>
        <b/>
        <sz val="12"/>
        <color theme="1"/>
        <rFont val="Calibri"/>
        <family val="2"/>
      </rPr>
      <t>-114.05.21</t>
    </r>
    <r>
      <rPr>
        <b/>
        <sz val="12"/>
        <color theme="1"/>
        <rFont val="細明體"/>
        <family val="2"/>
        <charset val="136"/>
      </rPr>
      <t>預製完成</t>
    </r>
    <phoneticPr fontId="2" type="noConversion"/>
  </si>
  <si>
    <t>Line_num</t>
    <phoneticPr fontId="2" type="noConversion"/>
  </si>
  <si>
    <t>編號</t>
    <phoneticPr fontId="2" type="noConversion"/>
  </si>
  <si>
    <t>日期</t>
    <phoneticPr fontId="2" type="noConversion"/>
  </si>
  <si>
    <t>id</t>
    <phoneticPr fontId="2" type="noConversion"/>
  </si>
  <si>
    <t>NOTE</t>
    <phoneticPr fontId="2" type="noConversion"/>
  </si>
  <si>
    <t xml:space="preserve"> </t>
    <phoneticPr fontId="2" type="noConversion"/>
  </si>
  <si>
    <t>(UG)FO-90401-S1P1FU-01</t>
  </si>
  <si>
    <t>1/1</t>
    <phoneticPr fontId="2" type="noConversion"/>
  </si>
  <si>
    <t>(UG)FO-90401.-S1P1FU-01</t>
    <phoneticPr fontId="2" type="noConversion"/>
  </si>
  <si>
    <t>1/2</t>
    <phoneticPr fontId="2" type="noConversion"/>
  </si>
  <si>
    <t>(UG)FO-90401.-S1P1FU-02</t>
    <phoneticPr fontId="2" type="noConversion"/>
  </si>
  <si>
    <t>2/2</t>
    <phoneticPr fontId="2" type="noConversion"/>
  </si>
  <si>
    <t>F</t>
    <phoneticPr fontId="2" type="noConversion"/>
  </si>
  <si>
    <t>(UG)FW-90201-C1AU-01</t>
    <phoneticPr fontId="2" type="noConversion"/>
  </si>
  <si>
    <t>S-40</t>
    <phoneticPr fontId="2" type="noConversion"/>
  </si>
  <si>
    <t>GALV</t>
    <phoneticPr fontId="2" type="noConversion"/>
  </si>
  <si>
    <t>FF</t>
    <phoneticPr fontId="2" type="noConversion"/>
  </si>
  <si>
    <t>S</t>
    <phoneticPr fontId="2" type="noConversion"/>
  </si>
  <si>
    <t>(UG)FW-90201.-C1AU-01</t>
    <phoneticPr fontId="2" type="noConversion"/>
  </si>
  <si>
    <t>1/3</t>
    <phoneticPr fontId="2" type="noConversion"/>
  </si>
  <si>
    <t>(UG)FW-90201.-C1AU-02</t>
    <phoneticPr fontId="2" type="noConversion"/>
  </si>
  <si>
    <t>2/3</t>
    <phoneticPr fontId="2" type="noConversion"/>
  </si>
  <si>
    <t>S-80</t>
    <phoneticPr fontId="2" type="noConversion"/>
  </si>
  <si>
    <t>SW</t>
    <phoneticPr fontId="2" type="noConversion"/>
  </si>
  <si>
    <t>IW</t>
    <phoneticPr fontId="2" type="noConversion"/>
  </si>
  <si>
    <t>20V</t>
    <phoneticPr fontId="2" type="noConversion"/>
  </si>
  <si>
    <t>11V</t>
    <phoneticPr fontId="2" type="noConversion"/>
  </si>
  <si>
    <t>9V</t>
    <phoneticPr fontId="2" type="noConversion"/>
  </si>
  <si>
    <t>25V</t>
    <phoneticPr fontId="2" type="noConversion"/>
  </si>
  <si>
    <t>30V</t>
    <phoneticPr fontId="2" type="noConversion"/>
  </si>
  <si>
    <t>(UG)FW-90201.-C1AU-03</t>
    <phoneticPr fontId="2" type="noConversion"/>
  </si>
  <si>
    <t>3/3</t>
    <phoneticPr fontId="2" type="noConversion"/>
  </si>
  <si>
    <t>41V</t>
    <phoneticPr fontId="2" type="noConversion"/>
  </si>
  <si>
    <t>(UG)FW-90201..-C1AU-01</t>
    <phoneticPr fontId="2" type="noConversion"/>
  </si>
  <si>
    <t>19V</t>
    <phoneticPr fontId="2" type="noConversion"/>
  </si>
  <si>
    <t>(UG)FW-90201..-C1AU-02</t>
    <phoneticPr fontId="2" type="noConversion"/>
  </si>
  <si>
    <t>24V</t>
    <phoneticPr fontId="2" type="noConversion"/>
  </si>
  <si>
    <t>29V</t>
    <phoneticPr fontId="2" type="noConversion"/>
  </si>
  <si>
    <t>(UG)FW-90201...-C1AU-01</t>
    <phoneticPr fontId="2" type="noConversion"/>
  </si>
  <si>
    <t>13V</t>
    <phoneticPr fontId="2" type="noConversion"/>
  </si>
  <si>
    <t>(UG)FW-90201...-C1AU-02</t>
    <phoneticPr fontId="2" type="noConversion"/>
  </si>
  <si>
    <t>14V</t>
    <phoneticPr fontId="2" type="noConversion"/>
  </si>
  <si>
    <t>(UG)FW-90202-C1AU-01</t>
    <phoneticPr fontId="2" type="noConversion"/>
  </si>
  <si>
    <t>(UG)IW-11001-C1AU-01</t>
    <phoneticPr fontId="2" type="noConversion"/>
  </si>
  <si>
    <t>(UG)SW-11201-S1P4U-01</t>
    <phoneticPr fontId="2" type="noConversion"/>
  </si>
  <si>
    <t>(UG)TRIM-W1808-N6-S1P4U-01</t>
    <phoneticPr fontId="2" type="noConversion"/>
  </si>
  <si>
    <t>(UG)WW-12101-S1P4U-01</t>
    <phoneticPr fontId="2" type="noConversion"/>
  </si>
  <si>
    <t>1V</t>
    <phoneticPr fontId="2" type="noConversion"/>
  </si>
  <si>
    <t>(UG)WW-12101-S1P4U-02</t>
    <phoneticPr fontId="2" type="noConversion"/>
  </si>
  <si>
    <t>(UG)WW-18011-S1P4U-01</t>
    <phoneticPr fontId="2" type="noConversion"/>
  </si>
  <si>
    <t>(UG)WW-18015-S1P4U-01</t>
    <phoneticPr fontId="2" type="noConversion"/>
  </si>
  <si>
    <t>(UG)WW-18016-S1P4U-01</t>
    <phoneticPr fontId="2" type="noConversion"/>
  </si>
  <si>
    <t>(UG)WW-18017-S1P4U-01</t>
    <phoneticPr fontId="2" type="noConversion"/>
  </si>
  <si>
    <t>(UG)WW-18021-S1P4U-01</t>
    <phoneticPr fontId="2" type="noConversion"/>
  </si>
  <si>
    <t>3V</t>
    <phoneticPr fontId="2" type="noConversion"/>
  </si>
  <si>
    <t>(UG)WW-18022-S1P4U-01</t>
    <phoneticPr fontId="2" type="noConversion"/>
  </si>
  <si>
    <t>4V</t>
    <phoneticPr fontId="2" type="noConversion"/>
  </si>
  <si>
    <t>(UG)WW-18023-S1P4U-01</t>
    <phoneticPr fontId="2" type="noConversion"/>
  </si>
  <si>
    <t>(UG)WW-18026-S1P4U-01</t>
    <phoneticPr fontId="2" type="noConversion"/>
  </si>
  <si>
    <t>2V</t>
    <phoneticPr fontId="2" type="noConversion"/>
  </si>
  <si>
    <t>(UG)WW-18031-S1P4U-01</t>
    <phoneticPr fontId="2" type="noConversion"/>
  </si>
  <si>
    <t>(UG)WW-18032-S1P4U-01</t>
    <phoneticPr fontId="2" type="noConversion"/>
  </si>
  <si>
    <t>(UG)WW-18033-S1P4U-01</t>
    <phoneticPr fontId="2" type="noConversion"/>
  </si>
  <si>
    <t>(UG)WW-18039-S1P4U-01</t>
    <phoneticPr fontId="2" type="noConversion"/>
  </si>
  <si>
    <t>FF</t>
  </si>
  <si>
    <t>(UG)WW-18041-S1P4U-01</t>
    <phoneticPr fontId="2" type="noConversion"/>
  </si>
  <si>
    <t>8V</t>
    <phoneticPr fontId="2" type="noConversion"/>
  </si>
  <si>
    <t>17V</t>
    <phoneticPr fontId="2" type="noConversion"/>
  </si>
  <si>
    <t>(UG)WW-18041-S1P4U-02</t>
    <phoneticPr fontId="2" type="noConversion"/>
  </si>
  <si>
    <t>38V</t>
    <phoneticPr fontId="2" type="noConversion"/>
  </si>
  <si>
    <t>(UG)WW-18042-S1P4U-01</t>
    <phoneticPr fontId="2" type="noConversion"/>
  </si>
  <si>
    <t>(UG)WW-18044-S1P4U-01</t>
    <phoneticPr fontId="2" type="noConversion"/>
  </si>
  <si>
    <t>(UG)WW-18048-S1P4U-01</t>
    <phoneticPr fontId="2" type="noConversion"/>
  </si>
  <si>
    <t>10V</t>
    <phoneticPr fontId="2" type="noConversion"/>
  </si>
  <si>
    <t>(UG)WW-18052-S1P4U-01</t>
    <phoneticPr fontId="2" type="noConversion"/>
  </si>
  <si>
    <t>(UG)WW-18091-S1P4U-01</t>
    <phoneticPr fontId="2" type="noConversion"/>
  </si>
  <si>
    <t>(UG)WW-18092-S1P4U-01</t>
    <phoneticPr fontId="2" type="noConversion"/>
  </si>
  <si>
    <t>(UG)WW-16001-S1P4U-01</t>
    <phoneticPr fontId="2" type="noConversion"/>
  </si>
  <si>
    <t>GALV</t>
  </si>
  <si>
    <t>GALV 合計</t>
  </si>
  <si>
    <t>(空白)</t>
  </si>
  <si>
    <t>(空白) 合計</t>
  </si>
  <si>
    <r>
      <t>SE-37-</t>
    </r>
    <r>
      <rPr>
        <sz val="12"/>
        <color theme="1"/>
        <rFont val="細明體"/>
        <family val="3"/>
        <charset val="136"/>
      </rPr>
      <t>焊口管制表</t>
    </r>
    <r>
      <rPr>
        <sz val="12"/>
        <color theme="1"/>
        <rFont val="Calibri"/>
        <family val="2"/>
      </rPr>
      <t>-114.07.21</t>
    </r>
    <phoneticPr fontId="2" type="noConversion"/>
  </si>
  <si>
    <t>Series NO</t>
    <phoneticPr fontId="25" type="noConversion"/>
  </si>
  <si>
    <t>DWG NO</t>
    <phoneticPr fontId="25" type="noConversion"/>
  </si>
  <si>
    <t>SH'T NO</t>
    <phoneticPr fontId="25" type="noConversion"/>
  </si>
  <si>
    <t>LINE   NUMBER</t>
    <phoneticPr fontId="25" type="noConversion"/>
  </si>
  <si>
    <t>REV.A</t>
    <phoneticPr fontId="25" type="noConversion"/>
  </si>
  <si>
    <t>REV.0</t>
    <phoneticPr fontId="25" type="noConversion"/>
  </si>
  <si>
    <t>REV.1</t>
    <phoneticPr fontId="25" type="noConversion"/>
  </si>
  <si>
    <t>REV.2</t>
    <phoneticPr fontId="25" type="noConversion"/>
  </si>
  <si>
    <t>REV.3</t>
    <phoneticPr fontId="25" type="noConversion"/>
  </si>
  <si>
    <t>最終版版次</t>
    <phoneticPr fontId="25" type="noConversion"/>
  </si>
  <si>
    <t>最終版日期</t>
    <phoneticPr fontId="25" type="noConversion"/>
  </si>
  <si>
    <r>
      <rPr>
        <sz val="12"/>
        <rFont val="細明體"/>
        <family val="2"/>
        <charset val="136"/>
      </rPr>
      <t>針對</t>
    </r>
    <r>
      <rPr>
        <sz val="12"/>
        <rFont val="Calibri"/>
        <family val="2"/>
      </rPr>
      <t>PDF</t>
    </r>
    <r>
      <rPr>
        <sz val="12"/>
        <rFont val="細明體"/>
        <family val="2"/>
        <charset val="136"/>
      </rPr>
      <t>格式</t>
    </r>
    <phoneticPr fontId="6" type="noConversion"/>
  </si>
  <si>
    <t>圖面狀態</t>
  </si>
  <si>
    <t>(UG)FO-90401-6"-S1P1FU-01</t>
  </si>
  <si>
    <t>1/1</t>
    <phoneticPr fontId="6" type="noConversion"/>
  </si>
  <si>
    <t>(UG)FO-90401-6"-S1P1FU</t>
  </si>
  <si>
    <t>啟用</t>
  </si>
  <si>
    <t>(UG)FO-90401.-6"-S1P1FU-01</t>
  </si>
  <si>
    <t>1/2</t>
    <phoneticPr fontId="6" type="noConversion"/>
  </si>
  <si>
    <t>(UG)FO-90401.-6"-S1P1FU</t>
  </si>
  <si>
    <t>(UG)FO-90401.-6"-S1P1FU-02</t>
  </si>
  <si>
    <t>2/2</t>
    <phoneticPr fontId="6" type="noConversion"/>
  </si>
  <si>
    <t>(UG)FW-90201-6"-C1AU-01</t>
  </si>
  <si>
    <t>(UG)FW-90201-6"-C1AU</t>
  </si>
  <si>
    <t>(UG)FW-90201.-8"-C1AU-01</t>
  </si>
  <si>
    <t>1/3</t>
    <phoneticPr fontId="6" type="noConversion"/>
  </si>
  <si>
    <t>(UG)FW-90201.-8"-C1AU</t>
  </si>
  <si>
    <t>(UG)FW-90201.-8"-C1AU-02</t>
  </si>
  <si>
    <t>2/3</t>
    <phoneticPr fontId="6" type="noConversion"/>
  </si>
  <si>
    <t>(UG)FW-90201.-8"-C1AU-03</t>
  </si>
  <si>
    <t>3/3</t>
    <phoneticPr fontId="6" type="noConversion"/>
  </si>
  <si>
    <t>(UG)FW-90201..-6"-C1AU-01</t>
  </si>
  <si>
    <t>(UG)FW-90201..-6"-C1AU</t>
  </si>
  <si>
    <t>(UG)FW-90201..-6"-C1AU-02</t>
  </si>
  <si>
    <t>(UG)FW-90201...-6"-C1AU-01</t>
  </si>
  <si>
    <t>(UG)FW-90201...-6"-C1AU</t>
  </si>
  <si>
    <t>(UG)FW-90201...-6"-C1AU-02</t>
  </si>
  <si>
    <t>(UG)FW-90202-6"-C1AU-01</t>
  </si>
  <si>
    <t>(UG)FW-90202-6"-C1AU</t>
  </si>
  <si>
    <t>(UG)IW-11001-4"-C1AU-01</t>
  </si>
  <si>
    <t>(UG)IW-11001-4"-C1AU</t>
  </si>
  <si>
    <t>(UG)SW-11201-4"-S1P4U-01</t>
  </si>
  <si>
    <t>(UG)SW-11201-4"-S1P4U</t>
  </si>
  <si>
    <t>(UG)TRIM-W1808-N6-4"-S1P4U-01</t>
  </si>
  <si>
    <t>(UG)TRIM-W1808-N6-4"-S1P4U</t>
  </si>
  <si>
    <t>(UG)WW-12101-4"-S1P4U-01</t>
  </si>
  <si>
    <t>(UG)WW-12101-4"-S1P4U</t>
  </si>
  <si>
    <t>(UG)WW-12101-4"-S1P4U-02</t>
  </si>
  <si>
    <t>(UG)WW-18011-4"-S1P4U-01</t>
  </si>
  <si>
    <t>(UG)WW-18011-4"-S1P4U</t>
  </si>
  <si>
    <t>(UG)WW-18015-4"-S1P4U-01</t>
  </si>
  <si>
    <t>(UG)WW-18015-4"-S1P4U</t>
  </si>
  <si>
    <t>(UG)WW-18016-4"-S1P4U-01</t>
  </si>
  <si>
    <t>(UG)WW-18016-4"-S1P4U</t>
  </si>
  <si>
    <t>(UG)WW-18017-3"-S1P4U-01</t>
  </si>
  <si>
    <t>(UG)WW-18017-3"-S1P4U</t>
  </si>
  <si>
    <t>(UG)WW-18021-8"-S1P4U-01</t>
  </si>
  <si>
    <t>(UG)WW-18021-8"-S1P4U</t>
  </si>
  <si>
    <t>(UG)WW-18022-6"-S1P4U-01</t>
  </si>
  <si>
    <t>(UG)WW-18022-6"-S1P4U</t>
  </si>
  <si>
    <t>(UG)WW-18023-4"-S1P4U-01</t>
  </si>
  <si>
    <t>(UG)WW-18023-4"-S1P4U</t>
  </si>
  <si>
    <t>(UG)WW-18026-6"-S1P4U-01</t>
  </si>
  <si>
    <t>(UG)WW-18026-6"-S1P4U</t>
  </si>
  <si>
    <t>(UG)WW-18031-6"-S1P4U-01</t>
  </si>
  <si>
    <t>(UG)WW-18031-6"-S1P4U</t>
  </si>
  <si>
    <t>(UG)WW-18032-4"-S1P4U-01</t>
  </si>
  <si>
    <t>(UG)WW-18032-4"-S1P4U</t>
  </si>
  <si>
    <t>(UG)WW-18033-4"-S1P4U-01</t>
  </si>
  <si>
    <t>(UG)WW-18033-4"-S1P4U</t>
  </si>
  <si>
    <t>(UG)WW-18039-4"-S1P4U-01</t>
  </si>
  <si>
    <t>(UG)WW-18039-4"-S1P4U</t>
  </si>
  <si>
    <t>(UG)WW-18041-2"-S1P4U-01</t>
  </si>
  <si>
    <t>(UG)WW-18041-2"-S1P4U</t>
  </si>
  <si>
    <t>(UG)WW-18041-2"-S1P4U-02</t>
  </si>
  <si>
    <t>(UG)WW-18042-2"-S1P4U-01</t>
  </si>
  <si>
    <t>(UG)WW-18042-2"-S1P4U</t>
  </si>
  <si>
    <t>(UG)WW-18044-4"-S1P4U-01</t>
  </si>
  <si>
    <t>(UG)WW-18044-4"-S1P4U</t>
  </si>
  <si>
    <t>(UG)WW-18048-2"-S1P4U-01</t>
  </si>
  <si>
    <t>(UG)WW-18048-2"-S1P4U</t>
  </si>
  <si>
    <t>(UG)WW-18052-8"-S1P4U-01</t>
  </si>
  <si>
    <t>(UG)WW-18052-8"-S1P4U</t>
  </si>
  <si>
    <t>(UG)WW-18091-3"-S1P4U-01</t>
  </si>
  <si>
    <t>(UG)WW-18091-3"-S1P4U</t>
  </si>
  <si>
    <t>(UG)WW-18092-6"-S1P4U-01</t>
  </si>
  <si>
    <t>(UG)WW-18092-6"-S1P4U</t>
  </si>
  <si>
    <t>(UG)WW-19021-4"-S1P4U-01</t>
  </si>
  <si>
    <t>(UG)WW-19021-4"-S1P4U</t>
  </si>
  <si>
    <t>關閉</t>
  </si>
  <si>
    <t>(UG)WW-16001-2"-S1P4U-01</t>
  </si>
  <si>
    <t>(UG)WW-16001-2"-S1P4U</t>
  </si>
  <si>
    <t>(UG)FO-90401-6"-S1P1FU-02</t>
    <phoneticPr fontId="2" type="noConversion"/>
  </si>
  <si>
    <t>1-1</t>
    <phoneticPr fontId="2" type="noConversion"/>
  </si>
  <si>
    <t>(UG)FO-90401-S1P1FU-02</t>
    <phoneticPr fontId="2" type="noConversion"/>
  </si>
  <si>
    <t>T</t>
  </si>
  <si>
    <t>T</t>
    <phoneticPr fontId="2" type="noConversion"/>
  </si>
  <si>
    <t>39V</t>
    <phoneticPr fontId="2" type="noConversion"/>
  </si>
  <si>
    <r>
      <t>RT.PT</t>
    </r>
    <r>
      <rPr>
        <sz val="12"/>
        <color theme="1"/>
        <rFont val="微軟正黑體"/>
        <family val="2"/>
        <charset val="136"/>
      </rPr>
      <t>檢驗日期</t>
    </r>
    <phoneticPr fontId="2" type="noConversion"/>
  </si>
  <si>
    <t>S-80</t>
  </si>
  <si>
    <t>1-1</t>
  </si>
  <si>
    <t>(UG)WW-18048-S1P4U-01</t>
  </si>
  <si>
    <t>(UG)FW-90201...-C1AU-01</t>
  </si>
  <si>
    <t>(UG)WW-18041-S1P4U-01</t>
  </si>
  <si>
    <t>(UG)FO-90401.-S1P1FU-02</t>
  </si>
  <si>
    <t>(UG)FO-90401-S1P1FU-02</t>
  </si>
  <si>
    <t>(UG)FW-90201...-C1AU-02</t>
  </si>
  <si>
    <t>(UG)FW-90201..-C1AU-02</t>
  </si>
  <si>
    <t>(UG)FW-90201.-C1AU-02</t>
  </si>
  <si>
    <t>VV</t>
    <phoneticPr fontId="2" type="noConversion"/>
  </si>
  <si>
    <t>流水號</t>
  </si>
  <si>
    <t>合計</t>
  </si>
  <si>
    <t>RT.PT檢驗日期</t>
  </si>
  <si>
    <t>V</t>
  </si>
  <si>
    <t>V</t>
    <phoneticPr fontId="2" type="noConversion"/>
  </si>
  <si>
    <r>
      <t>RT.PT</t>
    </r>
    <r>
      <rPr>
        <sz val="12"/>
        <color theme="1"/>
        <rFont val="Microsoft JhengHei"/>
        <family val="2"/>
      </rPr>
      <t>檢驗焊口</t>
    </r>
    <phoneticPr fontId="2" type="noConversion"/>
  </si>
  <si>
    <t>RT.PT檢驗焊口</t>
  </si>
  <si>
    <t>5A</t>
    <phoneticPr fontId="2" type="noConversion"/>
  </si>
  <si>
    <t>1A</t>
    <phoneticPr fontId="2" type="noConversion"/>
  </si>
  <si>
    <t>11A</t>
    <phoneticPr fontId="2" type="noConversion"/>
  </si>
  <si>
    <t>9A</t>
    <phoneticPr fontId="2" type="noConversion"/>
  </si>
  <si>
    <t>11A</t>
  </si>
  <si>
    <t>14</t>
  </si>
  <si>
    <t>9A</t>
  </si>
  <si>
    <t>7A</t>
  </si>
  <si>
    <t>14A</t>
  </si>
  <si>
    <t>6A</t>
  </si>
  <si>
    <t>12A</t>
  </si>
  <si>
    <t>序列</t>
    <phoneticPr fontId="2" type="noConversion"/>
  </si>
  <si>
    <t>尺寸</t>
    <phoneticPr fontId="2" type="noConversion"/>
  </si>
  <si>
    <t>數量</t>
    <phoneticPr fontId="2" type="noConversion"/>
  </si>
  <si>
    <t>請款月份</t>
    <phoneticPr fontId="2" type="noConversion"/>
  </si>
  <si>
    <t>11月</t>
    <phoneticPr fontId="2" type="noConversion"/>
  </si>
  <si>
    <t>計數</t>
    <phoneticPr fontId="2" type="noConversion"/>
  </si>
  <si>
    <t>加總 - 計數</t>
  </si>
  <si>
    <t>(多重項目)</t>
  </si>
  <si>
    <t>12月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</si>
</sst>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&quot; 口&quot;"/>
    <numFmt numFmtId="177" formatCode="General&quot; DB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Calibri"/>
      <family val="2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12"/>
      <name val="Calibri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12"/>
      <color theme="1"/>
      <name val="Microsoft JhengHei"/>
      <family val="2"/>
    </font>
    <font>
      <sz val="12"/>
      <color theme="1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細明體"/>
      <family val="2"/>
      <charset val="136"/>
    </font>
    <font>
      <sz val="12"/>
      <color rgb="FFFF0000"/>
      <name val="Calibri"/>
      <family val="2"/>
    </font>
    <font>
      <sz val="12"/>
      <color rgb="FFFF0000"/>
      <name val="細明體"/>
      <family val="2"/>
      <charset val="136"/>
    </font>
    <font>
      <b/>
      <sz val="12"/>
      <color theme="1"/>
      <name val="Calibri"/>
      <family val="2"/>
    </font>
    <font>
      <b/>
      <sz val="12"/>
      <color theme="1"/>
      <name val="Calibri"/>
      <family val="2"/>
      <charset val="136"/>
    </font>
    <font>
      <b/>
      <sz val="12"/>
      <color theme="1"/>
      <name val="細明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細明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/>
      <diagonal/>
    </border>
  </borders>
  <cellStyleXfs count="8">
    <xf numFmtId="0" fontId="0" fillId="0" borderId="0">
      <alignment vertical="center"/>
    </xf>
    <xf numFmtId="0" fontId="3" fillId="0" borderId="0"/>
    <xf numFmtId="0" fontId="8" fillId="0" borderId="0"/>
    <xf numFmtId="9" fontId="11" fillId="0" borderId="0" applyFont="0" applyFill="0" applyBorder="0" applyAlignment="0" applyProtection="0">
      <alignment vertical="center"/>
    </xf>
    <xf numFmtId="0" fontId="13" fillId="0" borderId="0"/>
    <xf numFmtId="0" fontId="17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0" fontId="3" fillId="0" borderId="0">
      <alignment vertical="center"/>
    </xf>
  </cellStyleXfs>
  <cellXfs count="83"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3" borderId="1" xfId="1" quotePrefix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0" xfId="1" quotePrefix="1" applyFont="1" applyAlignment="1">
      <alignment horizontal="center" vertical="center"/>
    </xf>
    <xf numFmtId="0" fontId="4" fillId="0" borderId="0" xfId="1" quotePrefix="1" applyFont="1" applyAlignment="1">
      <alignment horizontal="left" vertical="center"/>
    </xf>
    <xf numFmtId="0" fontId="4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 wrapText="1"/>
    </xf>
    <xf numFmtId="0" fontId="14" fillId="0" borderId="2" xfId="4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7" fillId="0" borderId="0" xfId="5" applyFill="1" applyAlignment="1">
      <alignment horizontal="center" vertical="center"/>
    </xf>
    <xf numFmtId="0" fontId="12" fillId="0" borderId="2" xfId="4" applyFont="1" applyBorder="1" applyAlignment="1">
      <alignment horizontal="left" vertical="center"/>
    </xf>
    <xf numFmtId="0" fontId="17" fillId="0" borderId="0" xfId="5" applyNumberFormat="1" applyFill="1" applyAlignment="1">
      <alignment horizontal="center" vertical="center"/>
    </xf>
    <xf numFmtId="0" fontId="8" fillId="0" borderId="0" xfId="2"/>
    <xf numFmtId="0" fontId="8" fillId="0" borderId="0" xfId="2" applyAlignment="1">
      <alignment vertical="center"/>
    </xf>
    <xf numFmtId="0" fontId="19" fillId="0" borderId="0" xfId="0" applyFont="1" applyAlignment="1">
      <alignment horizontal="center" vertical="center"/>
    </xf>
    <xf numFmtId="0" fontId="12" fillId="0" borderId="4" xfId="0" applyFont="1" applyBorder="1">
      <alignment vertical="center"/>
    </xf>
    <xf numFmtId="177" fontId="12" fillId="0" borderId="7" xfId="0" applyNumberFormat="1" applyFont="1" applyBorder="1">
      <alignment vertical="center"/>
    </xf>
    <xf numFmtId="0" fontId="18" fillId="0" borderId="0" xfId="0" applyFont="1">
      <alignment vertical="center"/>
    </xf>
    <xf numFmtId="0" fontId="12" fillId="0" borderId="9" xfId="0" applyFont="1" applyBorder="1">
      <alignment vertical="center"/>
    </xf>
    <xf numFmtId="0" fontId="12" fillId="0" borderId="10" xfId="0" applyFont="1" applyBorder="1">
      <alignment vertical="center"/>
    </xf>
    <xf numFmtId="0" fontId="21" fillId="0" borderId="2" xfId="0" applyFont="1" applyBorder="1">
      <alignment vertical="center"/>
    </xf>
    <xf numFmtId="0" fontId="21" fillId="0" borderId="5" xfId="0" applyFont="1" applyBorder="1">
      <alignment vertical="center"/>
    </xf>
    <xf numFmtId="176" fontId="21" fillId="0" borderId="2" xfId="0" applyNumberFormat="1" applyFont="1" applyBorder="1">
      <alignment vertical="center"/>
    </xf>
    <xf numFmtId="177" fontId="21" fillId="0" borderId="7" xfId="0" applyNumberFormat="1" applyFont="1" applyBorder="1">
      <alignment vertical="center"/>
    </xf>
    <xf numFmtId="0" fontId="12" fillId="0" borderId="2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2" xfId="0" pivotButton="1" applyFont="1" applyBorder="1">
      <alignment vertical="center"/>
    </xf>
    <xf numFmtId="0" fontId="12" fillId="0" borderId="6" xfId="0" applyFont="1" applyBorder="1">
      <alignment vertical="center"/>
    </xf>
    <xf numFmtId="0" fontId="12" fillId="0" borderId="3" xfId="0" applyFont="1" applyBorder="1">
      <alignment vertical="center"/>
    </xf>
    <xf numFmtId="176" fontId="12" fillId="0" borderId="2" xfId="0" applyNumberFormat="1" applyFont="1" applyBorder="1">
      <alignment vertical="center"/>
    </xf>
    <xf numFmtId="176" fontId="12" fillId="0" borderId="10" xfId="0" applyNumberFormat="1" applyFont="1" applyBorder="1">
      <alignment vertical="center"/>
    </xf>
    <xf numFmtId="176" fontId="12" fillId="0" borderId="3" xfId="0" applyNumberFormat="1" applyFont="1" applyBorder="1">
      <alignment vertical="center"/>
    </xf>
    <xf numFmtId="177" fontId="12" fillId="0" borderId="11" xfId="0" applyNumberFormat="1" applyFont="1" applyBorder="1">
      <alignment vertical="center"/>
    </xf>
    <xf numFmtId="177" fontId="12" fillId="0" borderId="8" xfId="0" applyNumberFormat="1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2" borderId="2" xfId="0" applyFont="1" applyFill="1" applyBorder="1">
      <alignment vertical="center"/>
    </xf>
    <xf numFmtId="14" fontId="0" fillId="0" borderId="0" xfId="0" applyNumberFormat="1">
      <alignment vertical="center"/>
    </xf>
    <xf numFmtId="0" fontId="12" fillId="0" borderId="12" xfId="0" applyFont="1" applyBorder="1">
      <alignment vertical="center"/>
    </xf>
    <xf numFmtId="0" fontId="0" fillId="0" borderId="13" xfId="0" applyBorder="1">
      <alignment vertical="center"/>
    </xf>
    <xf numFmtId="14" fontId="0" fillId="0" borderId="13" xfId="0" applyNumberFormat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12" fillId="0" borderId="6" xfId="0" pivotButton="1" applyFont="1" applyBorder="1">
      <alignment vertical="center"/>
    </xf>
    <xf numFmtId="0" fontId="4" fillId="0" borderId="14" xfId="7" applyFont="1" applyBorder="1" applyAlignment="1">
      <alignment horizontal="center" vertical="center" wrapText="1"/>
    </xf>
    <xf numFmtId="0" fontId="7" fillId="0" borderId="15" xfId="7" applyFont="1" applyBorder="1" applyAlignment="1">
      <alignment horizontal="center" vertical="center" wrapText="1"/>
    </xf>
    <xf numFmtId="0" fontId="4" fillId="0" borderId="15" xfId="7" applyFont="1" applyBorder="1" applyAlignment="1">
      <alignment horizontal="center" vertical="center" wrapText="1"/>
    </xf>
    <xf numFmtId="0" fontId="3" fillId="0" borderId="0" xfId="7">
      <alignment vertical="center"/>
    </xf>
    <xf numFmtId="0" fontId="3" fillId="0" borderId="0" xfId="7" applyAlignment="1">
      <alignment horizontal="center" vertical="center"/>
    </xf>
    <xf numFmtId="49" fontId="3" fillId="0" borderId="0" xfId="7" applyNumberFormat="1" applyAlignment="1">
      <alignment horizontal="center" vertical="center"/>
    </xf>
    <xf numFmtId="14" fontId="3" fillId="0" borderId="0" xfId="7" applyNumberFormat="1">
      <alignment vertical="center"/>
    </xf>
    <xf numFmtId="14" fontId="3" fillId="0" borderId="0" xfId="7" applyNumberFormat="1" applyAlignment="1">
      <alignment horizontal="center" vertical="center"/>
    </xf>
    <xf numFmtId="0" fontId="0" fillId="0" borderId="2" xfId="0" pivotButton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7" xfId="0" pivotButton="1" applyBorder="1">
      <alignment vertical="center"/>
    </xf>
    <xf numFmtId="14" fontId="12" fillId="0" borderId="0" xfId="0" applyNumberFormat="1" applyFont="1" applyAlignment="1">
      <alignment horizontal="center"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49" fontId="0" fillId="0" borderId="0" xfId="0" applyNumberFormat="1" applyAlignment="1">
      <alignment horizontal="right" vertical="center"/>
    </xf>
    <xf numFmtId="14" fontId="0" fillId="0" borderId="17" xfId="0" applyNumberFormat="1" applyBorder="1" applyAlignment="1">
      <alignment horizontal="left" vertical="center"/>
    </xf>
    <xf numFmtId="0" fontId="0" fillId="0" borderId="18" xfId="0" applyBorder="1">
      <alignment vertical="center"/>
    </xf>
    <xf numFmtId="0" fontId="12" fillId="4" borderId="0" xfId="0" applyFont="1" applyFill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8">
    <cellStyle name="一般" xfId="0" builtinId="0"/>
    <cellStyle name="一般 2" xfId="2" xr:uid="{00000000-0005-0000-0000-000001000000}"/>
    <cellStyle name="一般 3" xfId="1" xr:uid="{00000000-0005-0000-0000-000002000000}"/>
    <cellStyle name="一般 4" xfId="4" xr:uid="{689E76C7-5FE6-4CFC-B4FB-9F901F2E0BE3}"/>
    <cellStyle name="一般 5" xfId="7" xr:uid="{898C62F5-4D40-4C04-97DB-74633CAA17D4}"/>
    <cellStyle name="一般 7" xfId="6" xr:uid="{EE736EDE-91E0-45B5-952D-11DDD24BC654}"/>
    <cellStyle name="百分比 2" xfId="3" xr:uid="{00000000-0005-0000-0000-000003000000}"/>
    <cellStyle name="超連結" xfId="5" builtinId="8"/>
  </cellStyles>
  <dxfs count="68">
    <dxf>
      <font>
        <b/>
        <i val="0"/>
        <color auto="1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bgColor rgb="FFFFFF00"/>
        </patternFill>
      </fill>
    </dxf>
    <dxf>
      <alignment horizontal="center"/>
    </dxf>
    <dxf>
      <font>
        <b/>
      </font>
    </dxf>
    <dxf>
      <numFmt numFmtId="177" formatCode="General&quot; DB&quot;"/>
    </dxf>
    <dxf>
      <numFmt numFmtId="176" formatCode="General&quot; 口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font>
        <b/>
      </font>
    </dxf>
    <dxf>
      <numFmt numFmtId="177" formatCode="General&quot; DB&quot;"/>
    </dxf>
    <dxf>
      <numFmt numFmtId="176" formatCode="General&quot; 口&quot;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 vertical="center" textRotation="0" wrapText="0" indent="0" justifyLastLine="0" shrinkToFit="0" readingOrder="0"/>
    </dxf>
    <dxf>
      <numFmt numFmtId="19" formatCode="yyyy/m/d"/>
    </dxf>
    <dxf>
      <numFmt numFmtId="19" formatCode="yyyy/m/d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" refreshedDate="45895.567593518521" missingItemsLimit="0" createdVersion="8" refreshedVersion="8" minRefreshableVersion="3" recordCount="471" xr:uid="{3E356885-5DCB-4E73-96D0-D165EF8952CA}">
  <cacheSource type="worksheet">
    <worksheetSource ref="A1:M470" sheet="焊口編號明細"/>
  </cacheSource>
  <cacheFields count="13">
    <cacheField name="流水號" numFmtId="0">
      <sharedItems containsBlank="1" containsMixedTypes="1" containsNumber="1" containsInteger="1" minValue="1" maxValue="39" count="40">
        <n v="1"/>
        <s v="1-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m/>
      </sharedItems>
    </cacheField>
    <cacheField name="DWG NO" numFmtId="0">
      <sharedItems containsBlank="1" count="40">
        <s v="(UG)FO-90401-S1P1FU-01"/>
        <s v="(UG)FO-90401-S1P1FU-02"/>
        <s v="(UG)FO-90401.-S1P1FU-01"/>
        <s v="(UG)FO-90401.-S1P1FU-02"/>
        <s v="(UG)FW-90201-C1AU-01"/>
        <s v="(UG)FW-90201.-C1AU-01"/>
        <s v="(UG)FW-90201.-C1AU-02"/>
        <s v="(UG)FW-90201.-C1AU-03"/>
        <s v="(UG)FW-90201..-C1AU-01"/>
        <s v="(UG)FW-90201..-C1AU-02"/>
        <s v="(UG)FW-90201...-C1AU-01"/>
        <s v="(UG)FW-90201...-C1AU-02"/>
        <s v="(UG)FW-90202-C1AU-01"/>
        <s v="(UG)IW-11001-C1AU-01"/>
        <s v="(UG)SW-11201-S1P4U-01"/>
        <s v="(UG)TRIM-W1808-N6-S1P4U-01"/>
        <s v="(UG)WW-12101-S1P4U-01"/>
        <s v="(UG)WW-12101-S1P4U-02"/>
        <s v="(UG)WW-18011-S1P4U-01"/>
        <s v="(UG)WW-18015-S1P4U-01"/>
        <s v="(UG)WW-18016-S1P4U-01"/>
        <s v="(UG)WW-18017-S1P4U-01"/>
        <s v="(UG)WW-18021-S1P4U-01"/>
        <s v="(UG)WW-18022-S1P4U-01"/>
        <s v="(UG)WW-18023-S1P4U-01"/>
        <s v="(UG)WW-18026-S1P4U-01"/>
        <s v="(UG)WW-18031-S1P4U-01"/>
        <s v="(UG)WW-18032-S1P4U-01"/>
        <s v="(UG)WW-18033-S1P4U-01"/>
        <s v="(UG)WW-18039-S1P4U-01"/>
        <s v="(UG)WW-18041-S1P4U-01"/>
        <s v="(UG)WW-18041-S1P4U-02"/>
        <s v="(UG)WW-18042-S1P4U-01"/>
        <s v="(UG)WW-18044-S1P4U-01"/>
        <s v="(UG)WW-18048-S1P4U-01"/>
        <s v="(UG)WW-18052-S1P4U-01"/>
        <s v="(UG)WW-18091-S1P4U-01"/>
        <s v="(UG)WW-18092-S1P4U-01"/>
        <s v="(UG)WW-16001-S1P4U-01"/>
        <m/>
      </sharedItems>
    </cacheField>
    <cacheField name="SHEET _x000a_ NO" numFmtId="0">
      <sharedItems containsBlank="1"/>
    </cacheField>
    <cacheField name="銲口編號" numFmtId="0">
      <sharedItems containsBlank="1" containsMixedTypes="1" containsNumber="1" containsInteger="1" minValue="1" maxValue="1001" count="65">
        <n v="1"/>
        <n v="2"/>
        <n v="3"/>
        <n v="4"/>
        <n v="5"/>
        <n v="6"/>
        <n v="7"/>
        <n v="8"/>
        <n v="9"/>
        <n v="10"/>
        <n v="11"/>
        <n v="12"/>
        <n v="13"/>
        <n v="31"/>
        <n v="32"/>
        <n v="33"/>
        <n v="21"/>
        <n v="34"/>
        <n v="35"/>
        <n v="36"/>
        <n v="37"/>
        <n v="38"/>
        <n v="39"/>
        <s v="39V"/>
        <n v="40"/>
        <n v="41"/>
        <n v="42"/>
        <n v="43"/>
        <n v="19"/>
        <n v="20"/>
        <s v="20V"/>
        <n v="14"/>
        <n v="15"/>
        <n v="16"/>
        <n v="17"/>
        <n v="18"/>
        <n v="22"/>
        <n v="23"/>
        <n v="24"/>
        <n v="25"/>
        <s v="25V"/>
        <n v="26"/>
        <n v="27"/>
        <n v="28"/>
        <n v="29"/>
        <s v="11V"/>
        <s v="9V"/>
        <n v="30"/>
        <s v="30V"/>
        <s v="41V"/>
        <s v="19V"/>
        <s v="24V"/>
        <s v="29V"/>
        <s v="13V"/>
        <s v="14V"/>
        <s v="1V"/>
        <s v="3V"/>
        <s v="4V"/>
        <s v="2V"/>
        <s v="8V"/>
        <s v="17V"/>
        <n v="1001"/>
        <s v="38V"/>
        <s v="10V"/>
        <m/>
      </sharedItems>
    </cacheField>
    <cacheField name="尺寸" numFmtId="0">
      <sharedItems containsString="0" containsBlank="1" containsNumber="1" minValue="0.5" maxValue="8" count="10">
        <n v="6"/>
        <n v="4"/>
        <n v="1.5"/>
        <n v="8"/>
        <n v="2.5"/>
        <n v="0.5"/>
        <n v="3"/>
        <n v="2"/>
        <n v="1"/>
        <m/>
      </sharedItems>
    </cacheField>
    <cacheField name="DB數" numFmtId="0">
      <sharedItems containsString="0" containsBlank="1" containsNumber="1" minValue="1" maxValue="8"/>
    </cacheField>
    <cacheField name="厚度" numFmtId="0">
      <sharedItems containsBlank="1" count="4">
        <s v="S-10"/>
        <s v="S-40"/>
        <s v="S-80"/>
        <m/>
      </sharedItems>
    </cacheField>
    <cacheField name="材質" numFmtId="0">
      <sharedItems containsBlank="1" containsMixedTypes="1" containsNumber="1" containsInteger="1" minValue="304" maxValue="304" count="3">
        <n v="304"/>
        <s v="GALV"/>
        <m/>
      </sharedItems>
    </cacheField>
    <cacheField name="銲接型式" numFmtId="0">
      <sharedItems containsBlank="1"/>
    </cacheField>
    <cacheField name="預製S/_x000a_現場F" numFmtId="0">
      <sharedItems containsBlank="1"/>
    </cacheField>
    <cacheField name="組銲完成日期" numFmtId="0">
      <sharedItems containsBlank="1"/>
    </cacheField>
    <cacheField name="RT.PT檢驗焊口" numFmtId="0">
      <sharedItems containsBlank="1" count="3">
        <s v="VV"/>
        <s v="V"/>
        <m/>
      </sharedItems>
    </cacheField>
    <cacheField name="RT.PT檢驗日期" numFmtId="0">
      <sharedItems containsDate="1" containsBlank="1" containsMixedTypes="1" minDate="2025-08-08T00:00:00" maxDate="2025-08-29T00:00:00" count="4">
        <d v="2025-08-28T00:00:00"/>
        <m/>
        <d v="2025-08-08T00:00:00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co" refreshedDate="46013.921166435182" missingItemsLimit="0" createdVersion="8" refreshedVersion="8" minRefreshableVersion="3" recordCount="5784" xr:uid="{BFBF0832-ECEF-4DEA-A78B-79DA58EEE7DD}">
  <cacheSource type="worksheet">
    <worksheetSource name="Weld_list"/>
  </cacheSource>
  <cacheFields count="19">
    <cacheField name="流水號" numFmtId="0">
      <sharedItems containsBlank="1" containsMixedTypes="1" containsNumber="1" containsInteger="1" minValue="1" maxValue="39"/>
    </cacheField>
    <cacheField name="DWG NO" numFmtId="0">
      <sharedItems containsBlank="1"/>
    </cacheField>
    <cacheField name="SHEET _x000a_ NO" numFmtId="0">
      <sharedItems containsBlank="1"/>
    </cacheField>
    <cacheField name="銲口編號" numFmtId="0">
      <sharedItems containsBlank="1" containsMixedTypes="1" containsNumber="1" containsInteger="1" minValue="1" maxValue="1001"/>
    </cacheField>
    <cacheField name="尺寸" numFmtId="0">
      <sharedItems containsString="0" containsBlank="1" containsNumber="1" minValue="0.5" maxValue="8" count="10">
        <n v="6"/>
        <n v="4"/>
        <n v="1.5"/>
        <n v="8"/>
        <n v="2.5"/>
        <n v="0.5"/>
        <n v="3"/>
        <n v="2"/>
        <n v="1"/>
        <m/>
      </sharedItems>
    </cacheField>
    <cacheField name="DB數" numFmtId="0">
      <sharedItems containsString="0" containsBlank="1" containsNumber="1" minValue="1" maxValue="8"/>
    </cacheField>
    <cacheField name="厚度" numFmtId="0">
      <sharedItems containsBlank="1" count="4">
        <s v="S-10"/>
        <s v="S-40"/>
        <s v="S-80"/>
        <m/>
      </sharedItems>
    </cacheField>
    <cacheField name="材質" numFmtId="0">
      <sharedItems containsBlank="1" containsMixedTypes="1" containsNumber="1" containsInteger="1" minValue="304" maxValue="304" count="3">
        <n v="304"/>
        <s v="GALV"/>
        <m/>
      </sharedItems>
    </cacheField>
    <cacheField name="銲接型式" numFmtId="0">
      <sharedItems containsBlank="1" count="6">
        <s v="BW"/>
        <s v="IW"/>
        <s v="FF"/>
        <s v="SW"/>
        <s v="T"/>
        <m/>
      </sharedItems>
    </cacheField>
    <cacheField name="預製S/_x000a_現場F" numFmtId="0">
      <sharedItems containsBlank="1"/>
    </cacheField>
    <cacheField name="組銲完成日期" numFmtId="0">
      <sharedItems containsDate="1" containsBlank="1" containsMixedTypes="1" minDate="2025-11-13T00:00:00" maxDate="2025-11-14T00:00:00" count="9">
        <s v="2025/08/25"/>
        <d v="2025-11-13T00:00:00"/>
        <s v="2025/11/29"/>
        <s v=""/>
        <s v="2025/12/20"/>
        <s v="2025/08/06"/>
        <s v="2025/12/13"/>
        <s v="2025/11/22"/>
        <m/>
      </sharedItems>
    </cacheField>
    <cacheField name="RT.PT檢驗焊口" numFmtId="0">
      <sharedItems containsBlank="1"/>
    </cacheField>
    <cacheField name="RT.PT檢驗日期" numFmtId="0">
      <sharedItems containsDate="1" containsBlank="1" containsMixedTypes="1" minDate="2025-08-08T00:00:00" maxDate="2025-11-17T00:00:00" count="9">
        <d v="2025-08-28T00:00:00"/>
        <d v="2025-11-16T00:00:00"/>
        <s v="2025/11/30"/>
        <s v=""/>
        <s v="2025/12/21"/>
        <m/>
        <d v="2025-08-08T00:00:00"/>
        <s v="2025/12/14"/>
        <s v="2025/11/23"/>
      </sharedItems>
    </cacheField>
    <cacheField name="品項" numFmtId="0">
      <sharedItems containsNonDate="0" containsString="0" containsBlank="1" count="1">
        <m/>
      </sharedItems>
    </cacheField>
    <cacheField name="備註" numFmtId="0">
      <sharedItems containsNonDate="0" containsString="0" containsBlank="1"/>
    </cacheField>
    <cacheField name="Line_num" numFmtId="0">
      <sharedItems containsBlank="1"/>
    </cacheField>
    <cacheField name="hyper" numFmtId="0">
      <sharedItems containsBlank="1"/>
    </cacheField>
    <cacheField name="NOTE" numFmtId="0">
      <sharedItems containsBlank="1"/>
    </cacheField>
    <cacheField name="計數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1">
  <r>
    <x v="0"/>
    <x v="0"/>
    <s v="1/2"/>
    <x v="0"/>
    <x v="0"/>
    <n v="6"/>
    <x v="0"/>
    <x v="0"/>
    <s v="BW"/>
    <s v="S"/>
    <s v="2025/08/25"/>
    <x v="0"/>
    <x v="0"/>
  </r>
  <r>
    <x v="0"/>
    <x v="0"/>
    <s v="1/2"/>
    <x v="1"/>
    <x v="0"/>
    <n v="6"/>
    <x v="0"/>
    <x v="0"/>
    <s v="BW"/>
    <s v="S"/>
    <s v="2025/08/25"/>
    <x v="0"/>
    <x v="0"/>
  </r>
  <r>
    <x v="0"/>
    <x v="0"/>
    <s v="1/2"/>
    <x v="2"/>
    <x v="0"/>
    <n v="6"/>
    <x v="0"/>
    <x v="0"/>
    <s v="BW"/>
    <s v="S"/>
    <s v="2025/08/25"/>
    <x v="0"/>
    <x v="0"/>
  </r>
  <r>
    <x v="0"/>
    <x v="0"/>
    <s v="1/2"/>
    <x v="3"/>
    <x v="0"/>
    <n v="6"/>
    <x v="0"/>
    <x v="0"/>
    <s v="BW"/>
    <s v="S"/>
    <s v="2025/08/25"/>
    <x v="0"/>
    <x v="0"/>
  </r>
  <r>
    <x v="0"/>
    <x v="0"/>
    <s v="1/2"/>
    <x v="4"/>
    <x v="0"/>
    <n v="6"/>
    <x v="0"/>
    <x v="0"/>
    <s v="BW"/>
    <s v="S"/>
    <s v=""/>
    <x v="0"/>
    <x v="1"/>
  </r>
  <r>
    <x v="0"/>
    <x v="0"/>
    <s v="1/2"/>
    <x v="5"/>
    <x v="0"/>
    <n v="6"/>
    <x v="0"/>
    <x v="0"/>
    <s v="BW"/>
    <s v="S"/>
    <s v="2025/08/25"/>
    <x v="0"/>
    <x v="0"/>
  </r>
  <r>
    <x v="0"/>
    <x v="0"/>
    <s v="1/2"/>
    <x v="6"/>
    <x v="0"/>
    <n v="6"/>
    <x v="0"/>
    <x v="0"/>
    <s v="BW"/>
    <s v="S"/>
    <s v="2025/08/25"/>
    <x v="0"/>
    <x v="0"/>
  </r>
  <r>
    <x v="0"/>
    <x v="0"/>
    <s v="1/2"/>
    <x v="7"/>
    <x v="0"/>
    <n v="6"/>
    <x v="0"/>
    <x v="0"/>
    <s v="BW"/>
    <s v="S"/>
    <s v="2025/08/25"/>
    <x v="0"/>
    <x v="0"/>
  </r>
  <r>
    <x v="0"/>
    <x v="0"/>
    <s v="1/2"/>
    <x v="8"/>
    <x v="0"/>
    <n v="6"/>
    <x v="0"/>
    <x v="0"/>
    <s v="BW"/>
    <s v="S"/>
    <s v=""/>
    <x v="0"/>
    <x v="1"/>
  </r>
  <r>
    <x v="0"/>
    <x v="0"/>
    <s v="1/2"/>
    <x v="9"/>
    <x v="0"/>
    <n v="6"/>
    <x v="0"/>
    <x v="0"/>
    <s v="BW"/>
    <s v="S"/>
    <s v="2025/08/25"/>
    <x v="0"/>
    <x v="0"/>
  </r>
  <r>
    <x v="0"/>
    <x v="0"/>
    <s v="1/2"/>
    <x v="10"/>
    <x v="0"/>
    <n v="6"/>
    <x v="0"/>
    <x v="0"/>
    <s v="BW"/>
    <s v="S"/>
    <s v="2025/08/25"/>
    <x v="0"/>
    <x v="0"/>
  </r>
  <r>
    <x v="0"/>
    <x v="0"/>
    <s v="1/2"/>
    <x v="11"/>
    <x v="0"/>
    <n v="6"/>
    <x v="0"/>
    <x v="0"/>
    <s v="BW"/>
    <s v="S"/>
    <s v=""/>
    <x v="0"/>
    <x v="1"/>
  </r>
  <r>
    <x v="0"/>
    <x v="0"/>
    <s v="1/2"/>
    <x v="12"/>
    <x v="0"/>
    <n v="6"/>
    <x v="0"/>
    <x v="0"/>
    <s v="BW"/>
    <s v="S"/>
    <s v="2025/08/25"/>
    <x v="0"/>
    <x v="0"/>
  </r>
  <r>
    <x v="0"/>
    <x v="0"/>
    <s v="1/2"/>
    <x v="13"/>
    <x v="0"/>
    <n v="6"/>
    <x v="0"/>
    <x v="0"/>
    <s v="BW"/>
    <s v="S"/>
    <s v="2025/08/25"/>
    <x v="0"/>
    <x v="0"/>
  </r>
  <r>
    <x v="0"/>
    <x v="0"/>
    <s v="1/2"/>
    <x v="14"/>
    <x v="0"/>
    <n v="6"/>
    <x v="0"/>
    <x v="0"/>
    <s v="BW"/>
    <s v="S"/>
    <s v=""/>
    <x v="0"/>
    <x v="1"/>
  </r>
  <r>
    <x v="0"/>
    <x v="0"/>
    <s v="1/2"/>
    <x v="15"/>
    <x v="0"/>
    <n v="6"/>
    <x v="0"/>
    <x v="0"/>
    <s v="BW"/>
    <s v="S"/>
    <s v="2025/08/25"/>
    <x v="0"/>
    <x v="0"/>
  </r>
  <r>
    <x v="1"/>
    <x v="1"/>
    <s v="2/2"/>
    <x v="16"/>
    <x v="0"/>
    <n v="6"/>
    <x v="0"/>
    <x v="0"/>
    <s v="BW"/>
    <s v="S"/>
    <s v="2025/08/25"/>
    <x v="0"/>
    <x v="0"/>
  </r>
  <r>
    <x v="1"/>
    <x v="1"/>
    <s v="2/2"/>
    <x v="17"/>
    <x v="0"/>
    <n v="6"/>
    <x v="0"/>
    <x v="0"/>
    <s v="BW"/>
    <s v="S"/>
    <s v="2025/08/25"/>
    <x v="0"/>
    <x v="0"/>
  </r>
  <r>
    <x v="1"/>
    <x v="1"/>
    <s v="2/2"/>
    <x v="18"/>
    <x v="0"/>
    <n v="6"/>
    <x v="0"/>
    <x v="0"/>
    <s v="BW"/>
    <s v="S"/>
    <s v="2025/08/25"/>
    <x v="0"/>
    <x v="0"/>
  </r>
  <r>
    <x v="1"/>
    <x v="1"/>
    <s v="2/2"/>
    <x v="19"/>
    <x v="0"/>
    <n v="6"/>
    <x v="0"/>
    <x v="0"/>
    <s v="BW"/>
    <s v="S"/>
    <s v=""/>
    <x v="0"/>
    <x v="1"/>
  </r>
  <r>
    <x v="1"/>
    <x v="1"/>
    <s v="2/2"/>
    <x v="20"/>
    <x v="1"/>
    <n v="4"/>
    <x v="0"/>
    <x v="0"/>
    <s v="BW"/>
    <s v="S"/>
    <s v=""/>
    <x v="0"/>
    <x v="1"/>
  </r>
  <r>
    <x v="1"/>
    <x v="1"/>
    <s v="2/2"/>
    <x v="21"/>
    <x v="2"/>
    <n v="1.5"/>
    <x v="1"/>
    <x v="0"/>
    <s v="IW"/>
    <s v="S"/>
    <s v="2025/08/25"/>
    <x v="1"/>
    <x v="0"/>
  </r>
  <r>
    <x v="1"/>
    <x v="1"/>
    <s v="2/2"/>
    <x v="22"/>
    <x v="1"/>
    <n v="4"/>
    <x v="0"/>
    <x v="0"/>
    <s v="BW"/>
    <s v="S"/>
    <s v="2025/08/25"/>
    <x v="0"/>
    <x v="0"/>
  </r>
  <r>
    <x v="1"/>
    <x v="1"/>
    <s v="2/2"/>
    <x v="23"/>
    <x v="1"/>
    <n v="4"/>
    <x v="0"/>
    <x v="0"/>
    <s v="FF"/>
    <s v="F"/>
    <s v=""/>
    <x v="2"/>
    <x v="1"/>
  </r>
  <r>
    <x v="1"/>
    <x v="1"/>
    <s v="2/2"/>
    <x v="24"/>
    <x v="2"/>
    <n v="1.5"/>
    <x v="1"/>
    <x v="0"/>
    <s v="SW"/>
    <s v="S"/>
    <s v="2025/08/25"/>
    <x v="1"/>
    <x v="0"/>
  </r>
  <r>
    <x v="1"/>
    <x v="1"/>
    <s v="2/2"/>
    <x v="25"/>
    <x v="2"/>
    <n v="1.5"/>
    <x v="1"/>
    <x v="0"/>
    <s v="SW"/>
    <s v="S"/>
    <s v="2025/08/25"/>
    <x v="1"/>
    <x v="0"/>
  </r>
  <r>
    <x v="1"/>
    <x v="1"/>
    <s v="2/2"/>
    <x v="26"/>
    <x v="2"/>
    <n v="1.5"/>
    <x v="1"/>
    <x v="0"/>
    <s v="SW"/>
    <s v="S"/>
    <s v="2025/08/25"/>
    <x v="1"/>
    <x v="0"/>
  </r>
  <r>
    <x v="1"/>
    <x v="1"/>
    <s v="2/2"/>
    <x v="27"/>
    <x v="2"/>
    <n v="1.5"/>
    <x v="1"/>
    <x v="0"/>
    <s v="T"/>
    <s v="F"/>
    <s v=""/>
    <x v="2"/>
    <x v="1"/>
  </r>
  <r>
    <x v="2"/>
    <x v="2"/>
    <s v="1/2"/>
    <x v="0"/>
    <x v="0"/>
    <n v="6"/>
    <x v="0"/>
    <x v="0"/>
    <s v="BW"/>
    <s v="S"/>
    <s v="2025/08/25"/>
    <x v="0"/>
    <x v="0"/>
  </r>
  <r>
    <x v="2"/>
    <x v="2"/>
    <s v="1/2"/>
    <x v="1"/>
    <x v="0"/>
    <n v="6"/>
    <x v="0"/>
    <x v="0"/>
    <s v="BW"/>
    <s v="S"/>
    <s v="2025/08/25"/>
    <x v="0"/>
    <x v="0"/>
  </r>
  <r>
    <x v="2"/>
    <x v="2"/>
    <s v="1/2"/>
    <x v="2"/>
    <x v="0"/>
    <n v="6"/>
    <x v="0"/>
    <x v="0"/>
    <s v="BW"/>
    <s v="S"/>
    <s v="2025/08/25"/>
    <x v="0"/>
    <x v="0"/>
  </r>
  <r>
    <x v="2"/>
    <x v="2"/>
    <s v="1/2"/>
    <x v="3"/>
    <x v="0"/>
    <n v="6"/>
    <x v="0"/>
    <x v="0"/>
    <s v="BW"/>
    <s v="S"/>
    <s v="2025/08/25"/>
    <x v="0"/>
    <x v="0"/>
  </r>
  <r>
    <x v="2"/>
    <x v="2"/>
    <s v="1/2"/>
    <x v="4"/>
    <x v="0"/>
    <n v="6"/>
    <x v="0"/>
    <x v="0"/>
    <s v="BW"/>
    <s v="S"/>
    <s v="2025/08/25"/>
    <x v="0"/>
    <x v="0"/>
  </r>
  <r>
    <x v="2"/>
    <x v="2"/>
    <s v="1/2"/>
    <x v="5"/>
    <x v="0"/>
    <n v="6"/>
    <x v="0"/>
    <x v="0"/>
    <s v="BW"/>
    <s v="S"/>
    <s v="2025/08/25"/>
    <x v="0"/>
    <x v="0"/>
  </r>
  <r>
    <x v="2"/>
    <x v="2"/>
    <s v="1/2"/>
    <x v="6"/>
    <x v="0"/>
    <n v="6"/>
    <x v="0"/>
    <x v="0"/>
    <s v="BW"/>
    <s v="S"/>
    <s v=""/>
    <x v="0"/>
    <x v="1"/>
  </r>
  <r>
    <x v="2"/>
    <x v="2"/>
    <s v="1/2"/>
    <x v="7"/>
    <x v="0"/>
    <n v="6"/>
    <x v="0"/>
    <x v="0"/>
    <s v="BW"/>
    <s v="S"/>
    <s v=""/>
    <x v="0"/>
    <x v="1"/>
  </r>
  <r>
    <x v="2"/>
    <x v="2"/>
    <s v="1/2"/>
    <x v="28"/>
    <x v="0"/>
    <n v="6"/>
    <x v="0"/>
    <x v="0"/>
    <s v="BW"/>
    <s v="S"/>
    <s v="2025/08/25"/>
    <x v="0"/>
    <x v="0"/>
  </r>
  <r>
    <x v="2"/>
    <x v="2"/>
    <s v="1/2"/>
    <x v="29"/>
    <x v="0"/>
    <n v="6"/>
    <x v="0"/>
    <x v="0"/>
    <s v="BW"/>
    <s v="S"/>
    <s v="2025/08/25"/>
    <x v="0"/>
    <x v="0"/>
  </r>
  <r>
    <x v="2"/>
    <x v="2"/>
    <s v="1/2"/>
    <x v="30"/>
    <x v="0"/>
    <n v="6"/>
    <x v="0"/>
    <x v="0"/>
    <s v="FF"/>
    <s v="F"/>
    <s v=""/>
    <x v="2"/>
    <x v="1"/>
  </r>
  <r>
    <x v="2"/>
    <x v="2"/>
    <s v="1/2"/>
    <x v="16"/>
    <x v="0"/>
    <n v="6"/>
    <x v="0"/>
    <x v="0"/>
    <s v="BW"/>
    <s v="S"/>
    <s v="2025/08/25"/>
    <x v="0"/>
    <x v="0"/>
  </r>
  <r>
    <x v="3"/>
    <x v="3"/>
    <s v="2/2"/>
    <x v="7"/>
    <x v="0"/>
    <n v="6"/>
    <x v="0"/>
    <x v="0"/>
    <s v="BW"/>
    <s v="S"/>
    <s v=""/>
    <x v="0"/>
    <x v="1"/>
  </r>
  <r>
    <x v="3"/>
    <x v="3"/>
    <s v="2/2"/>
    <x v="8"/>
    <x v="0"/>
    <n v="6"/>
    <x v="0"/>
    <x v="0"/>
    <s v="BW"/>
    <s v="S"/>
    <s v="2025/08/25"/>
    <x v="0"/>
    <x v="0"/>
  </r>
  <r>
    <x v="3"/>
    <x v="3"/>
    <s v="2/2"/>
    <x v="9"/>
    <x v="0"/>
    <n v="6"/>
    <x v="0"/>
    <x v="0"/>
    <s v="BW"/>
    <s v="S"/>
    <s v=""/>
    <x v="0"/>
    <x v="1"/>
  </r>
  <r>
    <x v="3"/>
    <x v="3"/>
    <s v="2/2"/>
    <x v="10"/>
    <x v="0"/>
    <n v="6"/>
    <x v="0"/>
    <x v="0"/>
    <s v="BW"/>
    <s v="S"/>
    <s v="2025/08/25"/>
    <x v="0"/>
    <x v="0"/>
  </r>
  <r>
    <x v="3"/>
    <x v="3"/>
    <s v="2/2"/>
    <x v="11"/>
    <x v="0"/>
    <n v="6"/>
    <x v="0"/>
    <x v="0"/>
    <s v="BW"/>
    <s v="S"/>
    <s v=""/>
    <x v="0"/>
    <x v="1"/>
  </r>
  <r>
    <x v="3"/>
    <x v="3"/>
    <s v="2/2"/>
    <x v="12"/>
    <x v="0"/>
    <n v="6"/>
    <x v="0"/>
    <x v="0"/>
    <s v="BW"/>
    <s v="S"/>
    <s v="2025/08/25"/>
    <x v="0"/>
    <x v="0"/>
  </r>
  <r>
    <x v="3"/>
    <x v="3"/>
    <s v="2/2"/>
    <x v="31"/>
    <x v="0"/>
    <n v="6"/>
    <x v="0"/>
    <x v="0"/>
    <s v="BW"/>
    <s v="S"/>
    <s v="2025/08/25"/>
    <x v="0"/>
    <x v="0"/>
  </r>
  <r>
    <x v="3"/>
    <x v="3"/>
    <s v="2/2"/>
    <x v="32"/>
    <x v="0"/>
    <n v="6"/>
    <x v="0"/>
    <x v="0"/>
    <s v="BW"/>
    <s v="S"/>
    <s v=""/>
    <x v="0"/>
    <x v="1"/>
  </r>
  <r>
    <x v="3"/>
    <x v="3"/>
    <s v="2/2"/>
    <x v="33"/>
    <x v="0"/>
    <n v="6"/>
    <x v="0"/>
    <x v="0"/>
    <s v="BW"/>
    <s v="S"/>
    <s v="2025/08/25"/>
    <x v="0"/>
    <x v="0"/>
  </r>
  <r>
    <x v="3"/>
    <x v="3"/>
    <s v="2/2"/>
    <x v="34"/>
    <x v="0"/>
    <n v="6"/>
    <x v="0"/>
    <x v="0"/>
    <s v="BW"/>
    <s v="S"/>
    <s v="2025/08/25"/>
    <x v="0"/>
    <x v="0"/>
  </r>
  <r>
    <x v="3"/>
    <x v="3"/>
    <s v="2/2"/>
    <x v="35"/>
    <x v="0"/>
    <n v="6"/>
    <x v="0"/>
    <x v="0"/>
    <s v="BW"/>
    <s v="S"/>
    <s v="2025/08/25"/>
    <x v="0"/>
    <x v="0"/>
  </r>
  <r>
    <x v="3"/>
    <x v="3"/>
    <s v="2/2"/>
    <x v="36"/>
    <x v="0"/>
    <n v="6"/>
    <x v="0"/>
    <x v="0"/>
    <s v="BW"/>
    <s v="S"/>
    <s v="2025/08/25"/>
    <x v="0"/>
    <x v="0"/>
  </r>
  <r>
    <x v="3"/>
    <x v="3"/>
    <s v="2/2"/>
    <x v="37"/>
    <x v="1"/>
    <n v="4"/>
    <x v="0"/>
    <x v="0"/>
    <s v="BW"/>
    <s v="S"/>
    <s v=""/>
    <x v="0"/>
    <x v="1"/>
  </r>
  <r>
    <x v="3"/>
    <x v="3"/>
    <s v="2/2"/>
    <x v="38"/>
    <x v="2"/>
    <n v="1.5"/>
    <x v="1"/>
    <x v="0"/>
    <s v="IW"/>
    <s v="S"/>
    <s v="2025/08/25"/>
    <x v="1"/>
    <x v="0"/>
  </r>
  <r>
    <x v="3"/>
    <x v="3"/>
    <s v="2/2"/>
    <x v="39"/>
    <x v="1"/>
    <n v="4"/>
    <x v="0"/>
    <x v="0"/>
    <s v="BW"/>
    <s v="S"/>
    <s v="2025/08/25"/>
    <x v="0"/>
    <x v="0"/>
  </r>
  <r>
    <x v="3"/>
    <x v="3"/>
    <s v="2/2"/>
    <x v="40"/>
    <x v="1"/>
    <n v="4"/>
    <x v="0"/>
    <x v="0"/>
    <s v="FF"/>
    <s v="F"/>
    <s v=""/>
    <x v="2"/>
    <x v="1"/>
  </r>
  <r>
    <x v="3"/>
    <x v="3"/>
    <s v="2/2"/>
    <x v="41"/>
    <x v="2"/>
    <n v="1.5"/>
    <x v="1"/>
    <x v="0"/>
    <s v="SW"/>
    <s v="S"/>
    <s v="2025/08/25"/>
    <x v="1"/>
    <x v="0"/>
  </r>
  <r>
    <x v="3"/>
    <x v="3"/>
    <s v="2/2"/>
    <x v="42"/>
    <x v="2"/>
    <n v="1.5"/>
    <x v="1"/>
    <x v="0"/>
    <s v="SW"/>
    <s v="S"/>
    <s v="2025/08/25"/>
    <x v="1"/>
    <x v="0"/>
  </r>
  <r>
    <x v="3"/>
    <x v="3"/>
    <s v="2/2"/>
    <x v="43"/>
    <x v="2"/>
    <n v="1.5"/>
    <x v="1"/>
    <x v="0"/>
    <s v="SW"/>
    <s v="S"/>
    <s v="2025/08/25"/>
    <x v="1"/>
    <x v="0"/>
  </r>
  <r>
    <x v="3"/>
    <x v="3"/>
    <s v="2/2"/>
    <x v="44"/>
    <x v="2"/>
    <n v="1.5"/>
    <x v="1"/>
    <x v="0"/>
    <s v="T"/>
    <s v="F"/>
    <s v="2025/08/25"/>
    <x v="2"/>
    <x v="1"/>
  </r>
  <r>
    <x v="4"/>
    <x v="4"/>
    <s v="1/1"/>
    <x v="0"/>
    <x v="0"/>
    <n v="6"/>
    <x v="1"/>
    <x v="1"/>
    <s v="BW"/>
    <s v="S"/>
    <s v="2025/08/06"/>
    <x v="0"/>
    <x v="2"/>
  </r>
  <r>
    <x v="4"/>
    <x v="4"/>
    <s v="1/1"/>
    <x v="1"/>
    <x v="0"/>
    <n v="6"/>
    <x v="1"/>
    <x v="1"/>
    <s v="BW"/>
    <s v="S"/>
    <s v="2025/08/06"/>
    <x v="0"/>
    <x v="2"/>
  </r>
  <r>
    <x v="4"/>
    <x v="4"/>
    <s v="1/1"/>
    <x v="2"/>
    <x v="0"/>
    <n v="6"/>
    <x v="1"/>
    <x v="1"/>
    <s v="BW"/>
    <s v="S"/>
    <s v="2025/08/06"/>
    <x v="0"/>
    <x v="2"/>
  </r>
  <r>
    <x v="4"/>
    <x v="4"/>
    <s v="1/1"/>
    <x v="3"/>
    <x v="0"/>
    <n v="6"/>
    <x v="1"/>
    <x v="1"/>
    <s v="BW"/>
    <s v="S"/>
    <s v=""/>
    <x v="0"/>
    <x v="1"/>
  </r>
  <r>
    <x v="4"/>
    <x v="4"/>
    <s v="1/1"/>
    <x v="4"/>
    <x v="0"/>
    <n v="6"/>
    <x v="1"/>
    <x v="1"/>
    <s v="BW"/>
    <s v="S"/>
    <s v="2025/08/06"/>
    <x v="0"/>
    <x v="2"/>
  </r>
  <r>
    <x v="4"/>
    <x v="4"/>
    <s v="1/1"/>
    <x v="5"/>
    <x v="0"/>
    <n v="6"/>
    <x v="1"/>
    <x v="1"/>
    <s v="BW"/>
    <s v="S"/>
    <s v="2025/08/06"/>
    <x v="0"/>
    <x v="2"/>
  </r>
  <r>
    <x v="4"/>
    <x v="4"/>
    <s v="1/1"/>
    <x v="6"/>
    <x v="0"/>
    <n v="6"/>
    <x v="1"/>
    <x v="1"/>
    <s v="BW"/>
    <s v="S"/>
    <s v=""/>
    <x v="0"/>
    <x v="1"/>
  </r>
  <r>
    <x v="4"/>
    <x v="4"/>
    <s v="1/1"/>
    <x v="7"/>
    <x v="0"/>
    <n v="6"/>
    <x v="1"/>
    <x v="1"/>
    <s v="BW"/>
    <s v="S"/>
    <s v="2025/08/06"/>
    <x v="0"/>
    <x v="2"/>
  </r>
  <r>
    <x v="4"/>
    <x v="4"/>
    <s v="1/1"/>
    <x v="8"/>
    <x v="0"/>
    <n v="6"/>
    <x v="1"/>
    <x v="1"/>
    <s v="BW"/>
    <s v="S"/>
    <s v="2025/08/06"/>
    <x v="0"/>
    <x v="2"/>
  </r>
  <r>
    <x v="4"/>
    <x v="4"/>
    <s v="1/1"/>
    <x v="9"/>
    <x v="0"/>
    <n v="6"/>
    <x v="1"/>
    <x v="1"/>
    <s v="BW"/>
    <s v="S"/>
    <s v="2025/08/06"/>
    <x v="0"/>
    <x v="2"/>
  </r>
  <r>
    <x v="4"/>
    <x v="4"/>
    <s v="1/1"/>
    <x v="10"/>
    <x v="0"/>
    <n v="6"/>
    <x v="1"/>
    <x v="1"/>
    <s v="BW"/>
    <s v="S"/>
    <s v="2025/08/06"/>
    <x v="0"/>
    <x v="2"/>
  </r>
  <r>
    <x v="4"/>
    <x v="4"/>
    <s v="1/1"/>
    <x v="45"/>
    <x v="0"/>
    <n v="6"/>
    <x v="1"/>
    <x v="1"/>
    <s v="FF"/>
    <s v="F"/>
    <s v=""/>
    <x v="2"/>
    <x v="1"/>
  </r>
  <r>
    <x v="5"/>
    <x v="5"/>
    <s v="1/3"/>
    <x v="0"/>
    <x v="3"/>
    <n v="8"/>
    <x v="1"/>
    <x v="1"/>
    <s v="BW"/>
    <s v="S"/>
    <s v="2025/08/06"/>
    <x v="0"/>
    <x v="2"/>
  </r>
  <r>
    <x v="5"/>
    <x v="5"/>
    <s v="1/3"/>
    <x v="1"/>
    <x v="3"/>
    <n v="8"/>
    <x v="1"/>
    <x v="1"/>
    <s v="BW"/>
    <s v="S"/>
    <s v="2025/08/06"/>
    <x v="0"/>
    <x v="2"/>
  </r>
  <r>
    <x v="5"/>
    <x v="5"/>
    <s v="1/3"/>
    <x v="2"/>
    <x v="3"/>
    <n v="8"/>
    <x v="1"/>
    <x v="1"/>
    <s v="BW"/>
    <s v="S"/>
    <s v="2025/08/06"/>
    <x v="0"/>
    <x v="2"/>
  </r>
  <r>
    <x v="5"/>
    <x v="5"/>
    <s v="1/3"/>
    <x v="3"/>
    <x v="3"/>
    <n v="8"/>
    <x v="1"/>
    <x v="1"/>
    <s v="BW"/>
    <s v="S"/>
    <s v="2025/08/06"/>
    <x v="0"/>
    <x v="2"/>
  </r>
  <r>
    <x v="5"/>
    <x v="5"/>
    <s v="1/3"/>
    <x v="4"/>
    <x v="3"/>
    <n v="8"/>
    <x v="1"/>
    <x v="1"/>
    <s v="BW"/>
    <s v="S"/>
    <s v="2025/08/06"/>
    <x v="0"/>
    <x v="2"/>
  </r>
  <r>
    <x v="5"/>
    <x v="5"/>
    <s v="1/3"/>
    <x v="5"/>
    <x v="3"/>
    <n v="8"/>
    <x v="1"/>
    <x v="1"/>
    <s v="BW"/>
    <s v="S"/>
    <s v=""/>
    <x v="0"/>
    <x v="1"/>
  </r>
  <r>
    <x v="5"/>
    <x v="5"/>
    <s v="1/3"/>
    <x v="6"/>
    <x v="3"/>
    <n v="8"/>
    <x v="1"/>
    <x v="1"/>
    <s v="BW"/>
    <s v="S"/>
    <s v="2025/08/06"/>
    <x v="0"/>
    <x v="2"/>
  </r>
  <r>
    <x v="5"/>
    <x v="5"/>
    <s v="1/3"/>
    <x v="7"/>
    <x v="0"/>
    <n v="6"/>
    <x v="1"/>
    <x v="1"/>
    <s v="BW"/>
    <s v="S"/>
    <s v="2025/08/06"/>
    <x v="0"/>
    <x v="2"/>
  </r>
  <r>
    <x v="5"/>
    <x v="5"/>
    <s v="1/3"/>
    <x v="8"/>
    <x v="0"/>
    <n v="6"/>
    <x v="1"/>
    <x v="1"/>
    <s v="BW"/>
    <s v="S"/>
    <s v="2025/08/06"/>
    <x v="0"/>
    <x v="2"/>
  </r>
  <r>
    <x v="5"/>
    <x v="5"/>
    <s v="1/3"/>
    <x v="46"/>
    <x v="0"/>
    <n v="6"/>
    <x v="1"/>
    <x v="1"/>
    <s v="FF"/>
    <s v="F"/>
    <s v=""/>
    <x v="2"/>
    <x v="1"/>
  </r>
  <r>
    <x v="5"/>
    <x v="5"/>
    <s v="1/3"/>
    <x v="9"/>
    <x v="3"/>
    <n v="8"/>
    <x v="1"/>
    <x v="1"/>
    <s v="BW"/>
    <s v="S"/>
    <s v="2025/08/06"/>
    <x v="0"/>
    <x v="2"/>
  </r>
  <r>
    <x v="5"/>
    <x v="5"/>
    <s v="1/3"/>
    <x v="10"/>
    <x v="0"/>
    <n v="6"/>
    <x v="1"/>
    <x v="1"/>
    <s v="BW"/>
    <s v="S"/>
    <s v="2025/08/06"/>
    <x v="0"/>
    <x v="2"/>
  </r>
  <r>
    <x v="5"/>
    <x v="5"/>
    <s v="1/3"/>
    <x v="11"/>
    <x v="0"/>
    <n v="6"/>
    <x v="1"/>
    <x v="1"/>
    <s v="BW"/>
    <s v="S"/>
    <s v="2025/08/06"/>
    <x v="0"/>
    <x v="2"/>
  </r>
  <r>
    <x v="5"/>
    <x v="5"/>
    <s v="1/3"/>
    <x v="12"/>
    <x v="0"/>
    <n v="6"/>
    <x v="1"/>
    <x v="1"/>
    <s v="BW"/>
    <s v="S"/>
    <s v=""/>
    <x v="0"/>
    <x v="1"/>
  </r>
  <r>
    <x v="5"/>
    <x v="5"/>
    <s v="1/3"/>
    <x v="31"/>
    <x v="0"/>
    <n v="6"/>
    <x v="1"/>
    <x v="1"/>
    <s v="BW"/>
    <s v="S"/>
    <s v="2025/08/06"/>
    <x v="0"/>
    <x v="2"/>
  </r>
  <r>
    <x v="5"/>
    <x v="5"/>
    <s v="1/3"/>
    <x v="32"/>
    <x v="0"/>
    <n v="6"/>
    <x v="1"/>
    <x v="1"/>
    <s v="BW"/>
    <s v="S"/>
    <s v="2025/08/06"/>
    <x v="0"/>
    <x v="2"/>
  </r>
  <r>
    <x v="5"/>
    <x v="5"/>
    <s v="1/3"/>
    <x v="33"/>
    <x v="0"/>
    <n v="6"/>
    <x v="1"/>
    <x v="1"/>
    <s v="BW"/>
    <s v="S"/>
    <s v=""/>
    <x v="0"/>
    <x v="1"/>
  </r>
  <r>
    <x v="5"/>
    <x v="5"/>
    <s v="1/3"/>
    <x v="34"/>
    <x v="0"/>
    <n v="6"/>
    <x v="1"/>
    <x v="1"/>
    <s v="BW"/>
    <s v="S"/>
    <s v="2025/08/06"/>
    <x v="0"/>
    <x v="2"/>
  </r>
  <r>
    <x v="5"/>
    <x v="5"/>
    <s v="1/3"/>
    <x v="35"/>
    <x v="0"/>
    <n v="6"/>
    <x v="1"/>
    <x v="1"/>
    <s v="BW"/>
    <s v="S"/>
    <s v=""/>
    <x v="0"/>
    <x v="1"/>
  </r>
  <r>
    <x v="6"/>
    <x v="6"/>
    <s v="2/3"/>
    <x v="28"/>
    <x v="0"/>
    <n v="6"/>
    <x v="1"/>
    <x v="1"/>
    <s v="BW"/>
    <s v="S"/>
    <s v=""/>
    <x v="0"/>
    <x v="1"/>
  </r>
  <r>
    <x v="6"/>
    <x v="6"/>
    <s v="2/3"/>
    <x v="29"/>
    <x v="4"/>
    <n v="2.5"/>
    <x v="1"/>
    <x v="1"/>
    <s v="BW"/>
    <s v="S"/>
    <s v="2025/08/06"/>
    <x v="0"/>
    <x v="2"/>
  </r>
  <r>
    <x v="6"/>
    <x v="6"/>
    <s v="2/3"/>
    <x v="16"/>
    <x v="4"/>
    <n v="2.5"/>
    <x v="1"/>
    <x v="1"/>
    <s v="BW"/>
    <s v="S"/>
    <s v=""/>
    <x v="0"/>
    <x v="1"/>
  </r>
  <r>
    <x v="6"/>
    <x v="6"/>
    <s v="2/3"/>
    <x v="36"/>
    <x v="4"/>
    <n v="2.5"/>
    <x v="1"/>
    <x v="1"/>
    <s v="BW"/>
    <s v="S"/>
    <s v="2025/08/25"/>
    <x v="0"/>
    <x v="0"/>
  </r>
  <r>
    <x v="6"/>
    <x v="6"/>
    <s v="2/3"/>
    <x v="37"/>
    <x v="4"/>
    <n v="2.5"/>
    <x v="1"/>
    <x v="1"/>
    <s v="BW"/>
    <s v="S"/>
    <s v="2025/08/25"/>
    <x v="0"/>
    <x v="0"/>
  </r>
  <r>
    <x v="6"/>
    <x v="6"/>
    <s v="2/3"/>
    <x v="38"/>
    <x v="4"/>
    <n v="2.5"/>
    <x v="1"/>
    <x v="1"/>
    <s v="BW"/>
    <s v="S"/>
    <s v="2025/08/25"/>
    <x v="0"/>
    <x v="0"/>
  </r>
  <r>
    <x v="6"/>
    <x v="6"/>
    <s v="2/3"/>
    <x v="39"/>
    <x v="4"/>
    <n v="2.5"/>
    <x v="1"/>
    <x v="1"/>
    <s v="BW"/>
    <s v="S"/>
    <s v="2025/08/25"/>
    <x v="0"/>
    <x v="0"/>
  </r>
  <r>
    <x v="6"/>
    <x v="6"/>
    <s v="2/3"/>
    <x v="40"/>
    <x v="4"/>
    <n v="2.5"/>
    <x v="1"/>
    <x v="1"/>
    <s v="FF"/>
    <s v="F"/>
    <s v=""/>
    <x v="2"/>
    <x v="1"/>
  </r>
  <r>
    <x v="6"/>
    <x v="6"/>
    <s v="2/3"/>
    <x v="41"/>
    <x v="5"/>
    <n v="1"/>
    <x v="1"/>
    <x v="1"/>
    <s v="IW"/>
    <s v="S"/>
    <s v="2025/08/25"/>
    <x v="1"/>
    <x v="0"/>
  </r>
  <r>
    <x v="6"/>
    <x v="6"/>
    <s v="2/3"/>
    <x v="42"/>
    <x v="5"/>
    <n v="1"/>
    <x v="2"/>
    <x v="1"/>
    <s v="SW"/>
    <s v="S"/>
    <s v="2025/08/25"/>
    <x v="1"/>
    <x v="0"/>
  </r>
  <r>
    <x v="6"/>
    <x v="6"/>
    <s v="2/3"/>
    <x v="43"/>
    <x v="5"/>
    <n v="1"/>
    <x v="2"/>
    <x v="1"/>
    <s v="SW"/>
    <s v="S"/>
    <s v="2025/08/25"/>
    <x v="1"/>
    <x v="0"/>
  </r>
  <r>
    <x v="6"/>
    <x v="6"/>
    <s v="2/3"/>
    <x v="44"/>
    <x v="4"/>
    <n v="2.5"/>
    <x v="1"/>
    <x v="1"/>
    <s v="BW"/>
    <s v="S"/>
    <s v="2025/08/25"/>
    <x v="0"/>
    <x v="0"/>
  </r>
  <r>
    <x v="6"/>
    <x v="6"/>
    <s v="2/3"/>
    <x v="47"/>
    <x v="4"/>
    <n v="2.5"/>
    <x v="1"/>
    <x v="1"/>
    <s v="BW"/>
    <s v="S"/>
    <s v="2025/08/25"/>
    <x v="0"/>
    <x v="0"/>
  </r>
  <r>
    <x v="6"/>
    <x v="6"/>
    <s v="2/3"/>
    <x v="48"/>
    <x v="4"/>
    <n v="2.5"/>
    <x v="1"/>
    <x v="1"/>
    <s v="FF"/>
    <s v="F"/>
    <s v=""/>
    <x v="2"/>
    <x v="1"/>
  </r>
  <r>
    <x v="6"/>
    <x v="6"/>
    <s v="2/3"/>
    <x v="13"/>
    <x v="0"/>
    <n v="6"/>
    <x v="1"/>
    <x v="1"/>
    <s v="BW"/>
    <s v="S"/>
    <s v="2025/08/06"/>
    <x v="0"/>
    <x v="2"/>
  </r>
  <r>
    <x v="7"/>
    <x v="7"/>
    <s v="3/3"/>
    <x v="14"/>
    <x v="0"/>
    <n v="6"/>
    <x v="1"/>
    <x v="1"/>
    <s v="BW"/>
    <s v="S"/>
    <s v="2025/08/06"/>
    <x v="0"/>
    <x v="2"/>
  </r>
  <r>
    <x v="7"/>
    <x v="7"/>
    <s v="3/3"/>
    <x v="15"/>
    <x v="0"/>
    <n v="6"/>
    <x v="1"/>
    <x v="1"/>
    <s v="BW"/>
    <s v="S"/>
    <s v=""/>
    <x v="0"/>
    <x v="1"/>
  </r>
  <r>
    <x v="7"/>
    <x v="7"/>
    <s v="3/3"/>
    <x v="17"/>
    <x v="0"/>
    <n v="6"/>
    <x v="1"/>
    <x v="1"/>
    <s v="BW"/>
    <s v="S"/>
    <s v="2025/08/06"/>
    <x v="0"/>
    <x v="2"/>
  </r>
  <r>
    <x v="7"/>
    <x v="7"/>
    <s v="3/3"/>
    <x v="18"/>
    <x v="0"/>
    <n v="6"/>
    <x v="1"/>
    <x v="1"/>
    <s v="BW"/>
    <s v="S"/>
    <s v=""/>
    <x v="0"/>
    <x v="1"/>
  </r>
  <r>
    <x v="7"/>
    <x v="7"/>
    <s v="3/3"/>
    <x v="19"/>
    <x v="0"/>
    <n v="6"/>
    <x v="1"/>
    <x v="1"/>
    <s v="BW"/>
    <s v="S"/>
    <s v="2025/08/06"/>
    <x v="0"/>
    <x v="2"/>
  </r>
  <r>
    <x v="7"/>
    <x v="7"/>
    <s v="3/3"/>
    <x v="20"/>
    <x v="0"/>
    <n v="6"/>
    <x v="1"/>
    <x v="1"/>
    <s v="BW"/>
    <s v="S"/>
    <s v=""/>
    <x v="0"/>
    <x v="1"/>
  </r>
  <r>
    <x v="7"/>
    <x v="7"/>
    <s v="3/3"/>
    <x v="21"/>
    <x v="0"/>
    <n v="6"/>
    <x v="1"/>
    <x v="1"/>
    <s v="BW"/>
    <s v="S"/>
    <s v="2025/08/06"/>
    <x v="0"/>
    <x v="2"/>
  </r>
  <r>
    <x v="7"/>
    <x v="7"/>
    <s v="3/3"/>
    <x v="22"/>
    <x v="0"/>
    <n v="6"/>
    <x v="1"/>
    <x v="1"/>
    <s v="BW"/>
    <s v="S"/>
    <s v=""/>
    <x v="0"/>
    <x v="1"/>
  </r>
  <r>
    <x v="7"/>
    <x v="7"/>
    <s v="3/3"/>
    <x v="24"/>
    <x v="0"/>
    <n v="6"/>
    <x v="1"/>
    <x v="1"/>
    <s v="BW"/>
    <s v="S"/>
    <s v="2025/08/06"/>
    <x v="0"/>
    <x v="2"/>
  </r>
  <r>
    <x v="7"/>
    <x v="7"/>
    <s v="3/3"/>
    <x v="25"/>
    <x v="0"/>
    <n v="6"/>
    <x v="1"/>
    <x v="1"/>
    <s v="BW"/>
    <s v="S"/>
    <s v="2025/08/06"/>
    <x v="0"/>
    <x v="2"/>
  </r>
  <r>
    <x v="7"/>
    <x v="7"/>
    <s v="3/3"/>
    <x v="49"/>
    <x v="0"/>
    <n v="6"/>
    <x v="1"/>
    <x v="1"/>
    <s v="FF"/>
    <s v="F"/>
    <s v=""/>
    <x v="2"/>
    <x v="1"/>
  </r>
  <r>
    <x v="8"/>
    <x v="8"/>
    <s v="1/2"/>
    <x v="0"/>
    <x v="0"/>
    <n v="6"/>
    <x v="1"/>
    <x v="1"/>
    <s v="BW"/>
    <s v="S"/>
    <s v="2025/08/06"/>
    <x v="0"/>
    <x v="2"/>
  </r>
  <r>
    <x v="8"/>
    <x v="8"/>
    <s v="1/2"/>
    <x v="1"/>
    <x v="0"/>
    <n v="6"/>
    <x v="1"/>
    <x v="1"/>
    <s v="BW"/>
    <s v="S"/>
    <s v="2025/08/06"/>
    <x v="0"/>
    <x v="2"/>
  </r>
  <r>
    <x v="8"/>
    <x v="8"/>
    <s v="1/2"/>
    <x v="2"/>
    <x v="0"/>
    <n v="6"/>
    <x v="1"/>
    <x v="1"/>
    <s v="BW"/>
    <s v="S"/>
    <s v="2025/08/06"/>
    <x v="0"/>
    <x v="2"/>
  </r>
  <r>
    <x v="8"/>
    <x v="8"/>
    <s v="1/2"/>
    <x v="3"/>
    <x v="0"/>
    <n v="6"/>
    <x v="1"/>
    <x v="1"/>
    <s v="BW"/>
    <s v="S"/>
    <s v="2025/08/06"/>
    <x v="0"/>
    <x v="2"/>
  </r>
  <r>
    <x v="8"/>
    <x v="8"/>
    <s v="1/2"/>
    <x v="4"/>
    <x v="0"/>
    <n v="6"/>
    <x v="1"/>
    <x v="1"/>
    <s v="BW"/>
    <s v="S"/>
    <s v=""/>
    <x v="0"/>
    <x v="1"/>
  </r>
  <r>
    <x v="8"/>
    <x v="8"/>
    <s v="1/2"/>
    <x v="5"/>
    <x v="0"/>
    <n v="6"/>
    <x v="1"/>
    <x v="1"/>
    <s v="BW"/>
    <s v="S"/>
    <s v="2025/08/06"/>
    <x v="0"/>
    <x v="2"/>
  </r>
  <r>
    <x v="8"/>
    <x v="8"/>
    <s v="1/2"/>
    <x v="6"/>
    <x v="0"/>
    <n v="6"/>
    <x v="1"/>
    <x v="1"/>
    <s v="BW"/>
    <s v="S"/>
    <s v="2025/08/06"/>
    <x v="0"/>
    <x v="2"/>
  </r>
  <r>
    <x v="8"/>
    <x v="8"/>
    <s v="1/2"/>
    <x v="7"/>
    <x v="0"/>
    <n v="6"/>
    <x v="1"/>
    <x v="1"/>
    <s v="BW"/>
    <s v="S"/>
    <s v="2025/08/06"/>
    <x v="0"/>
    <x v="2"/>
  </r>
  <r>
    <x v="8"/>
    <x v="8"/>
    <s v="1/2"/>
    <x v="8"/>
    <x v="0"/>
    <n v="6"/>
    <x v="1"/>
    <x v="1"/>
    <s v="BW"/>
    <s v="S"/>
    <s v=""/>
    <x v="0"/>
    <x v="1"/>
  </r>
  <r>
    <x v="8"/>
    <x v="8"/>
    <s v="1/2"/>
    <x v="9"/>
    <x v="0"/>
    <n v="6"/>
    <x v="1"/>
    <x v="1"/>
    <s v="BW"/>
    <s v="S"/>
    <s v="2025/08/06"/>
    <x v="0"/>
    <x v="2"/>
  </r>
  <r>
    <x v="8"/>
    <x v="8"/>
    <s v="1/2"/>
    <x v="10"/>
    <x v="0"/>
    <n v="6"/>
    <x v="1"/>
    <x v="1"/>
    <s v="BW"/>
    <s v="S"/>
    <s v="2025/08/06"/>
    <x v="0"/>
    <x v="2"/>
  </r>
  <r>
    <x v="8"/>
    <x v="8"/>
    <s v="1/2"/>
    <x v="11"/>
    <x v="0"/>
    <n v="6"/>
    <x v="1"/>
    <x v="1"/>
    <s v="BW"/>
    <s v="S"/>
    <s v="2025/08/06"/>
    <x v="0"/>
    <x v="2"/>
  </r>
  <r>
    <x v="8"/>
    <x v="8"/>
    <s v="1/2"/>
    <x v="12"/>
    <x v="0"/>
    <n v="6"/>
    <x v="1"/>
    <x v="1"/>
    <s v="BW"/>
    <s v="S"/>
    <s v=""/>
    <x v="0"/>
    <x v="1"/>
  </r>
  <r>
    <x v="8"/>
    <x v="8"/>
    <s v="1/2"/>
    <x v="31"/>
    <x v="0"/>
    <n v="6"/>
    <x v="1"/>
    <x v="1"/>
    <s v="BW"/>
    <s v="S"/>
    <s v="2025/08/06"/>
    <x v="0"/>
    <x v="2"/>
  </r>
  <r>
    <x v="8"/>
    <x v="8"/>
    <s v="1/2"/>
    <x v="32"/>
    <x v="4"/>
    <n v="2.5"/>
    <x v="1"/>
    <x v="1"/>
    <s v="BW"/>
    <s v="S"/>
    <s v="2025/08/06"/>
    <x v="0"/>
    <x v="2"/>
  </r>
  <r>
    <x v="8"/>
    <x v="8"/>
    <s v="1/2"/>
    <x v="33"/>
    <x v="0"/>
    <n v="6"/>
    <x v="1"/>
    <x v="1"/>
    <s v="BW"/>
    <s v="S"/>
    <s v="2025/08/06"/>
    <x v="0"/>
    <x v="2"/>
  </r>
  <r>
    <x v="8"/>
    <x v="8"/>
    <s v="1/2"/>
    <x v="34"/>
    <x v="0"/>
    <n v="6"/>
    <x v="1"/>
    <x v="1"/>
    <s v="BW"/>
    <s v="S"/>
    <s v="2025/08/06"/>
    <x v="0"/>
    <x v="2"/>
  </r>
  <r>
    <x v="8"/>
    <x v="8"/>
    <s v="1/2"/>
    <x v="35"/>
    <x v="0"/>
    <n v="6"/>
    <x v="1"/>
    <x v="1"/>
    <s v="BW"/>
    <s v="S"/>
    <s v="2025/08/06"/>
    <x v="0"/>
    <x v="2"/>
  </r>
  <r>
    <x v="8"/>
    <x v="8"/>
    <s v="1/2"/>
    <x v="28"/>
    <x v="0"/>
    <n v="6"/>
    <x v="1"/>
    <x v="1"/>
    <s v="BW"/>
    <s v="S"/>
    <s v="2025/08/06"/>
    <x v="0"/>
    <x v="2"/>
  </r>
  <r>
    <x v="8"/>
    <x v="8"/>
    <s v="1/2"/>
    <x v="50"/>
    <x v="0"/>
    <n v="6"/>
    <x v="1"/>
    <x v="1"/>
    <s v="FF"/>
    <s v="F"/>
    <s v=""/>
    <x v="2"/>
    <x v="1"/>
  </r>
  <r>
    <x v="9"/>
    <x v="9"/>
    <s v="2/2"/>
    <x v="29"/>
    <x v="4"/>
    <n v="2.5"/>
    <x v="1"/>
    <x v="1"/>
    <s v="BW"/>
    <s v="S"/>
    <s v=""/>
    <x v="0"/>
    <x v="1"/>
  </r>
  <r>
    <x v="9"/>
    <x v="9"/>
    <s v="2/2"/>
    <x v="16"/>
    <x v="4"/>
    <n v="2.5"/>
    <x v="1"/>
    <x v="1"/>
    <s v="BW"/>
    <s v="S"/>
    <s v="2025/08/25"/>
    <x v="0"/>
    <x v="0"/>
  </r>
  <r>
    <x v="9"/>
    <x v="9"/>
    <s v="2/2"/>
    <x v="36"/>
    <x v="4"/>
    <n v="2.5"/>
    <x v="1"/>
    <x v="1"/>
    <s v="BW"/>
    <s v="S"/>
    <s v="2025/08/25"/>
    <x v="0"/>
    <x v="0"/>
  </r>
  <r>
    <x v="9"/>
    <x v="9"/>
    <s v="2/2"/>
    <x v="37"/>
    <x v="4"/>
    <n v="2.5"/>
    <x v="1"/>
    <x v="1"/>
    <s v="BW"/>
    <s v="S"/>
    <s v="2025/08/25"/>
    <x v="0"/>
    <x v="0"/>
  </r>
  <r>
    <x v="9"/>
    <x v="9"/>
    <s v="2/2"/>
    <x v="38"/>
    <x v="4"/>
    <n v="2.5"/>
    <x v="1"/>
    <x v="1"/>
    <s v="BW"/>
    <s v="S"/>
    <s v="2025/08/25"/>
    <x v="0"/>
    <x v="0"/>
  </r>
  <r>
    <x v="9"/>
    <x v="9"/>
    <s v="2/2"/>
    <x v="51"/>
    <x v="4"/>
    <n v="2.5"/>
    <x v="1"/>
    <x v="1"/>
    <s v="FF"/>
    <s v="F"/>
    <s v=""/>
    <x v="2"/>
    <x v="1"/>
  </r>
  <r>
    <x v="9"/>
    <x v="9"/>
    <s v="2/2"/>
    <x v="39"/>
    <x v="5"/>
    <n v="1"/>
    <x v="2"/>
    <x v="1"/>
    <s v="IW"/>
    <s v="S"/>
    <s v="2025/08/25"/>
    <x v="1"/>
    <x v="0"/>
  </r>
  <r>
    <x v="9"/>
    <x v="9"/>
    <s v="2/2"/>
    <x v="41"/>
    <x v="5"/>
    <n v="1"/>
    <x v="2"/>
    <x v="1"/>
    <s v="SW"/>
    <s v="S"/>
    <s v="2025/08/25"/>
    <x v="1"/>
    <x v="0"/>
  </r>
  <r>
    <x v="9"/>
    <x v="9"/>
    <s v="2/2"/>
    <x v="42"/>
    <x v="5"/>
    <n v="1"/>
    <x v="2"/>
    <x v="1"/>
    <s v="SW"/>
    <s v="S"/>
    <s v="2025/08/25"/>
    <x v="1"/>
    <x v="0"/>
  </r>
  <r>
    <x v="9"/>
    <x v="9"/>
    <s v="2/2"/>
    <x v="43"/>
    <x v="4"/>
    <n v="2.5"/>
    <x v="1"/>
    <x v="1"/>
    <s v="BW"/>
    <s v="S"/>
    <s v="2025/08/25"/>
    <x v="0"/>
    <x v="0"/>
  </r>
  <r>
    <x v="9"/>
    <x v="9"/>
    <s v="2/2"/>
    <x v="44"/>
    <x v="4"/>
    <n v="2.5"/>
    <x v="1"/>
    <x v="1"/>
    <s v="BW"/>
    <s v="S"/>
    <s v="2025/08/25"/>
    <x v="0"/>
    <x v="0"/>
  </r>
  <r>
    <x v="9"/>
    <x v="9"/>
    <s v="2/2"/>
    <x v="52"/>
    <x v="4"/>
    <n v="2.5"/>
    <x v="2"/>
    <x v="1"/>
    <s v="FF"/>
    <s v="F"/>
    <s v=""/>
    <x v="2"/>
    <x v="1"/>
  </r>
  <r>
    <x v="10"/>
    <x v="10"/>
    <s v="1/2"/>
    <x v="0"/>
    <x v="0"/>
    <n v="6"/>
    <x v="1"/>
    <x v="1"/>
    <s v="BW"/>
    <s v="S"/>
    <s v="2025/08/06"/>
    <x v="0"/>
    <x v="2"/>
  </r>
  <r>
    <x v="10"/>
    <x v="10"/>
    <s v="1/2"/>
    <x v="1"/>
    <x v="0"/>
    <n v="6"/>
    <x v="1"/>
    <x v="1"/>
    <s v="BW"/>
    <s v="S"/>
    <s v="2025/08/06"/>
    <x v="0"/>
    <x v="2"/>
  </r>
  <r>
    <x v="10"/>
    <x v="10"/>
    <s v="1/2"/>
    <x v="2"/>
    <x v="0"/>
    <n v="6"/>
    <x v="1"/>
    <x v="1"/>
    <s v="BW"/>
    <s v="S"/>
    <s v="2025/08/06"/>
    <x v="0"/>
    <x v="2"/>
  </r>
  <r>
    <x v="10"/>
    <x v="10"/>
    <s v="1/2"/>
    <x v="3"/>
    <x v="0"/>
    <n v="6"/>
    <x v="1"/>
    <x v="1"/>
    <s v="BW"/>
    <s v="S"/>
    <s v="2025/08/06"/>
    <x v="0"/>
    <x v="2"/>
  </r>
  <r>
    <x v="10"/>
    <x v="10"/>
    <s v="1/2"/>
    <x v="4"/>
    <x v="0"/>
    <n v="6"/>
    <x v="1"/>
    <x v="1"/>
    <s v="BW"/>
    <s v="S"/>
    <s v=""/>
    <x v="0"/>
    <x v="1"/>
  </r>
  <r>
    <x v="10"/>
    <x v="10"/>
    <s v="1/2"/>
    <x v="5"/>
    <x v="4"/>
    <n v="2.5"/>
    <x v="1"/>
    <x v="1"/>
    <s v="IW"/>
    <s v="S"/>
    <s v="2025/08/25"/>
    <x v="1"/>
    <x v="0"/>
  </r>
  <r>
    <x v="10"/>
    <x v="10"/>
    <s v="1/2"/>
    <x v="6"/>
    <x v="4"/>
    <n v="2.5"/>
    <x v="1"/>
    <x v="1"/>
    <s v="BW"/>
    <s v="S"/>
    <s v=""/>
    <x v="0"/>
    <x v="1"/>
  </r>
  <r>
    <x v="10"/>
    <x v="10"/>
    <s v="1/2"/>
    <x v="7"/>
    <x v="4"/>
    <n v="2.5"/>
    <x v="1"/>
    <x v="1"/>
    <s v="BW"/>
    <s v="S"/>
    <s v="2025/08/25"/>
    <x v="0"/>
    <x v="0"/>
  </r>
  <r>
    <x v="10"/>
    <x v="10"/>
    <s v="1/2"/>
    <x v="8"/>
    <x v="4"/>
    <n v="2.5"/>
    <x v="1"/>
    <x v="1"/>
    <s v="BW"/>
    <s v="S"/>
    <s v="2025/08/25"/>
    <x v="0"/>
    <x v="0"/>
  </r>
  <r>
    <x v="10"/>
    <x v="10"/>
    <s v="1/2"/>
    <x v="9"/>
    <x v="0"/>
    <n v="6"/>
    <x v="1"/>
    <x v="1"/>
    <s v="BW"/>
    <s v="S"/>
    <s v="2025/08/06"/>
    <x v="0"/>
    <x v="0"/>
  </r>
  <r>
    <x v="10"/>
    <x v="10"/>
    <s v="1/2"/>
    <x v="10"/>
    <x v="0"/>
    <n v="6"/>
    <x v="1"/>
    <x v="1"/>
    <s v="BW"/>
    <s v="S"/>
    <s v="2025/08/06"/>
    <x v="0"/>
    <x v="0"/>
  </r>
  <r>
    <x v="10"/>
    <x v="10"/>
    <s v="1/2"/>
    <x v="11"/>
    <x v="0"/>
    <n v="6"/>
    <x v="1"/>
    <x v="1"/>
    <s v="BW"/>
    <s v="S"/>
    <s v="2025/08/06"/>
    <x v="0"/>
    <x v="0"/>
  </r>
  <r>
    <x v="10"/>
    <x v="10"/>
    <s v="1/2"/>
    <x v="12"/>
    <x v="0"/>
    <n v="6"/>
    <x v="1"/>
    <x v="1"/>
    <s v="BW"/>
    <s v="S"/>
    <s v="2025/08/06"/>
    <x v="0"/>
    <x v="0"/>
  </r>
  <r>
    <x v="10"/>
    <x v="10"/>
    <s v="1/2"/>
    <x v="53"/>
    <x v="0"/>
    <n v="6"/>
    <x v="1"/>
    <x v="1"/>
    <s v="FF"/>
    <s v="F"/>
    <s v=""/>
    <x v="2"/>
    <x v="1"/>
  </r>
  <r>
    <x v="11"/>
    <x v="11"/>
    <s v="2/2"/>
    <x v="31"/>
    <x v="4"/>
    <n v="2.5"/>
    <x v="1"/>
    <x v="1"/>
    <s v="BW"/>
    <s v="S"/>
    <s v="2025/08/25"/>
    <x v="0"/>
    <x v="0"/>
  </r>
  <r>
    <x v="11"/>
    <x v="11"/>
    <s v="2/2"/>
    <x v="54"/>
    <x v="4"/>
    <n v="2.5"/>
    <x v="1"/>
    <x v="1"/>
    <s v="FF"/>
    <s v="F"/>
    <s v=""/>
    <x v="2"/>
    <x v="1"/>
  </r>
  <r>
    <x v="11"/>
    <x v="11"/>
    <s v="2/2"/>
    <x v="32"/>
    <x v="5"/>
    <n v="1"/>
    <x v="2"/>
    <x v="1"/>
    <s v="IW"/>
    <s v="S"/>
    <s v="2025/08/25"/>
    <x v="1"/>
    <x v="0"/>
  </r>
  <r>
    <x v="11"/>
    <x v="11"/>
    <s v="2/2"/>
    <x v="33"/>
    <x v="5"/>
    <n v="1"/>
    <x v="2"/>
    <x v="1"/>
    <s v="SW"/>
    <s v="S"/>
    <s v="2025/08/25"/>
    <x v="1"/>
    <x v="0"/>
  </r>
  <r>
    <x v="11"/>
    <x v="11"/>
    <s v="2/2"/>
    <x v="34"/>
    <x v="5"/>
    <n v="1"/>
    <x v="2"/>
    <x v="1"/>
    <s v="SW"/>
    <s v="S"/>
    <s v="2025/08/25"/>
    <x v="1"/>
    <x v="0"/>
  </r>
  <r>
    <x v="11"/>
    <x v="11"/>
    <s v="2/2"/>
    <x v="35"/>
    <x v="4"/>
    <n v="2.5"/>
    <x v="1"/>
    <x v="1"/>
    <s v="BW"/>
    <s v="S"/>
    <s v="2025/08/25"/>
    <x v="0"/>
    <x v="0"/>
  </r>
  <r>
    <x v="11"/>
    <x v="11"/>
    <s v="2/2"/>
    <x v="28"/>
    <x v="4"/>
    <n v="2.5"/>
    <x v="1"/>
    <x v="1"/>
    <s v="BW"/>
    <s v="S"/>
    <s v="2025/08/25"/>
    <x v="0"/>
    <x v="0"/>
  </r>
  <r>
    <x v="11"/>
    <x v="11"/>
    <s v="2/2"/>
    <x v="50"/>
    <x v="4"/>
    <n v="2.5"/>
    <x v="1"/>
    <x v="1"/>
    <s v="FF"/>
    <s v="F"/>
    <s v=""/>
    <x v="2"/>
    <x v="3"/>
  </r>
  <r>
    <x v="12"/>
    <x v="12"/>
    <s v="1/1"/>
    <x v="0"/>
    <x v="0"/>
    <n v="6"/>
    <x v="1"/>
    <x v="1"/>
    <s v="BW"/>
    <s v="S"/>
    <s v="2025/08/06"/>
    <x v="0"/>
    <x v="2"/>
  </r>
  <r>
    <x v="12"/>
    <x v="12"/>
    <s v="1/1"/>
    <x v="1"/>
    <x v="0"/>
    <n v="6"/>
    <x v="1"/>
    <x v="1"/>
    <s v="BW"/>
    <s v="S"/>
    <s v="2025/08/06"/>
    <x v="0"/>
    <x v="2"/>
  </r>
  <r>
    <x v="12"/>
    <x v="12"/>
    <s v="1/1"/>
    <x v="2"/>
    <x v="0"/>
    <n v="6"/>
    <x v="1"/>
    <x v="1"/>
    <s v="BW"/>
    <s v="S"/>
    <s v="2025/08/06"/>
    <x v="0"/>
    <x v="2"/>
  </r>
  <r>
    <x v="12"/>
    <x v="12"/>
    <s v="1/1"/>
    <x v="3"/>
    <x v="0"/>
    <n v="6"/>
    <x v="1"/>
    <x v="1"/>
    <s v="BW"/>
    <s v="S"/>
    <s v="2025/08/06"/>
    <x v="0"/>
    <x v="2"/>
  </r>
  <r>
    <x v="12"/>
    <x v="12"/>
    <s v="1/1"/>
    <x v="4"/>
    <x v="0"/>
    <n v="6"/>
    <x v="1"/>
    <x v="1"/>
    <s v="BW"/>
    <s v="S"/>
    <s v=""/>
    <x v="0"/>
    <x v="3"/>
  </r>
  <r>
    <x v="12"/>
    <x v="12"/>
    <s v="1/1"/>
    <x v="5"/>
    <x v="0"/>
    <n v="6"/>
    <x v="1"/>
    <x v="1"/>
    <s v="BW"/>
    <s v="S"/>
    <s v="2025/08/06"/>
    <x v="0"/>
    <x v="2"/>
  </r>
  <r>
    <x v="12"/>
    <x v="12"/>
    <s v="1/1"/>
    <x v="6"/>
    <x v="0"/>
    <n v="6"/>
    <x v="1"/>
    <x v="1"/>
    <s v="BW"/>
    <s v="S"/>
    <s v="2025/08/06"/>
    <x v="0"/>
    <x v="2"/>
  </r>
  <r>
    <x v="12"/>
    <x v="12"/>
    <s v="1/1"/>
    <x v="7"/>
    <x v="0"/>
    <n v="6"/>
    <x v="1"/>
    <x v="1"/>
    <s v="BW"/>
    <s v="S"/>
    <s v=""/>
    <x v="0"/>
    <x v="3"/>
  </r>
  <r>
    <x v="12"/>
    <x v="12"/>
    <s v="1/1"/>
    <x v="8"/>
    <x v="0"/>
    <n v="6"/>
    <x v="1"/>
    <x v="1"/>
    <s v="BW"/>
    <s v="S"/>
    <s v="2025/08/06"/>
    <x v="0"/>
    <x v="2"/>
  </r>
  <r>
    <x v="12"/>
    <x v="12"/>
    <s v="1/1"/>
    <x v="9"/>
    <x v="0"/>
    <n v="6"/>
    <x v="1"/>
    <x v="1"/>
    <s v="BW"/>
    <s v="S"/>
    <s v="2025/08/06"/>
    <x v="0"/>
    <x v="2"/>
  </r>
  <r>
    <x v="12"/>
    <x v="12"/>
    <s v="1/1"/>
    <x v="10"/>
    <x v="0"/>
    <n v="6"/>
    <x v="1"/>
    <x v="1"/>
    <s v="BW"/>
    <s v="S"/>
    <s v="2025/08/06"/>
    <x v="0"/>
    <x v="2"/>
  </r>
  <r>
    <x v="12"/>
    <x v="12"/>
    <s v="1/1"/>
    <x v="11"/>
    <x v="0"/>
    <n v="6"/>
    <x v="1"/>
    <x v="1"/>
    <s v="BW"/>
    <s v="S"/>
    <s v="2025/08/06"/>
    <x v="0"/>
    <x v="2"/>
  </r>
  <r>
    <x v="12"/>
    <x v="12"/>
    <s v="1/1"/>
    <x v="12"/>
    <x v="0"/>
    <n v="6"/>
    <x v="1"/>
    <x v="1"/>
    <s v="BW"/>
    <s v="S"/>
    <s v="2025/08/06"/>
    <x v="0"/>
    <x v="2"/>
  </r>
  <r>
    <x v="12"/>
    <x v="12"/>
    <s v="1/1"/>
    <x v="31"/>
    <x v="0"/>
    <n v="6"/>
    <x v="1"/>
    <x v="1"/>
    <s v="BW"/>
    <s v="S"/>
    <s v="2025/08/06"/>
    <x v="0"/>
    <x v="2"/>
  </r>
  <r>
    <x v="12"/>
    <x v="12"/>
    <s v="1/1"/>
    <x v="32"/>
    <x v="0"/>
    <n v="6"/>
    <x v="1"/>
    <x v="1"/>
    <s v="BW"/>
    <s v="S"/>
    <s v=""/>
    <x v="0"/>
    <x v="3"/>
  </r>
  <r>
    <x v="12"/>
    <x v="12"/>
    <s v="1/1"/>
    <x v="33"/>
    <x v="0"/>
    <n v="6"/>
    <x v="1"/>
    <x v="1"/>
    <s v="BW"/>
    <s v="S"/>
    <s v="2025/08/06"/>
    <x v="0"/>
    <x v="2"/>
  </r>
  <r>
    <x v="12"/>
    <x v="12"/>
    <s v="1/1"/>
    <x v="34"/>
    <x v="0"/>
    <n v="6"/>
    <x v="1"/>
    <x v="1"/>
    <s v="BW"/>
    <s v="S"/>
    <s v="2025/08/06"/>
    <x v="0"/>
    <x v="2"/>
  </r>
  <r>
    <x v="12"/>
    <x v="12"/>
    <s v="1/1"/>
    <x v="35"/>
    <x v="0"/>
    <n v="6"/>
    <x v="1"/>
    <x v="1"/>
    <s v="BW"/>
    <s v="S"/>
    <s v="2025/08/06"/>
    <x v="0"/>
    <x v="2"/>
  </r>
  <r>
    <x v="12"/>
    <x v="12"/>
    <s v="1/1"/>
    <x v="28"/>
    <x v="0"/>
    <n v="6"/>
    <x v="1"/>
    <x v="1"/>
    <s v="BW"/>
    <s v="S"/>
    <s v="2025/08/06"/>
    <x v="0"/>
    <x v="2"/>
  </r>
  <r>
    <x v="12"/>
    <x v="12"/>
    <s v="1/1"/>
    <x v="50"/>
    <x v="0"/>
    <n v="6"/>
    <x v="1"/>
    <x v="1"/>
    <s v="FF"/>
    <s v="F"/>
    <s v=""/>
    <x v="2"/>
    <x v="3"/>
  </r>
  <r>
    <x v="13"/>
    <x v="13"/>
    <s v="1/1"/>
    <x v="0"/>
    <x v="1"/>
    <n v="4"/>
    <x v="1"/>
    <x v="1"/>
    <s v="BW"/>
    <s v="S"/>
    <s v="2025/08/06"/>
    <x v="0"/>
    <x v="2"/>
  </r>
  <r>
    <x v="13"/>
    <x v="13"/>
    <s v="1/1"/>
    <x v="1"/>
    <x v="1"/>
    <n v="4"/>
    <x v="1"/>
    <x v="1"/>
    <s v="BW"/>
    <s v="S"/>
    <s v="2025/08/06"/>
    <x v="0"/>
    <x v="2"/>
  </r>
  <r>
    <x v="13"/>
    <x v="13"/>
    <s v="1/1"/>
    <x v="2"/>
    <x v="1"/>
    <n v="4"/>
    <x v="1"/>
    <x v="1"/>
    <s v="BW"/>
    <s v="S"/>
    <s v="2025/08/06"/>
    <x v="0"/>
    <x v="2"/>
  </r>
  <r>
    <x v="13"/>
    <x v="13"/>
    <s v="1/1"/>
    <x v="3"/>
    <x v="1"/>
    <n v="4"/>
    <x v="1"/>
    <x v="1"/>
    <s v="BW"/>
    <s v="S"/>
    <s v=""/>
    <x v="0"/>
    <x v="3"/>
  </r>
  <r>
    <x v="13"/>
    <x v="13"/>
    <s v="1/1"/>
    <x v="4"/>
    <x v="1"/>
    <n v="4"/>
    <x v="1"/>
    <x v="1"/>
    <s v="BW"/>
    <s v="S"/>
    <s v="2025/08/06"/>
    <x v="0"/>
    <x v="2"/>
  </r>
  <r>
    <x v="13"/>
    <x v="13"/>
    <s v="1/1"/>
    <x v="5"/>
    <x v="1"/>
    <n v="4"/>
    <x v="1"/>
    <x v="1"/>
    <s v="BW"/>
    <s v="S"/>
    <s v=""/>
    <x v="0"/>
    <x v="3"/>
  </r>
  <r>
    <x v="13"/>
    <x v="13"/>
    <s v="1/1"/>
    <x v="6"/>
    <x v="1"/>
    <n v="4"/>
    <x v="1"/>
    <x v="1"/>
    <s v="BW"/>
    <s v="S"/>
    <s v="2025/08/06"/>
    <x v="0"/>
    <x v="2"/>
  </r>
  <r>
    <x v="13"/>
    <x v="13"/>
    <s v="1/1"/>
    <x v="7"/>
    <x v="1"/>
    <n v="4"/>
    <x v="1"/>
    <x v="1"/>
    <s v="BW"/>
    <s v="S"/>
    <s v=""/>
    <x v="0"/>
    <x v="3"/>
  </r>
  <r>
    <x v="13"/>
    <x v="13"/>
    <s v="1/1"/>
    <x v="8"/>
    <x v="1"/>
    <n v="4"/>
    <x v="1"/>
    <x v="1"/>
    <s v="BW"/>
    <s v="S"/>
    <s v="2025/08/06"/>
    <x v="0"/>
    <x v="2"/>
  </r>
  <r>
    <x v="13"/>
    <x v="13"/>
    <s v="1/1"/>
    <x v="9"/>
    <x v="1"/>
    <n v="4"/>
    <x v="1"/>
    <x v="1"/>
    <s v="BW"/>
    <s v="S"/>
    <s v=""/>
    <x v="0"/>
    <x v="3"/>
  </r>
  <r>
    <x v="13"/>
    <x v="13"/>
    <s v="1/1"/>
    <x v="10"/>
    <x v="1"/>
    <n v="4"/>
    <x v="1"/>
    <x v="1"/>
    <s v="BW"/>
    <s v="S"/>
    <s v="2025/08/06"/>
    <x v="0"/>
    <x v="2"/>
  </r>
  <r>
    <x v="13"/>
    <x v="13"/>
    <s v="1/1"/>
    <x v="11"/>
    <x v="1"/>
    <n v="4"/>
    <x v="1"/>
    <x v="1"/>
    <s v="BW"/>
    <s v="S"/>
    <s v=""/>
    <x v="0"/>
    <x v="3"/>
  </r>
  <r>
    <x v="13"/>
    <x v="13"/>
    <s v="1/1"/>
    <x v="12"/>
    <x v="1"/>
    <n v="4"/>
    <x v="1"/>
    <x v="1"/>
    <s v="BW"/>
    <s v="S"/>
    <s v="2025/08/06"/>
    <x v="0"/>
    <x v="2"/>
  </r>
  <r>
    <x v="13"/>
    <x v="13"/>
    <s v="1/1"/>
    <x v="31"/>
    <x v="1"/>
    <n v="4"/>
    <x v="1"/>
    <x v="1"/>
    <s v="BW"/>
    <s v="S"/>
    <s v="2025/08/06"/>
    <x v="0"/>
    <x v="2"/>
  </r>
  <r>
    <x v="14"/>
    <x v="14"/>
    <s v="1/1"/>
    <x v="0"/>
    <x v="1"/>
    <n v="4"/>
    <x v="1"/>
    <x v="0"/>
    <s v="BW"/>
    <s v="S"/>
    <s v="2025/08/25"/>
    <x v="0"/>
    <x v="0"/>
  </r>
  <r>
    <x v="14"/>
    <x v="14"/>
    <s v="1/1"/>
    <x v="1"/>
    <x v="1"/>
    <n v="4"/>
    <x v="1"/>
    <x v="0"/>
    <s v="BW"/>
    <s v="S"/>
    <s v="2025/08/25"/>
    <x v="0"/>
    <x v="0"/>
  </r>
  <r>
    <x v="14"/>
    <x v="14"/>
    <s v="1/1"/>
    <x v="2"/>
    <x v="1"/>
    <n v="4"/>
    <x v="1"/>
    <x v="0"/>
    <s v="BW"/>
    <s v="S"/>
    <s v="2025/08/25"/>
    <x v="0"/>
    <x v="0"/>
  </r>
  <r>
    <x v="14"/>
    <x v="14"/>
    <s v="1/1"/>
    <x v="3"/>
    <x v="1"/>
    <n v="4"/>
    <x v="1"/>
    <x v="0"/>
    <s v="BW"/>
    <s v="S"/>
    <s v=""/>
    <x v="0"/>
    <x v="3"/>
  </r>
  <r>
    <x v="14"/>
    <x v="14"/>
    <s v="1/1"/>
    <x v="4"/>
    <x v="1"/>
    <n v="4"/>
    <x v="1"/>
    <x v="0"/>
    <s v="BW"/>
    <s v="S"/>
    <s v="2025/08/25"/>
    <x v="0"/>
    <x v="0"/>
  </r>
  <r>
    <x v="14"/>
    <x v="14"/>
    <s v="1/1"/>
    <x v="5"/>
    <x v="1"/>
    <n v="4"/>
    <x v="1"/>
    <x v="0"/>
    <s v="BW"/>
    <s v="S"/>
    <s v=""/>
    <x v="0"/>
    <x v="3"/>
  </r>
  <r>
    <x v="14"/>
    <x v="14"/>
    <s v="1/1"/>
    <x v="6"/>
    <x v="1"/>
    <n v="4"/>
    <x v="1"/>
    <x v="0"/>
    <s v="BW"/>
    <s v="S"/>
    <s v="2025/08/25"/>
    <x v="0"/>
    <x v="0"/>
  </r>
  <r>
    <x v="14"/>
    <x v="14"/>
    <s v="1/1"/>
    <x v="7"/>
    <x v="1"/>
    <n v="4"/>
    <x v="1"/>
    <x v="0"/>
    <s v="BW"/>
    <s v="S"/>
    <s v=""/>
    <x v="0"/>
    <x v="3"/>
  </r>
  <r>
    <x v="14"/>
    <x v="14"/>
    <s v="1/1"/>
    <x v="8"/>
    <x v="1"/>
    <n v="4"/>
    <x v="1"/>
    <x v="0"/>
    <s v="BW"/>
    <s v="S"/>
    <s v="2025/08/25"/>
    <x v="0"/>
    <x v="0"/>
  </r>
  <r>
    <x v="14"/>
    <x v="14"/>
    <s v="1/1"/>
    <x v="9"/>
    <x v="1"/>
    <n v="4"/>
    <x v="1"/>
    <x v="0"/>
    <s v="BW"/>
    <s v="S"/>
    <s v=""/>
    <x v="0"/>
    <x v="3"/>
  </r>
  <r>
    <x v="14"/>
    <x v="14"/>
    <s v="1/1"/>
    <x v="10"/>
    <x v="1"/>
    <n v="4"/>
    <x v="1"/>
    <x v="0"/>
    <s v="BW"/>
    <s v="S"/>
    <s v="2025/08/25"/>
    <x v="0"/>
    <x v="0"/>
  </r>
  <r>
    <x v="14"/>
    <x v="14"/>
    <s v="1/1"/>
    <x v="11"/>
    <x v="1"/>
    <n v="4"/>
    <x v="1"/>
    <x v="0"/>
    <s v="BW"/>
    <s v="S"/>
    <s v=""/>
    <x v="0"/>
    <x v="3"/>
  </r>
  <r>
    <x v="14"/>
    <x v="14"/>
    <s v="1/1"/>
    <x v="12"/>
    <x v="1"/>
    <n v="4"/>
    <x v="1"/>
    <x v="0"/>
    <s v="BW"/>
    <s v="S"/>
    <s v="2025/08/25"/>
    <x v="0"/>
    <x v="0"/>
  </r>
  <r>
    <x v="14"/>
    <x v="14"/>
    <s v="1/1"/>
    <x v="31"/>
    <x v="1"/>
    <n v="4"/>
    <x v="1"/>
    <x v="0"/>
    <s v="BW"/>
    <s v="S"/>
    <s v="2025/08/25"/>
    <x v="0"/>
    <x v="0"/>
  </r>
  <r>
    <x v="15"/>
    <x v="15"/>
    <s v="1/1"/>
    <x v="0"/>
    <x v="1"/>
    <n v="4"/>
    <x v="1"/>
    <x v="0"/>
    <s v="BW"/>
    <s v="S"/>
    <s v="2025/08/25"/>
    <x v="0"/>
    <x v="0"/>
  </r>
  <r>
    <x v="15"/>
    <x v="15"/>
    <s v="1/1"/>
    <x v="1"/>
    <x v="1"/>
    <n v="4"/>
    <x v="1"/>
    <x v="0"/>
    <s v="BW"/>
    <s v="S"/>
    <s v="2025/08/25"/>
    <x v="0"/>
    <x v="0"/>
  </r>
  <r>
    <x v="15"/>
    <x v="15"/>
    <s v="1/1"/>
    <x v="2"/>
    <x v="1"/>
    <n v="4"/>
    <x v="1"/>
    <x v="0"/>
    <s v="BW"/>
    <s v="S"/>
    <s v="2025/08/25"/>
    <x v="0"/>
    <x v="0"/>
  </r>
  <r>
    <x v="15"/>
    <x v="15"/>
    <s v="1/1"/>
    <x v="3"/>
    <x v="1"/>
    <n v="4"/>
    <x v="1"/>
    <x v="0"/>
    <s v="BW"/>
    <s v="S"/>
    <s v=""/>
    <x v="0"/>
    <x v="3"/>
  </r>
  <r>
    <x v="16"/>
    <x v="16"/>
    <s v="1/2"/>
    <x v="0"/>
    <x v="1"/>
    <n v="4"/>
    <x v="1"/>
    <x v="0"/>
    <s v="BW"/>
    <s v="S"/>
    <s v="2025/08/25"/>
    <x v="0"/>
    <x v="0"/>
  </r>
  <r>
    <x v="16"/>
    <x v="16"/>
    <s v="1/2"/>
    <x v="55"/>
    <x v="1"/>
    <n v="4"/>
    <x v="1"/>
    <x v="0"/>
    <s v="FF"/>
    <s v="F"/>
    <s v=""/>
    <x v="2"/>
    <x v="3"/>
  </r>
  <r>
    <x v="16"/>
    <x v="16"/>
    <s v="1/2"/>
    <x v="1"/>
    <x v="1"/>
    <n v="4"/>
    <x v="1"/>
    <x v="0"/>
    <s v="BW"/>
    <s v="S"/>
    <s v=""/>
    <x v="0"/>
    <x v="3"/>
  </r>
  <r>
    <x v="16"/>
    <x v="16"/>
    <s v="1/2"/>
    <x v="2"/>
    <x v="1"/>
    <n v="4"/>
    <x v="1"/>
    <x v="0"/>
    <s v="BW"/>
    <s v="S"/>
    <s v=""/>
    <x v="0"/>
    <x v="3"/>
  </r>
  <r>
    <x v="16"/>
    <x v="16"/>
    <s v="1/2"/>
    <x v="3"/>
    <x v="1"/>
    <n v="4"/>
    <x v="1"/>
    <x v="0"/>
    <s v="BW"/>
    <s v="S"/>
    <s v="2025/08/25"/>
    <x v="0"/>
    <x v="0"/>
  </r>
  <r>
    <x v="16"/>
    <x v="16"/>
    <s v="1/2"/>
    <x v="4"/>
    <x v="1"/>
    <n v="4"/>
    <x v="1"/>
    <x v="0"/>
    <s v="BW"/>
    <s v="S"/>
    <s v="2025/08/25"/>
    <x v="0"/>
    <x v="0"/>
  </r>
  <r>
    <x v="16"/>
    <x v="16"/>
    <s v="1/2"/>
    <x v="5"/>
    <x v="1"/>
    <n v="4"/>
    <x v="1"/>
    <x v="0"/>
    <s v="BW"/>
    <s v="S"/>
    <s v="2025/08/25"/>
    <x v="0"/>
    <x v="0"/>
  </r>
  <r>
    <x v="16"/>
    <x v="16"/>
    <s v="1/2"/>
    <x v="6"/>
    <x v="1"/>
    <n v="4"/>
    <x v="1"/>
    <x v="0"/>
    <s v="BW"/>
    <s v="S"/>
    <s v="2025/08/25"/>
    <x v="0"/>
    <x v="0"/>
  </r>
  <r>
    <x v="16"/>
    <x v="16"/>
    <s v="1/2"/>
    <x v="7"/>
    <x v="1"/>
    <n v="4"/>
    <x v="1"/>
    <x v="0"/>
    <s v="BW"/>
    <s v="S"/>
    <s v=""/>
    <x v="0"/>
    <x v="3"/>
  </r>
  <r>
    <x v="16"/>
    <x v="16"/>
    <s v="1/2"/>
    <x v="8"/>
    <x v="1"/>
    <n v="4"/>
    <x v="1"/>
    <x v="0"/>
    <s v="BW"/>
    <s v="S"/>
    <s v="2025/08/25"/>
    <x v="0"/>
    <x v="0"/>
  </r>
  <r>
    <x v="16"/>
    <x v="16"/>
    <s v="1/2"/>
    <x v="9"/>
    <x v="1"/>
    <n v="4"/>
    <x v="1"/>
    <x v="0"/>
    <s v="BW"/>
    <s v="S"/>
    <s v="2025/08/25"/>
    <x v="0"/>
    <x v="0"/>
  </r>
  <r>
    <x v="17"/>
    <x v="17"/>
    <s v="2/2"/>
    <x v="10"/>
    <x v="1"/>
    <n v="4"/>
    <x v="1"/>
    <x v="0"/>
    <s v="BW"/>
    <s v="S"/>
    <s v=""/>
    <x v="0"/>
    <x v="3"/>
  </r>
  <r>
    <x v="17"/>
    <x v="17"/>
    <s v="2/2"/>
    <x v="11"/>
    <x v="1"/>
    <n v="4"/>
    <x v="1"/>
    <x v="0"/>
    <s v="BW"/>
    <s v="S"/>
    <s v="2025/08/25"/>
    <x v="0"/>
    <x v="0"/>
  </r>
  <r>
    <x v="17"/>
    <x v="17"/>
    <s v="2/2"/>
    <x v="12"/>
    <x v="1"/>
    <n v="4"/>
    <x v="1"/>
    <x v="0"/>
    <s v="BW"/>
    <s v="S"/>
    <s v="2025/08/25"/>
    <x v="0"/>
    <x v="0"/>
  </r>
  <r>
    <x v="17"/>
    <x v="17"/>
    <s v="2/2"/>
    <x v="31"/>
    <x v="1"/>
    <n v="4"/>
    <x v="1"/>
    <x v="0"/>
    <s v="BW"/>
    <s v="S"/>
    <s v=""/>
    <x v="0"/>
    <x v="3"/>
  </r>
  <r>
    <x v="17"/>
    <x v="17"/>
    <s v="2/2"/>
    <x v="32"/>
    <x v="1"/>
    <n v="4"/>
    <x v="1"/>
    <x v="0"/>
    <s v="BW"/>
    <s v="S"/>
    <s v="2025/08/25"/>
    <x v="0"/>
    <x v="0"/>
  </r>
  <r>
    <x v="17"/>
    <x v="17"/>
    <s v="2/2"/>
    <x v="33"/>
    <x v="1"/>
    <n v="4"/>
    <x v="1"/>
    <x v="0"/>
    <s v="BW"/>
    <s v="S"/>
    <s v=""/>
    <x v="0"/>
    <x v="3"/>
  </r>
  <r>
    <x v="17"/>
    <x v="17"/>
    <s v="2/2"/>
    <x v="34"/>
    <x v="1"/>
    <n v="4"/>
    <x v="1"/>
    <x v="0"/>
    <s v="BW"/>
    <s v="S"/>
    <s v=""/>
    <x v="0"/>
    <x v="3"/>
  </r>
  <r>
    <x v="17"/>
    <x v="17"/>
    <s v="2/2"/>
    <x v="35"/>
    <x v="1"/>
    <n v="4"/>
    <x v="1"/>
    <x v="0"/>
    <s v="BW"/>
    <s v="S"/>
    <s v="2025/08/25"/>
    <x v="0"/>
    <x v="0"/>
  </r>
  <r>
    <x v="17"/>
    <x v="17"/>
    <s v="2/2"/>
    <x v="28"/>
    <x v="1"/>
    <n v="4"/>
    <x v="1"/>
    <x v="0"/>
    <s v="BW"/>
    <s v="S"/>
    <s v="2025/08/25"/>
    <x v="0"/>
    <x v="0"/>
  </r>
  <r>
    <x v="17"/>
    <x v="17"/>
    <s v="2/2"/>
    <x v="29"/>
    <x v="1"/>
    <n v="4"/>
    <x v="1"/>
    <x v="0"/>
    <s v="BW"/>
    <s v="S"/>
    <s v="2025/08/25"/>
    <x v="0"/>
    <x v="0"/>
  </r>
  <r>
    <x v="17"/>
    <x v="17"/>
    <s v="2/2"/>
    <x v="16"/>
    <x v="1"/>
    <n v="4"/>
    <x v="1"/>
    <x v="0"/>
    <s v="BW"/>
    <s v="S"/>
    <s v="2025/08/25"/>
    <x v="0"/>
    <x v="0"/>
  </r>
  <r>
    <x v="17"/>
    <x v="17"/>
    <s v="2/2"/>
    <x v="36"/>
    <x v="1"/>
    <n v="4"/>
    <x v="1"/>
    <x v="0"/>
    <s v="BW"/>
    <s v="S"/>
    <s v=""/>
    <x v="0"/>
    <x v="3"/>
  </r>
  <r>
    <x v="18"/>
    <x v="18"/>
    <s v="1/1"/>
    <x v="0"/>
    <x v="1"/>
    <n v="4"/>
    <x v="1"/>
    <x v="0"/>
    <s v="BW"/>
    <s v="S"/>
    <s v="2025/08/25"/>
    <x v="0"/>
    <x v="0"/>
  </r>
  <r>
    <x v="18"/>
    <x v="18"/>
    <s v="1/1"/>
    <x v="1"/>
    <x v="1"/>
    <n v="4"/>
    <x v="1"/>
    <x v="0"/>
    <s v="BW"/>
    <s v="S"/>
    <s v="2025/08/25"/>
    <x v="0"/>
    <x v="0"/>
  </r>
  <r>
    <x v="18"/>
    <x v="18"/>
    <s v="1/1"/>
    <x v="2"/>
    <x v="1"/>
    <n v="4"/>
    <x v="1"/>
    <x v="0"/>
    <s v="BW"/>
    <s v="S"/>
    <s v="2025/08/25"/>
    <x v="0"/>
    <x v="0"/>
  </r>
  <r>
    <x v="18"/>
    <x v="18"/>
    <s v="1/1"/>
    <x v="3"/>
    <x v="1"/>
    <n v="4"/>
    <x v="1"/>
    <x v="0"/>
    <s v="BW"/>
    <s v="S"/>
    <s v="2025/08/25"/>
    <x v="0"/>
    <x v="0"/>
  </r>
  <r>
    <x v="18"/>
    <x v="18"/>
    <s v="1/1"/>
    <x v="4"/>
    <x v="1"/>
    <n v="4"/>
    <x v="1"/>
    <x v="0"/>
    <s v="BW"/>
    <s v="S"/>
    <s v=""/>
    <x v="0"/>
    <x v="3"/>
  </r>
  <r>
    <x v="18"/>
    <x v="18"/>
    <s v="1/1"/>
    <x v="5"/>
    <x v="1"/>
    <n v="4"/>
    <x v="1"/>
    <x v="0"/>
    <s v="BW"/>
    <s v="S"/>
    <s v="2025/08/25"/>
    <x v="0"/>
    <x v="0"/>
  </r>
  <r>
    <x v="18"/>
    <x v="18"/>
    <s v="1/1"/>
    <x v="6"/>
    <x v="1"/>
    <n v="4"/>
    <x v="1"/>
    <x v="0"/>
    <s v="BW"/>
    <s v="S"/>
    <s v="2025/08/25"/>
    <x v="0"/>
    <x v="0"/>
  </r>
  <r>
    <x v="18"/>
    <x v="18"/>
    <s v="1/1"/>
    <x v="7"/>
    <x v="1"/>
    <n v="4"/>
    <x v="1"/>
    <x v="0"/>
    <s v="BW"/>
    <s v="S"/>
    <s v=""/>
    <x v="0"/>
    <x v="3"/>
  </r>
  <r>
    <x v="18"/>
    <x v="18"/>
    <s v="1/1"/>
    <x v="8"/>
    <x v="1"/>
    <n v="4"/>
    <x v="1"/>
    <x v="0"/>
    <s v="BW"/>
    <s v="S"/>
    <s v="2025/08/25"/>
    <x v="0"/>
    <x v="0"/>
  </r>
  <r>
    <x v="18"/>
    <x v="18"/>
    <s v="1/1"/>
    <x v="9"/>
    <x v="1"/>
    <n v="4"/>
    <x v="1"/>
    <x v="0"/>
    <s v="BW"/>
    <s v="S"/>
    <s v=""/>
    <x v="0"/>
    <x v="3"/>
  </r>
  <r>
    <x v="18"/>
    <x v="18"/>
    <s v="1/1"/>
    <x v="10"/>
    <x v="1"/>
    <n v="4"/>
    <x v="1"/>
    <x v="0"/>
    <s v="BW"/>
    <s v="S"/>
    <s v="2025/08/25"/>
    <x v="0"/>
    <x v="0"/>
  </r>
  <r>
    <x v="18"/>
    <x v="18"/>
    <s v="1/1"/>
    <x v="11"/>
    <x v="1"/>
    <n v="4"/>
    <x v="1"/>
    <x v="0"/>
    <s v="BW"/>
    <s v="S"/>
    <s v="2025/08/25"/>
    <x v="0"/>
    <x v="0"/>
  </r>
  <r>
    <x v="18"/>
    <x v="18"/>
    <s v="1/1"/>
    <x v="12"/>
    <x v="1"/>
    <n v="4"/>
    <x v="1"/>
    <x v="0"/>
    <s v="BW"/>
    <s v="S"/>
    <s v="2025/08/25"/>
    <x v="0"/>
    <x v="0"/>
  </r>
  <r>
    <x v="18"/>
    <x v="18"/>
    <s v="1/1"/>
    <x v="31"/>
    <x v="1"/>
    <n v="4"/>
    <x v="1"/>
    <x v="0"/>
    <s v="BW"/>
    <s v="S"/>
    <s v=""/>
    <x v="0"/>
    <x v="3"/>
  </r>
  <r>
    <x v="19"/>
    <x v="19"/>
    <s v="1/1"/>
    <x v="0"/>
    <x v="1"/>
    <n v="4"/>
    <x v="1"/>
    <x v="0"/>
    <s v="BW"/>
    <s v="S"/>
    <s v=""/>
    <x v="0"/>
    <x v="3"/>
  </r>
  <r>
    <x v="19"/>
    <x v="19"/>
    <s v="1/1"/>
    <x v="1"/>
    <x v="1"/>
    <n v="4"/>
    <x v="1"/>
    <x v="0"/>
    <s v="BW"/>
    <s v="S"/>
    <s v=""/>
    <x v="0"/>
    <x v="3"/>
  </r>
  <r>
    <x v="19"/>
    <x v="19"/>
    <s v="1/1"/>
    <x v="2"/>
    <x v="1"/>
    <n v="4"/>
    <x v="1"/>
    <x v="0"/>
    <s v="BW"/>
    <s v="S"/>
    <s v="2025/08/25"/>
    <x v="0"/>
    <x v="0"/>
  </r>
  <r>
    <x v="19"/>
    <x v="19"/>
    <s v="1/1"/>
    <x v="3"/>
    <x v="1"/>
    <n v="4"/>
    <x v="1"/>
    <x v="0"/>
    <s v="BW"/>
    <s v="S"/>
    <s v=""/>
    <x v="0"/>
    <x v="3"/>
  </r>
  <r>
    <x v="19"/>
    <x v="19"/>
    <s v="1/1"/>
    <x v="4"/>
    <x v="1"/>
    <n v="4"/>
    <x v="1"/>
    <x v="0"/>
    <s v="BW"/>
    <s v="S"/>
    <s v="2025/08/25"/>
    <x v="0"/>
    <x v="0"/>
  </r>
  <r>
    <x v="19"/>
    <x v="19"/>
    <s v="1/1"/>
    <x v="5"/>
    <x v="1"/>
    <n v="4"/>
    <x v="1"/>
    <x v="0"/>
    <s v="BW"/>
    <s v="S"/>
    <s v="2025/08/25"/>
    <x v="0"/>
    <x v="0"/>
  </r>
  <r>
    <x v="19"/>
    <x v="19"/>
    <s v="1/1"/>
    <x v="6"/>
    <x v="1"/>
    <n v="4"/>
    <x v="1"/>
    <x v="0"/>
    <s v="BW"/>
    <s v="S"/>
    <s v=""/>
    <x v="0"/>
    <x v="3"/>
  </r>
  <r>
    <x v="20"/>
    <x v="20"/>
    <s v="1/1"/>
    <x v="0"/>
    <x v="1"/>
    <n v="4"/>
    <x v="1"/>
    <x v="0"/>
    <s v="BW"/>
    <s v="S"/>
    <s v=""/>
    <x v="0"/>
    <x v="3"/>
  </r>
  <r>
    <x v="20"/>
    <x v="20"/>
    <s v="1/1"/>
    <x v="1"/>
    <x v="1"/>
    <n v="4"/>
    <x v="1"/>
    <x v="0"/>
    <s v="BW"/>
    <s v="S"/>
    <s v=""/>
    <x v="0"/>
    <x v="3"/>
  </r>
  <r>
    <x v="20"/>
    <x v="20"/>
    <s v="1/1"/>
    <x v="2"/>
    <x v="1"/>
    <n v="4"/>
    <x v="1"/>
    <x v="0"/>
    <s v="BW"/>
    <s v="S"/>
    <s v="2025/08/25"/>
    <x v="0"/>
    <x v="0"/>
  </r>
  <r>
    <x v="20"/>
    <x v="20"/>
    <s v="1/1"/>
    <x v="3"/>
    <x v="1"/>
    <n v="4"/>
    <x v="1"/>
    <x v="0"/>
    <s v="BW"/>
    <s v="S"/>
    <s v="2025/08/25"/>
    <x v="0"/>
    <x v="0"/>
  </r>
  <r>
    <x v="20"/>
    <x v="20"/>
    <s v="1/1"/>
    <x v="4"/>
    <x v="1"/>
    <n v="4"/>
    <x v="1"/>
    <x v="0"/>
    <s v="BW"/>
    <s v="S"/>
    <s v="2025/08/25"/>
    <x v="0"/>
    <x v="0"/>
  </r>
  <r>
    <x v="20"/>
    <x v="20"/>
    <s v="1/1"/>
    <x v="5"/>
    <x v="1"/>
    <n v="4"/>
    <x v="1"/>
    <x v="0"/>
    <s v="BW"/>
    <s v="S"/>
    <s v=""/>
    <x v="0"/>
    <x v="3"/>
  </r>
  <r>
    <x v="20"/>
    <x v="20"/>
    <s v="1/1"/>
    <x v="6"/>
    <x v="1"/>
    <n v="4"/>
    <x v="1"/>
    <x v="0"/>
    <s v="BW"/>
    <s v="S"/>
    <s v="2025/08/25"/>
    <x v="0"/>
    <x v="0"/>
  </r>
  <r>
    <x v="20"/>
    <x v="20"/>
    <s v="1/1"/>
    <x v="7"/>
    <x v="1"/>
    <n v="4"/>
    <x v="1"/>
    <x v="0"/>
    <s v="BW"/>
    <s v="S"/>
    <s v=""/>
    <x v="0"/>
    <x v="3"/>
  </r>
  <r>
    <x v="20"/>
    <x v="20"/>
    <s v="1/1"/>
    <x v="8"/>
    <x v="1"/>
    <n v="4"/>
    <x v="1"/>
    <x v="0"/>
    <s v="BW"/>
    <s v="S"/>
    <s v=""/>
    <x v="0"/>
    <x v="3"/>
  </r>
  <r>
    <x v="20"/>
    <x v="20"/>
    <s v="1/1"/>
    <x v="9"/>
    <x v="1"/>
    <n v="4"/>
    <x v="1"/>
    <x v="0"/>
    <s v="BW"/>
    <s v="S"/>
    <s v="2025/08/25"/>
    <x v="0"/>
    <x v="0"/>
  </r>
  <r>
    <x v="21"/>
    <x v="21"/>
    <s v="1/1"/>
    <x v="0"/>
    <x v="6"/>
    <n v="3"/>
    <x v="1"/>
    <x v="0"/>
    <s v="BW"/>
    <s v="S"/>
    <s v="2025/08/25"/>
    <x v="0"/>
    <x v="0"/>
  </r>
  <r>
    <x v="21"/>
    <x v="21"/>
    <s v="1/1"/>
    <x v="1"/>
    <x v="6"/>
    <n v="3"/>
    <x v="1"/>
    <x v="0"/>
    <s v="BW"/>
    <s v="S"/>
    <s v="2025/08/25"/>
    <x v="0"/>
    <x v="0"/>
  </r>
  <r>
    <x v="21"/>
    <x v="21"/>
    <s v="1/1"/>
    <x v="2"/>
    <x v="6"/>
    <n v="3"/>
    <x v="1"/>
    <x v="0"/>
    <s v="BW"/>
    <s v="S"/>
    <s v=""/>
    <x v="0"/>
    <x v="3"/>
  </r>
  <r>
    <x v="21"/>
    <x v="21"/>
    <s v="1/1"/>
    <x v="3"/>
    <x v="6"/>
    <n v="3"/>
    <x v="1"/>
    <x v="0"/>
    <s v="BW"/>
    <s v="S"/>
    <s v="2025/08/25"/>
    <x v="0"/>
    <x v="0"/>
  </r>
  <r>
    <x v="21"/>
    <x v="21"/>
    <s v="1/1"/>
    <x v="4"/>
    <x v="6"/>
    <n v="3"/>
    <x v="1"/>
    <x v="0"/>
    <s v="BW"/>
    <s v="S"/>
    <s v="2025/08/25"/>
    <x v="0"/>
    <x v="0"/>
  </r>
  <r>
    <x v="21"/>
    <x v="21"/>
    <s v="1/1"/>
    <x v="5"/>
    <x v="6"/>
    <n v="3"/>
    <x v="1"/>
    <x v="0"/>
    <s v="BW"/>
    <s v="S"/>
    <s v=""/>
    <x v="0"/>
    <x v="3"/>
  </r>
  <r>
    <x v="21"/>
    <x v="21"/>
    <s v="1/1"/>
    <x v="6"/>
    <x v="6"/>
    <n v="3"/>
    <x v="1"/>
    <x v="0"/>
    <s v="BW"/>
    <s v="S"/>
    <s v="2025/08/25"/>
    <x v="0"/>
    <x v="0"/>
  </r>
  <r>
    <x v="21"/>
    <x v="21"/>
    <s v="1/1"/>
    <x v="7"/>
    <x v="6"/>
    <n v="3"/>
    <x v="1"/>
    <x v="0"/>
    <s v="BW"/>
    <s v="S"/>
    <s v="2025/08/25"/>
    <x v="0"/>
    <x v="0"/>
  </r>
  <r>
    <x v="21"/>
    <x v="21"/>
    <s v="1/1"/>
    <x v="8"/>
    <x v="6"/>
    <n v="3"/>
    <x v="1"/>
    <x v="0"/>
    <s v="BW"/>
    <s v="S"/>
    <s v="2025/08/25"/>
    <x v="0"/>
    <x v="0"/>
  </r>
  <r>
    <x v="21"/>
    <x v="21"/>
    <s v="1/1"/>
    <x v="9"/>
    <x v="6"/>
    <n v="3"/>
    <x v="1"/>
    <x v="0"/>
    <s v="BW"/>
    <s v="S"/>
    <s v=""/>
    <x v="0"/>
    <x v="3"/>
  </r>
  <r>
    <x v="21"/>
    <x v="21"/>
    <s v="1/1"/>
    <x v="10"/>
    <x v="6"/>
    <n v="3"/>
    <x v="1"/>
    <x v="0"/>
    <s v="BW"/>
    <s v="S"/>
    <s v="2025/08/25"/>
    <x v="0"/>
    <x v="0"/>
  </r>
  <r>
    <x v="21"/>
    <x v="21"/>
    <s v="1/1"/>
    <x v="11"/>
    <x v="6"/>
    <n v="3"/>
    <x v="1"/>
    <x v="0"/>
    <s v="BW"/>
    <s v="S"/>
    <s v="2025/08/25"/>
    <x v="0"/>
    <x v="0"/>
  </r>
  <r>
    <x v="21"/>
    <x v="21"/>
    <s v="1/1"/>
    <x v="12"/>
    <x v="6"/>
    <n v="3"/>
    <x v="1"/>
    <x v="0"/>
    <s v="BW"/>
    <s v="S"/>
    <s v=""/>
    <x v="0"/>
    <x v="3"/>
  </r>
  <r>
    <x v="21"/>
    <x v="21"/>
    <s v="1/1"/>
    <x v="31"/>
    <x v="6"/>
    <n v="3"/>
    <x v="1"/>
    <x v="0"/>
    <s v="BW"/>
    <s v="S"/>
    <s v="2025/08/25"/>
    <x v="0"/>
    <x v="0"/>
  </r>
  <r>
    <x v="21"/>
    <x v="21"/>
    <s v="1/1"/>
    <x v="32"/>
    <x v="6"/>
    <n v="3"/>
    <x v="1"/>
    <x v="0"/>
    <s v="BW"/>
    <s v="S"/>
    <s v="2025/08/25"/>
    <x v="0"/>
    <x v="0"/>
  </r>
  <r>
    <x v="21"/>
    <x v="21"/>
    <s v="1/1"/>
    <x v="33"/>
    <x v="6"/>
    <n v="3"/>
    <x v="1"/>
    <x v="0"/>
    <s v="BW"/>
    <s v="S"/>
    <s v=""/>
    <x v="0"/>
    <x v="3"/>
  </r>
  <r>
    <x v="22"/>
    <x v="22"/>
    <s v="1/1"/>
    <x v="0"/>
    <x v="3"/>
    <n v="8"/>
    <x v="1"/>
    <x v="0"/>
    <s v="BW"/>
    <s v="S"/>
    <s v=""/>
    <x v="0"/>
    <x v="3"/>
  </r>
  <r>
    <x v="22"/>
    <x v="22"/>
    <s v="1/1"/>
    <x v="1"/>
    <x v="3"/>
    <n v="8"/>
    <x v="1"/>
    <x v="0"/>
    <s v="BW"/>
    <s v="S"/>
    <s v="2025/08/25"/>
    <x v="0"/>
    <x v="0"/>
  </r>
  <r>
    <x v="22"/>
    <x v="22"/>
    <s v="1/1"/>
    <x v="2"/>
    <x v="3"/>
    <n v="8"/>
    <x v="1"/>
    <x v="0"/>
    <s v="BW"/>
    <s v="S"/>
    <s v="2025/08/25"/>
    <x v="0"/>
    <x v="0"/>
  </r>
  <r>
    <x v="22"/>
    <x v="22"/>
    <s v="1/1"/>
    <x v="56"/>
    <x v="3"/>
    <n v="8"/>
    <x v="1"/>
    <x v="0"/>
    <s v="FF"/>
    <s v="F"/>
    <s v=""/>
    <x v="2"/>
    <x v="3"/>
  </r>
  <r>
    <x v="22"/>
    <x v="22"/>
    <s v="1/1"/>
    <x v="3"/>
    <x v="3"/>
    <n v="8"/>
    <x v="1"/>
    <x v="0"/>
    <s v="BW"/>
    <s v="S"/>
    <s v=""/>
    <x v="0"/>
    <x v="3"/>
  </r>
  <r>
    <x v="22"/>
    <x v="22"/>
    <s v="1/1"/>
    <x v="4"/>
    <x v="3"/>
    <n v="8"/>
    <x v="1"/>
    <x v="0"/>
    <s v="BW"/>
    <s v="S"/>
    <s v=""/>
    <x v="0"/>
    <x v="3"/>
  </r>
  <r>
    <x v="23"/>
    <x v="23"/>
    <s v="1/1"/>
    <x v="0"/>
    <x v="0"/>
    <n v="6"/>
    <x v="1"/>
    <x v="0"/>
    <s v="BW"/>
    <s v="S"/>
    <s v=""/>
    <x v="0"/>
    <x v="3"/>
  </r>
  <r>
    <x v="23"/>
    <x v="23"/>
    <s v="1/1"/>
    <x v="1"/>
    <x v="0"/>
    <n v="6"/>
    <x v="1"/>
    <x v="0"/>
    <s v="BW"/>
    <s v="S"/>
    <s v="2025/08/25"/>
    <x v="0"/>
    <x v="0"/>
  </r>
  <r>
    <x v="23"/>
    <x v="23"/>
    <s v="1/1"/>
    <x v="2"/>
    <x v="0"/>
    <n v="6"/>
    <x v="1"/>
    <x v="0"/>
    <s v="BW"/>
    <s v="S"/>
    <s v="2025/08/25"/>
    <x v="0"/>
    <x v="0"/>
  </r>
  <r>
    <x v="23"/>
    <x v="23"/>
    <s v="1/1"/>
    <x v="3"/>
    <x v="0"/>
    <n v="6"/>
    <x v="1"/>
    <x v="0"/>
    <s v="BW"/>
    <s v="S"/>
    <s v="2025/08/25"/>
    <x v="0"/>
    <x v="0"/>
  </r>
  <r>
    <x v="23"/>
    <x v="23"/>
    <s v="1/1"/>
    <x v="57"/>
    <x v="0"/>
    <n v="6"/>
    <x v="1"/>
    <x v="0"/>
    <s v="FF"/>
    <s v="F"/>
    <s v=""/>
    <x v="2"/>
    <x v="3"/>
  </r>
  <r>
    <x v="23"/>
    <x v="23"/>
    <s v="1/1"/>
    <x v="4"/>
    <x v="0"/>
    <n v="6"/>
    <x v="1"/>
    <x v="0"/>
    <s v="BW"/>
    <s v="S"/>
    <s v=""/>
    <x v="0"/>
    <x v="3"/>
  </r>
  <r>
    <x v="23"/>
    <x v="23"/>
    <s v="1/1"/>
    <x v="5"/>
    <x v="0"/>
    <n v="6"/>
    <x v="1"/>
    <x v="0"/>
    <s v="BW"/>
    <s v="S"/>
    <s v=""/>
    <x v="0"/>
    <x v="3"/>
  </r>
  <r>
    <x v="23"/>
    <x v="23"/>
    <s v="1/1"/>
    <x v="6"/>
    <x v="0"/>
    <n v="6"/>
    <x v="1"/>
    <x v="0"/>
    <s v="BW"/>
    <s v="S"/>
    <s v="2025/08/25"/>
    <x v="0"/>
    <x v="0"/>
  </r>
  <r>
    <x v="23"/>
    <x v="23"/>
    <s v="1/1"/>
    <x v="7"/>
    <x v="0"/>
    <n v="6"/>
    <x v="1"/>
    <x v="0"/>
    <s v="BW"/>
    <s v="S"/>
    <s v="2025/08/25"/>
    <x v="0"/>
    <x v="0"/>
  </r>
  <r>
    <x v="23"/>
    <x v="23"/>
    <s v="1/1"/>
    <x v="8"/>
    <x v="0"/>
    <n v="6"/>
    <x v="1"/>
    <x v="0"/>
    <s v="BW"/>
    <s v="S"/>
    <s v="2025/08/25"/>
    <x v="0"/>
    <x v="0"/>
  </r>
  <r>
    <x v="23"/>
    <x v="23"/>
    <s v="1/1"/>
    <x v="9"/>
    <x v="0"/>
    <n v="6"/>
    <x v="1"/>
    <x v="0"/>
    <s v="BW"/>
    <s v="S"/>
    <s v="2025/08/25"/>
    <x v="0"/>
    <x v="0"/>
  </r>
  <r>
    <x v="23"/>
    <x v="23"/>
    <s v="1/1"/>
    <x v="10"/>
    <x v="0"/>
    <n v="6"/>
    <x v="1"/>
    <x v="0"/>
    <s v="BW"/>
    <s v="S"/>
    <s v=""/>
    <x v="0"/>
    <x v="3"/>
  </r>
  <r>
    <x v="24"/>
    <x v="24"/>
    <s v="1/1"/>
    <x v="0"/>
    <x v="1"/>
    <n v="4"/>
    <x v="1"/>
    <x v="0"/>
    <s v="BW"/>
    <s v="S"/>
    <s v=""/>
    <x v="0"/>
    <x v="3"/>
  </r>
  <r>
    <x v="24"/>
    <x v="24"/>
    <s v="1/1"/>
    <x v="1"/>
    <x v="1"/>
    <n v="4"/>
    <x v="1"/>
    <x v="0"/>
    <s v="BW"/>
    <s v="S"/>
    <s v="2025/08/25"/>
    <x v="0"/>
    <x v="0"/>
  </r>
  <r>
    <x v="24"/>
    <x v="24"/>
    <s v="1/1"/>
    <x v="2"/>
    <x v="1"/>
    <n v="4"/>
    <x v="1"/>
    <x v="0"/>
    <s v="BW"/>
    <s v="S"/>
    <s v="2025/08/25"/>
    <x v="0"/>
    <x v="0"/>
  </r>
  <r>
    <x v="24"/>
    <x v="24"/>
    <s v="1/1"/>
    <x v="3"/>
    <x v="1"/>
    <n v="4"/>
    <x v="1"/>
    <x v="0"/>
    <s v="BW"/>
    <s v="S"/>
    <s v=""/>
    <x v="0"/>
    <x v="3"/>
  </r>
  <r>
    <x v="24"/>
    <x v="24"/>
    <s v="1/1"/>
    <x v="4"/>
    <x v="1"/>
    <n v="4"/>
    <x v="1"/>
    <x v="0"/>
    <s v="BW"/>
    <s v="S"/>
    <s v="2025/08/25"/>
    <x v="0"/>
    <x v="0"/>
  </r>
  <r>
    <x v="24"/>
    <x v="24"/>
    <s v="1/1"/>
    <x v="5"/>
    <x v="1"/>
    <n v="4"/>
    <x v="1"/>
    <x v="0"/>
    <s v="BW"/>
    <s v="S"/>
    <s v="2025/08/25"/>
    <x v="0"/>
    <x v="0"/>
  </r>
  <r>
    <x v="24"/>
    <x v="24"/>
    <s v="1/1"/>
    <x v="6"/>
    <x v="1"/>
    <n v="4"/>
    <x v="1"/>
    <x v="0"/>
    <s v="BW"/>
    <s v="S"/>
    <s v=""/>
    <x v="0"/>
    <x v="3"/>
  </r>
  <r>
    <x v="24"/>
    <x v="24"/>
    <s v="1/1"/>
    <x v="7"/>
    <x v="1"/>
    <n v="4"/>
    <x v="1"/>
    <x v="0"/>
    <s v="BW"/>
    <s v="S"/>
    <s v="2025/08/25"/>
    <x v="0"/>
    <x v="0"/>
  </r>
  <r>
    <x v="24"/>
    <x v="24"/>
    <s v="1/1"/>
    <x v="8"/>
    <x v="1"/>
    <n v="4"/>
    <x v="1"/>
    <x v="0"/>
    <s v="BW"/>
    <s v="S"/>
    <s v=""/>
    <x v="0"/>
    <x v="3"/>
  </r>
  <r>
    <x v="25"/>
    <x v="25"/>
    <s v="1/1"/>
    <x v="0"/>
    <x v="0"/>
    <n v="6"/>
    <x v="1"/>
    <x v="0"/>
    <s v="BW"/>
    <s v="S"/>
    <s v=""/>
    <x v="0"/>
    <x v="3"/>
  </r>
  <r>
    <x v="25"/>
    <x v="25"/>
    <s v="1/1"/>
    <x v="1"/>
    <x v="0"/>
    <n v="6"/>
    <x v="1"/>
    <x v="0"/>
    <s v="BW"/>
    <s v="S"/>
    <s v="2025/08/25"/>
    <x v="0"/>
    <x v="0"/>
  </r>
  <r>
    <x v="25"/>
    <x v="25"/>
    <s v="1/1"/>
    <x v="58"/>
    <x v="0"/>
    <n v="6"/>
    <x v="1"/>
    <x v="0"/>
    <s v="FF"/>
    <s v="F"/>
    <s v=""/>
    <x v="2"/>
    <x v="3"/>
  </r>
  <r>
    <x v="25"/>
    <x v="25"/>
    <s v="1/1"/>
    <x v="2"/>
    <x v="0"/>
    <n v="6"/>
    <x v="1"/>
    <x v="0"/>
    <s v="BW"/>
    <s v="S"/>
    <s v=""/>
    <x v="0"/>
    <x v="3"/>
  </r>
  <r>
    <x v="25"/>
    <x v="25"/>
    <s v="1/1"/>
    <x v="3"/>
    <x v="0"/>
    <n v="6"/>
    <x v="1"/>
    <x v="0"/>
    <s v="BW"/>
    <s v="S"/>
    <s v=""/>
    <x v="0"/>
    <x v="3"/>
  </r>
  <r>
    <x v="25"/>
    <x v="25"/>
    <s v="1/1"/>
    <x v="4"/>
    <x v="0"/>
    <n v="6"/>
    <x v="1"/>
    <x v="0"/>
    <s v="BW"/>
    <s v="S"/>
    <s v="2025/08/25"/>
    <x v="0"/>
    <x v="0"/>
  </r>
  <r>
    <x v="26"/>
    <x v="26"/>
    <s v="1/1"/>
    <x v="0"/>
    <x v="0"/>
    <n v="6"/>
    <x v="1"/>
    <x v="0"/>
    <s v="BW"/>
    <s v="S"/>
    <s v=""/>
    <x v="0"/>
    <x v="3"/>
  </r>
  <r>
    <x v="26"/>
    <x v="26"/>
    <s v="1/1"/>
    <x v="1"/>
    <x v="0"/>
    <n v="6"/>
    <x v="1"/>
    <x v="0"/>
    <s v="BW"/>
    <s v="S"/>
    <s v="2025/08/25"/>
    <x v="0"/>
    <x v="0"/>
  </r>
  <r>
    <x v="26"/>
    <x v="26"/>
    <s v="1/1"/>
    <x v="2"/>
    <x v="0"/>
    <n v="6"/>
    <x v="1"/>
    <x v="0"/>
    <s v="BW"/>
    <s v="S"/>
    <s v="2025/08/25"/>
    <x v="0"/>
    <x v="0"/>
  </r>
  <r>
    <x v="26"/>
    <x v="26"/>
    <s v="1/1"/>
    <x v="56"/>
    <x v="0"/>
    <n v="6"/>
    <x v="1"/>
    <x v="0"/>
    <s v="FF"/>
    <s v="F"/>
    <s v=""/>
    <x v="2"/>
    <x v="3"/>
  </r>
  <r>
    <x v="26"/>
    <x v="26"/>
    <s v="1/1"/>
    <x v="3"/>
    <x v="0"/>
    <n v="6"/>
    <x v="1"/>
    <x v="0"/>
    <s v="BW"/>
    <s v="S"/>
    <s v=""/>
    <x v="0"/>
    <x v="3"/>
  </r>
  <r>
    <x v="26"/>
    <x v="26"/>
    <s v="1/1"/>
    <x v="4"/>
    <x v="0"/>
    <n v="6"/>
    <x v="1"/>
    <x v="0"/>
    <s v="BW"/>
    <s v="S"/>
    <s v=""/>
    <x v="0"/>
    <x v="3"/>
  </r>
  <r>
    <x v="27"/>
    <x v="27"/>
    <s v="1/1"/>
    <x v="0"/>
    <x v="1"/>
    <n v="4"/>
    <x v="1"/>
    <x v="0"/>
    <s v="BW"/>
    <s v="S"/>
    <s v=""/>
    <x v="0"/>
    <x v="3"/>
  </r>
  <r>
    <x v="27"/>
    <x v="27"/>
    <s v="1/1"/>
    <x v="1"/>
    <x v="1"/>
    <n v="4"/>
    <x v="1"/>
    <x v="0"/>
    <s v="BW"/>
    <s v="S"/>
    <s v="2025/08/25"/>
    <x v="0"/>
    <x v="0"/>
  </r>
  <r>
    <x v="27"/>
    <x v="27"/>
    <s v="1/1"/>
    <x v="2"/>
    <x v="1"/>
    <n v="4"/>
    <x v="1"/>
    <x v="0"/>
    <s v="BW"/>
    <s v="S"/>
    <s v="2025/08/25"/>
    <x v="0"/>
    <x v="0"/>
  </r>
  <r>
    <x v="27"/>
    <x v="27"/>
    <s v="1/1"/>
    <x v="3"/>
    <x v="1"/>
    <n v="4"/>
    <x v="1"/>
    <x v="0"/>
    <s v="BW"/>
    <s v="S"/>
    <s v="2025/08/25"/>
    <x v="0"/>
    <x v="0"/>
  </r>
  <r>
    <x v="27"/>
    <x v="27"/>
    <s v="1/1"/>
    <x v="57"/>
    <x v="1"/>
    <n v="4"/>
    <x v="1"/>
    <x v="0"/>
    <s v="FF"/>
    <s v="F"/>
    <s v=""/>
    <x v="2"/>
    <x v="3"/>
  </r>
  <r>
    <x v="27"/>
    <x v="27"/>
    <s v="1/1"/>
    <x v="4"/>
    <x v="1"/>
    <n v="4"/>
    <x v="1"/>
    <x v="0"/>
    <s v="BW"/>
    <s v="S"/>
    <s v=""/>
    <x v="0"/>
    <x v="3"/>
  </r>
  <r>
    <x v="27"/>
    <x v="27"/>
    <s v="1/1"/>
    <x v="5"/>
    <x v="1"/>
    <n v="4"/>
    <x v="1"/>
    <x v="0"/>
    <s v="BW"/>
    <s v="S"/>
    <s v=""/>
    <x v="0"/>
    <x v="3"/>
  </r>
  <r>
    <x v="27"/>
    <x v="27"/>
    <s v="1/1"/>
    <x v="6"/>
    <x v="1"/>
    <n v="4"/>
    <x v="1"/>
    <x v="0"/>
    <s v="BW"/>
    <s v="S"/>
    <s v="2025/08/25"/>
    <x v="0"/>
    <x v="0"/>
  </r>
  <r>
    <x v="27"/>
    <x v="27"/>
    <s v="1/1"/>
    <x v="7"/>
    <x v="1"/>
    <n v="4"/>
    <x v="1"/>
    <x v="0"/>
    <s v="BW"/>
    <s v="S"/>
    <s v="2025/08/25"/>
    <x v="0"/>
    <x v="0"/>
  </r>
  <r>
    <x v="27"/>
    <x v="27"/>
    <s v="1/1"/>
    <x v="8"/>
    <x v="1"/>
    <n v="4"/>
    <x v="1"/>
    <x v="0"/>
    <s v="BW"/>
    <s v="S"/>
    <s v="2025/08/25"/>
    <x v="0"/>
    <x v="0"/>
  </r>
  <r>
    <x v="27"/>
    <x v="27"/>
    <s v="1/1"/>
    <x v="9"/>
    <x v="1"/>
    <n v="4"/>
    <x v="1"/>
    <x v="0"/>
    <s v="BW"/>
    <s v="S"/>
    <s v=""/>
    <x v="0"/>
    <x v="3"/>
  </r>
  <r>
    <x v="28"/>
    <x v="28"/>
    <s v="1/1"/>
    <x v="0"/>
    <x v="1"/>
    <n v="4"/>
    <x v="1"/>
    <x v="0"/>
    <s v="BW"/>
    <s v="S"/>
    <s v=""/>
    <x v="0"/>
    <x v="3"/>
  </r>
  <r>
    <x v="28"/>
    <x v="28"/>
    <s v="1/1"/>
    <x v="1"/>
    <x v="1"/>
    <n v="4"/>
    <x v="1"/>
    <x v="0"/>
    <s v="BW"/>
    <s v="S"/>
    <s v="2025/08/25"/>
    <x v="0"/>
    <x v="0"/>
  </r>
  <r>
    <x v="28"/>
    <x v="28"/>
    <s v="1/1"/>
    <x v="2"/>
    <x v="1"/>
    <n v="4"/>
    <x v="1"/>
    <x v="0"/>
    <s v="BW"/>
    <s v="S"/>
    <s v=""/>
    <x v="0"/>
    <x v="3"/>
  </r>
  <r>
    <x v="28"/>
    <x v="28"/>
    <s v="1/1"/>
    <x v="3"/>
    <x v="1"/>
    <n v="4"/>
    <x v="1"/>
    <x v="0"/>
    <s v="BW"/>
    <s v="S"/>
    <s v="2025/08/25"/>
    <x v="0"/>
    <x v="0"/>
  </r>
  <r>
    <x v="28"/>
    <x v="28"/>
    <s v="1/1"/>
    <x v="4"/>
    <x v="1"/>
    <n v="4"/>
    <x v="1"/>
    <x v="0"/>
    <s v="BW"/>
    <s v="S"/>
    <s v=""/>
    <x v="0"/>
    <x v="3"/>
  </r>
  <r>
    <x v="29"/>
    <x v="29"/>
    <s v="1/1"/>
    <x v="0"/>
    <x v="1"/>
    <n v="4"/>
    <x v="1"/>
    <x v="0"/>
    <s v="BW"/>
    <s v="S"/>
    <s v=""/>
    <x v="0"/>
    <x v="3"/>
  </r>
  <r>
    <x v="29"/>
    <x v="29"/>
    <s v="1/1"/>
    <x v="1"/>
    <x v="1"/>
    <n v="4"/>
    <x v="1"/>
    <x v="0"/>
    <s v="BW"/>
    <s v="S"/>
    <s v="2025/08/25"/>
    <x v="0"/>
    <x v="0"/>
  </r>
  <r>
    <x v="29"/>
    <x v="29"/>
    <s v="1/1"/>
    <x v="58"/>
    <x v="1"/>
    <n v="4"/>
    <x v="1"/>
    <x v="0"/>
    <s v="FF"/>
    <s v="F"/>
    <s v=""/>
    <x v="2"/>
    <x v="3"/>
  </r>
  <r>
    <x v="29"/>
    <x v="29"/>
    <s v="1/1"/>
    <x v="2"/>
    <x v="1"/>
    <n v="4"/>
    <x v="1"/>
    <x v="0"/>
    <s v="BW"/>
    <s v="S"/>
    <s v=""/>
    <x v="0"/>
    <x v="3"/>
  </r>
  <r>
    <x v="29"/>
    <x v="29"/>
    <s v="1/1"/>
    <x v="3"/>
    <x v="1"/>
    <n v="4"/>
    <x v="1"/>
    <x v="0"/>
    <s v="BW"/>
    <s v="S"/>
    <s v=""/>
    <x v="0"/>
    <x v="3"/>
  </r>
  <r>
    <x v="29"/>
    <x v="29"/>
    <s v="1/1"/>
    <x v="4"/>
    <x v="1"/>
    <n v="4"/>
    <x v="1"/>
    <x v="0"/>
    <s v="BW"/>
    <s v="S"/>
    <s v="2025/08/25"/>
    <x v="0"/>
    <x v="0"/>
  </r>
  <r>
    <x v="29"/>
    <x v="29"/>
    <s v="1/1"/>
    <x v="5"/>
    <x v="1"/>
    <n v="4"/>
    <x v="1"/>
    <x v="0"/>
    <s v="BW"/>
    <s v="S"/>
    <s v="2025/08/25"/>
    <x v="0"/>
    <x v="0"/>
  </r>
  <r>
    <x v="29"/>
    <x v="29"/>
    <s v="1/1"/>
    <x v="6"/>
    <x v="1"/>
    <n v="4"/>
    <x v="1"/>
    <x v="0"/>
    <s v="BW"/>
    <s v="S"/>
    <s v=""/>
    <x v="0"/>
    <x v="3"/>
  </r>
  <r>
    <x v="29"/>
    <x v="29"/>
    <s v="1/1"/>
    <x v="7"/>
    <x v="1"/>
    <n v="4"/>
    <x v="1"/>
    <x v="0"/>
    <s v="BW"/>
    <s v="S"/>
    <s v="2025/08/25"/>
    <x v="0"/>
    <x v="0"/>
  </r>
  <r>
    <x v="30"/>
    <x v="30"/>
    <s v="1/2"/>
    <x v="0"/>
    <x v="7"/>
    <n v="2"/>
    <x v="1"/>
    <x v="0"/>
    <s v="BW"/>
    <s v="S"/>
    <s v="2025/08/25"/>
    <x v="0"/>
    <x v="0"/>
  </r>
  <r>
    <x v="30"/>
    <x v="30"/>
    <s v="1/2"/>
    <x v="1"/>
    <x v="7"/>
    <n v="2"/>
    <x v="1"/>
    <x v="0"/>
    <s v="BW"/>
    <s v="S"/>
    <s v="2025/08/25"/>
    <x v="0"/>
    <x v="0"/>
  </r>
  <r>
    <x v="30"/>
    <x v="30"/>
    <s v="1/2"/>
    <x v="2"/>
    <x v="8"/>
    <n v="1"/>
    <x v="1"/>
    <x v="0"/>
    <s v="BW"/>
    <s v="S"/>
    <s v=""/>
    <x v="0"/>
    <x v="3"/>
  </r>
  <r>
    <x v="30"/>
    <x v="30"/>
    <s v="1/2"/>
    <x v="3"/>
    <x v="7"/>
    <n v="2"/>
    <x v="1"/>
    <x v="0"/>
    <s v="BW"/>
    <s v="S"/>
    <s v="2025/08/25"/>
    <x v="0"/>
    <x v="0"/>
  </r>
  <r>
    <x v="30"/>
    <x v="30"/>
    <s v="1/2"/>
    <x v="4"/>
    <x v="7"/>
    <n v="2"/>
    <x v="1"/>
    <x v="0"/>
    <s v="BW"/>
    <s v="S"/>
    <s v="2025/08/25"/>
    <x v="0"/>
    <x v="0"/>
  </r>
  <r>
    <x v="30"/>
    <x v="30"/>
    <s v="1/2"/>
    <x v="5"/>
    <x v="7"/>
    <n v="2"/>
    <x v="1"/>
    <x v="0"/>
    <s v="BW"/>
    <s v="S"/>
    <s v="2025/08/25"/>
    <x v="0"/>
    <x v="0"/>
  </r>
  <r>
    <x v="30"/>
    <x v="30"/>
    <s v="1/2"/>
    <x v="6"/>
    <x v="7"/>
    <n v="2"/>
    <x v="1"/>
    <x v="0"/>
    <s v="BW"/>
    <s v="S"/>
    <s v="2025/08/25"/>
    <x v="0"/>
    <x v="0"/>
  </r>
  <r>
    <x v="30"/>
    <x v="30"/>
    <s v="1/2"/>
    <x v="7"/>
    <x v="7"/>
    <n v="2"/>
    <x v="1"/>
    <x v="0"/>
    <s v="BW"/>
    <s v="S"/>
    <s v="2025/08/25"/>
    <x v="0"/>
    <x v="0"/>
  </r>
  <r>
    <x v="30"/>
    <x v="30"/>
    <s v="1/2"/>
    <x v="59"/>
    <x v="7"/>
    <n v="2"/>
    <x v="1"/>
    <x v="0"/>
    <s v="FF"/>
    <s v="F"/>
    <s v=""/>
    <x v="2"/>
    <x v="3"/>
  </r>
  <r>
    <x v="30"/>
    <x v="30"/>
    <s v="1/2"/>
    <x v="8"/>
    <x v="8"/>
    <n v="1"/>
    <x v="1"/>
    <x v="0"/>
    <s v="BW"/>
    <s v="S"/>
    <s v=""/>
    <x v="0"/>
    <x v="3"/>
  </r>
  <r>
    <x v="30"/>
    <x v="30"/>
    <s v="1/2"/>
    <x v="9"/>
    <x v="8"/>
    <n v="1"/>
    <x v="1"/>
    <x v="0"/>
    <s v="SW"/>
    <s v="S"/>
    <s v="2025/08/25"/>
    <x v="1"/>
    <x v="0"/>
  </r>
  <r>
    <x v="30"/>
    <x v="30"/>
    <s v="1/2"/>
    <x v="10"/>
    <x v="8"/>
    <n v="1"/>
    <x v="1"/>
    <x v="0"/>
    <s v="SW"/>
    <s v="S"/>
    <s v="2025/08/25"/>
    <x v="1"/>
    <x v="0"/>
  </r>
  <r>
    <x v="30"/>
    <x v="30"/>
    <s v="1/2"/>
    <x v="11"/>
    <x v="8"/>
    <n v="1"/>
    <x v="1"/>
    <x v="0"/>
    <s v="SW"/>
    <s v="S"/>
    <s v="2025/08/25"/>
    <x v="1"/>
    <x v="0"/>
  </r>
  <r>
    <x v="30"/>
    <x v="30"/>
    <s v="1/2"/>
    <x v="12"/>
    <x v="7"/>
    <n v="2"/>
    <x v="1"/>
    <x v="0"/>
    <s v="BW"/>
    <s v="S"/>
    <s v="2025/08/25"/>
    <x v="0"/>
    <x v="0"/>
  </r>
  <r>
    <x v="30"/>
    <x v="30"/>
    <s v="1/2"/>
    <x v="31"/>
    <x v="8"/>
    <n v="1"/>
    <x v="1"/>
    <x v="0"/>
    <s v="BW"/>
    <s v="S"/>
    <s v="2025/08/25"/>
    <x v="0"/>
    <x v="0"/>
  </r>
  <r>
    <x v="30"/>
    <x v="30"/>
    <s v="1/2"/>
    <x v="32"/>
    <x v="8"/>
    <n v="1"/>
    <x v="1"/>
    <x v="0"/>
    <s v="SW"/>
    <s v="S"/>
    <s v="2025/08/25"/>
    <x v="1"/>
    <x v="0"/>
  </r>
  <r>
    <x v="30"/>
    <x v="30"/>
    <s v="1/2"/>
    <x v="33"/>
    <x v="8"/>
    <n v="1"/>
    <x v="1"/>
    <x v="0"/>
    <s v="SW"/>
    <s v="S"/>
    <s v="2025/08/25"/>
    <x v="1"/>
    <x v="0"/>
  </r>
  <r>
    <x v="30"/>
    <x v="30"/>
    <s v="1/2"/>
    <x v="34"/>
    <x v="7"/>
    <n v="2"/>
    <x v="1"/>
    <x v="0"/>
    <s v="BW"/>
    <s v="S"/>
    <s v="2025/08/25"/>
    <x v="0"/>
    <x v="0"/>
  </r>
  <r>
    <x v="30"/>
    <x v="30"/>
    <s v="1/2"/>
    <x v="60"/>
    <x v="7"/>
    <n v="2"/>
    <x v="1"/>
    <x v="0"/>
    <s v="FF"/>
    <s v="F"/>
    <s v=""/>
    <x v="2"/>
    <x v="1"/>
  </r>
  <r>
    <x v="30"/>
    <x v="30"/>
    <s v="1/2"/>
    <x v="61"/>
    <x v="8"/>
    <n v="1"/>
    <x v="1"/>
    <x v="0"/>
    <s v="SW"/>
    <s v="S"/>
    <s v="2025/08/25"/>
    <x v="1"/>
    <x v="0"/>
  </r>
  <r>
    <x v="31"/>
    <x v="31"/>
    <s v="2/2"/>
    <x v="35"/>
    <x v="7"/>
    <n v="2"/>
    <x v="1"/>
    <x v="0"/>
    <s v="BW"/>
    <s v="S"/>
    <s v="2025/08/25"/>
    <x v="0"/>
    <x v="0"/>
  </r>
  <r>
    <x v="31"/>
    <x v="31"/>
    <s v="2/2"/>
    <x v="28"/>
    <x v="7"/>
    <n v="2"/>
    <x v="1"/>
    <x v="0"/>
    <s v="BW"/>
    <s v="S"/>
    <s v="2025/08/25"/>
    <x v="0"/>
    <x v="0"/>
  </r>
  <r>
    <x v="31"/>
    <x v="31"/>
    <s v="2/2"/>
    <x v="29"/>
    <x v="7"/>
    <n v="2"/>
    <x v="1"/>
    <x v="0"/>
    <s v="BW"/>
    <s v="S"/>
    <s v="2025/08/25"/>
    <x v="0"/>
    <x v="0"/>
  </r>
  <r>
    <x v="31"/>
    <x v="31"/>
    <s v="2/2"/>
    <x v="16"/>
    <x v="7"/>
    <n v="2"/>
    <x v="1"/>
    <x v="0"/>
    <s v="BW"/>
    <s v="S"/>
    <s v=""/>
    <x v="0"/>
    <x v="3"/>
  </r>
  <r>
    <x v="31"/>
    <x v="31"/>
    <s v="2/2"/>
    <x v="36"/>
    <x v="7"/>
    <n v="2"/>
    <x v="1"/>
    <x v="0"/>
    <s v="BW"/>
    <s v="S"/>
    <s v=""/>
    <x v="0"/>
    <x v="3"/>
  </r>
  <r>
    <x v="31"/>
    <x v="31"/>
    <s v="2/2"/>
    <x v="37"/>
    <x v="7"/>
    <n v="2"/>
    <x v="1"/>
    <x v="0"/>
    <s v="BW"/>
    <s v="S"/>
    <s v="2025/08/25"/>
    <x v="0"/>
    <x v="0"/>
  </r>
  <r>
    <x v="31"/>
    <x v="31"/>
    <s v="2/2"/>
    <x v="38"/>
    <x v="7"/>
    <n v="2"/>
    <x v="1"/>
    <x v="0"/>
    <s v="BW"/>
    <s v="S"/>
    <s v=""/>
    <x v="0"/>
    <x v="3"/>
  </r>
  <r>
    <x v="31"/>
    <x v="31"/>
    <s v="2/2"/>
    <x v="39"/>
    <x v="7"/>
    <n v="2"/>
    <x v="1"/>
    <x v="0"/>
    <s v="BW"/>
    <s v="S"/>
    <s v="2025/08/25"/>
    <x v="0"/>
    <x v="0"/>
  </r>
  <r>
    <x v="31"/>
    <x v="31"/>
    <s v="2/2"/>
    <x v="41"/>
    <x v="7"/>
    <n v="2"/>
    <x v="1"/>
    <x v="0"/>
    <s v="BW"/>
    <s v="S"/>
    <s v=""/>
    <x v="0"/>
    <x v="3"/>
  </r>
  <r>
    <x v="31"/>
    <x v="31"/>
    <s v="2/2"/>
    <x v="42"/>
    <x v="7"/>
    <n v="2"/>
    <x v="1"/>
    <x v="0"/>
    <s v="BW"/>
    <s v="S"/>
    <s v="2025/08/25"/>
    <x v="0"/>
    <x v="0"/>
  </r>
  <r>
    <x v="31"/>
    <x v="31"/>
    <s v="2/2"/>
    <x v="43"/>
    <x v="7"/>
    <n v="2"/>
    <x v="1"/>
    <x v="0"/>
    <s v="BW"/>
    <s v="S"/>
    <s v=""/>
    <x v="0"/>
    <x v="3"/>
  </r>
  <r>
    <x v="31"/>
    <x v="31"/>
    <s v="2/2"/>
    <x v="44"/>
    <x v="7"/>
    <n v="2"/>
    <x v="1"/>
    <x v="0"/>
    <s v="BW"/>
    <s v="S"/>
    <s v="2025/08/25"/>
    <x v="0"/>
    <x v="0"/>
  </r>
  <r>
    <x v="31"/>
    <x v="31"/>
    <s v="2/2"/>
    <x v="47"/>
    <x v="7"/>
    <n v="2"/>
    <x v="1"/>
    <x v="0"/>
    <s v="BW"/>
    <s v="S"/>
    <s v="2025/08/25"/>
    <x v="0"/>
    <x v="0"/>
  </r>
  <r>
    <x v="31"/>
    <x v="31"/>
    <s v="2/2"/>
    <x v="13"/>
    <x v="7"/>
    <n v="2"/>
    <x v="1"/>
    <x v="0"/>
    <s v="BW"/>
    <s v="S"/>
    <s v="2025/08/25"/>
    <x v="0"/>
    <x v="0"/>
  </r>
  <r>
    <x v="31"/>
    <x v="31"/>
    <s v="2/2"/>
    <x v="14"/>
    <x v="7"/>
    <n v="2"/>
    <x v="1"/>
    <x v="0"/>
    <s v="BW"/>
    <s v="S"/>
    <s v="2025/08/25"/>
    <x v="0"/>
    <x v="0"/>
  </r>
  <r>
    <x v="31"/>
    <x v="31"/>
    <s v="2/2"/>
    <x v="15"/>
    <x v="7"/>
    <n v="2"/>
    <x v="1"/>
    <x v="0"/>
    <s v="BW"/>
    <s v="S"/>
    <s v=""/>
    <x v="0"/>
    <x v="3"/>
  </r>
  <r>
    <x v="31"/>
    <x v="31"/>
    <s v="2/2"/>
    <x v="17"/>
    <x v="7"/>
    <n v="2"/>
    <x v="1"/>
    <x v="0"/>
    <s v="BW"/>
    <s v="S"/>
    <s v="2025/08/25"/>
    <x v="0"/>
    <x v="0"/>
  </r>
  <r>
    <x v="31"/>
    <x v="31"/>
    <s v="2/2"/>
    <x v="18"/>
    <x v="7"/>
    <n v="2"/>
    <x v="1"/>
    <x v="0"/>
    <s v="BW"/>
    <s v="S"/>
    <s v="2025/08/25"/>
    <x v="0"/>
    <x v="0"/>
  </r>
  <r>
    <x v="31"/>
    <x v="31"/>
    <s v="2/2"/>
    <x v="19"/>
    <x v="7"/>
    <n v="2"/>
    <x v="1"/>
    <x v="0"/>
    <s v="BW"/>
    <s v="S"/>
    <s v="2025/08/25"/>
    <x v="0"/>
    <x v="0"/>
  </r>
  <r>
    <x v="31"/>
    <x v="31"/>
    <s v="2/2"/>
    <x v="20"/>
    <x v="7"/>
    <n v="2"/>
    <x v="1"/>
    <x v="0"/>
    <s v="BW"/>
    <s v="S"/>
    <s v="2025/08/25"/>
    <x v="0"/>
    <x v="0"/>
  </r>
  <r>
    <x v="31"/>
    <x v="31"/>
    <s v="2/2"/>
    <x v="21"/>
    <x v="7"/>
    <n v="2"/>
    <x v="1"/>
    <x v="0"/>
    <s v="BW"/>
    <s v="S"/>
    <s v="2025/08/25"/>
    <x v="0"/>
    <x v="0"/>
  </r>
  <r>
    <x v="31"/>
    <x v="31"/>
    <s v="2/2"/>
    <x v="62"/>
    <x v="7"/>
    <n v="2"/>
    <x v="1"/>
    <x v="0"/>
    <s v="FF"/>
    <s v="F"/>
    <s v=""/>
    <x v="2"/>
    <x v="3"/>
  </r>
  <r>
    <x v="32"/>
    <x v="32"/>
    <s v="1/1"/>
    <x v="0"/>
    <x v="7"/>
    <n v="2"/>
    <x v="1"/>
    <x v="0"/>
    <s v="BW"/>
    <s v="S"/>
    <s v="2025/08/25"/>
    <x v="0"/>
    <x v="0"/>
  </r>
  <r>
    <x v="32"/>
    <x v="32"/>
    <s v="1/1"/>
    <x v="1"/>
    <x v="7"/>
    <n v="2"/>
    <x v="1"/>
    <x v="0"/>
    <s v="BW"/>
    <s v="S"/>
    <s v="2025/08/25"/>
    <x v="0"/>
    <x v="0"/>
  </r>
  <r>
    <x v="32"/>
    <x v="32"/>
    <s v="1/1"/>
    <x v="2"/>
    <x v="7"/>
    <n v="2"/>
    <x v="1"/>
    <x v="0"/>
    <s v="BW"/>
    <s v="S"/>
    <s v="2025/08/25"/>
    <x v="0"/>
    <x v="0"/>
  </r>
  <r>
    <x v="32"/>
    <x v="32"/>
    <s v="1/1"/>
    <x v="56"/>
    <x v="7"/>
    <n v="2"/>
    <x v="1"/>
    <x v="0"/>
    <s v="FF"/>
    <s v="F"/>
    <s v=""/>
    <x v="2"/>
    <x v="3"/>
  </r>
  <r>
    <x v="32"/>
    <x v="32"/>
    <s v="1/1"/>
    <x v="3"/>
    <x v="7"/>
    <n v="2"/>
    <x v="1"/>
    <x v="0"/>
    <s v="BW"/>
    <s v="S"/>
    <s v="2025/08/25"/>
    <x v="0"/>
    <x v="0"/>
  </r>
  <r>
    <x v="32"/>
    <x v="32"/>
    <s v="1/1"/>
    <x v="4"/>
    <x v="7"/>
    <n v="2"/>
    <x v="1"/>
    <x v="0"/>
    <s v="BW"/>
    <s v="S"/>
    <s v="2025/08/25"/>
    <x v="0"/>
    <x v="0"/>
  </r>
  <r>
    <x v="32"/>
    <x v="32"/>
    <s v="1/1"/>
    <x v="5"/>
    <x v="7"/>
    <n v="2"/>
    <x v="1"/>
    <x v="0"/>
    <s v="BW"/>
    <s v="S"/>
    <s v="2025/08/25"/>
    <x v="0"/>
    <x v="0"/>
  </r>
  <r>
    <x v="33"/>
    <x v="33"/>
    <s v="1/1"/>
    <x v="0"/>
    <x v="1"/>
    <n v="4"/>
    <x v="1"/>
    <x v="0"/>
    <s v="BW"/>
    <s v="S"/>
    <s v=""/>
    <x v="0"/>
    <x v="3"/>
  </r>
  <r>
    <x v="33"/>
    <x v="33"/>
    <s v="1/1"/>
    <x v="1"/>
    <x v="1"/>
    <n v="4"/>
    <x v="1"/>
    <x v="0"/>
    <s v="BW"/>
    <s v="S"/>
    <s v="2025/08/25"/>
    <x v="0"/>
    <x v="0"/>
  </r>
  <r>
    <x v="33"/>
    <x v="33"/>
    <s v="1/1"/>
    <x v="58"/>
    <x v="1"/>
    <n v="4"/>
    <x v="1"/>
    <x v="0"/>
    <s v="FF"/>
    <s v="F"/>
    <s v=""/>
    <x v="2"/>
    <x v="3"/>
  </r>
  <r>
    <x v="33"/>
    <x v="33"/>
    <s v="1/1"/>
    <x v="2"/>
    <x v="1"/>
    <n v="4"/>
    <x v="1"/>
    <x v="0"/>
    <s v="BW"/>
    <s v="S"/>
    <s v=""/>
    <x v="0"/>
    <x v="3"/>
  </r>
  <r>
    <x v="33"/>
    <x v="33"/>
    <s v="1/1"/>
    <x v="3"/>
    <x v="1"/>
    <n v="4"/>
    <x v="1"/>
    <x v="0"/>
    <s v="BW"/>
    <s v="S"/>
    <s v=""/>
    <x v="0"/>
    <x v="3"/>
  </r>
  <r>
    <x v="33"/>
    <x v="33"/>
    <s v="1/1"/>
    <x v="4"/>
    <x v="1"/>
    <n v="4"/>
    <x v="1"/>
    <x v="0"/>
    <s v="BW"/>
    <s v="S"/>
    <s v="2025/08/25"/>
    <x v="0"/>
    <x v="0"/>
  </r>
  <r>
    <x v="33"/>
    <x v="33"/>
    <s v="1/1"/>
    <x v="5"/>
    <x v="1"/>
    <n v="4"/>
    <x v="1"/>
    <x v="0"/>
    <s v="BW"/>
    <s v="S"/>
    <s v="2025/08/25"/>
    <x v="0"/>
    <x v="0"/>
  </r>
  <r>
    <x v="33"/>
    <x v="33"/>
    <s v="1/1"/>
    <x v="6"/>
    <x v="1"/>
    <n v="4"/>
    <x v="1"/>
    <x v="0"/>
    <s v="BW"/>
    <s v="S"/>
    <s v="2025/08/25"/>
    <x v="0"/>
    <x v="0"/>
  </r>
  <r>
    <x v="34"/>
    <x v="34"/>
    <s v="1/1"/>
    <x v="0"/>
    <x v="7"/>
    <n v="2"/>
    <x v="1"/>
    <x v="0"/>
    <s v="BW"/>
    <s v="S"/>
    <s v="2025/08/25"/>
    <x v="0"/>
    <x v="0"/>
  </r>
  <r>
    <x v="34"/>
    <x v="34"/>
    <s v="1/1"/>
    <x v="1"/>
    <x v="7"/>
    <n v="2"/>
    <x v="1"/>
    <x v="0"/>
    <s v="BW"/>
    <s v="S"/>
    <s v="2025/08/25"/>
    <x v="0"/>
    <x v="0"/>
  </r>
  <r>
    <x v="34"/>
    <x v="34"/>
    <s v="1/1"/>
    <x v="2"/>
    <x v="8"/>
    <n v="1"/>
    <x v="1"/>
    <x v="0"/>
    <s v="BW"/>
    <s v="S"/>
    <s v=""/>
    <x v="0"/>
    <x v="3"/>
  </r>
  <r>
    <x v="34"/>
    <x v="34"/>
    <s v="1/1"/>
    <x v="3"/>
    <x v="8"/>
    <n v="1"/>
    <x v="1"/>
    <x v="0"/>
    <s v="SW"/>
    <s v="S"/>
    <s v="2025/08/25"/>
    <x v="1"/>
    <x v="0"/>
  </r>
  <r>
    <x v="34"/>
    <x v="34"/>
    <s v="1/1"/>
    <x v="4"/>
    <x v="8"/>
    <n v="1"/>
    <x v="1"/>
    <x v="0"/>
    <s v="SW"/>
    <s v="S"/>
    <s v="2025/08/25"/>
    <x v="1"/>
    <x v="0"/>
  </r>
  <r>
    <x v="34"/>
    <x v="34"/>
    <s v="1/1"/>
    <x v="5"/>
    <x v="7"/>
    <n v="2"/>
    <x v="1"/>
    <x v="0"/>
    <s v="BW"/>
    <s v="S"/>
    <s v="2025/08/25"/>
    <x v="0"/>
    <x v="0"/>
  </r>
  <r>
    <x v="34"/>
    <x v="34"/>
    <s v="1/1"/>
    <x v="6"/>
    <x v="7"/>
    <n v="2"/>
    <x v="1"/>
    <x v="0"/>
    <s v="BW"/>
    <s v="S"/>
    <s v="2025/08/25"/>
    <x v="0"/>
    <x v="0"/>
  </r>
  <r>
    <x v="34"/>
    <x v="34"/>
    <s v="1/1"/>
    <x v="7"/>
    <x v="7"/>
    <n v="2"/>
    <x v="1"/>
    <x v="0"/>
    <s v="BW"/>
    <s v="S"/>
    <s v="2025/08/25"/>
    <x v="0"/>
    <x v="0"/>
  </r>
  <r>
    <x v="34"/>
    <x v="34"/>
    <s v="1/1"/>
    <x v="8"/>
    <x v="7"/>
    <n v="2"/>
    <x v="1"/>
    <x v="0"/>
    <s v="BW"/>
    <s v="S"/>
    <s v="2025/08/25"/>
    <x v="0"/>
    <x v="0"/>
  </r>
  <r>
    <x v="34"/>
    <x v="34"/>
    <s v="1/1"/>
    <x v="9"/>
    <x v="7"/>
    <n v="2"/>
    <x v="1"/>
    <x v="0"/>
    <s v="BW"/>
    <s v="S"/>
    <s v="2025/08/25"/>
    <x v="0"/>
    <x v="0"/>
  </r>
  <r>
    <x v="34"/>
    <x v="34"/>
    <s v="1/1"/>
    <x v="63"/>
    <x v="7"/>
    <n v="2"/>
    <x v="1"/>
    <x v="0"/>
    <s v="FF"/>
    <s v="F"/>
    <s v=""/>
    <x v="2"/>
    <x v="3"/>
  </r>
  <r>
    <x v="34"/>
    <x v="34"/>
    <s v="1/1"/>
    <x v="10"/>
    <x v="8"/>
    <n v="1"/>
    <x v="1"/>
    <x v="0"/>
    <s v="BW"/>
    <s v="S"/>
    <s v=""/>
    <x v="0"/>
    <x v="3"/>
  </r>
  <r>
    <x v="34"/>
    <x v="34"/>
    <s v="1/1"/>
    <x v="11"/>
    <x v="8"/>
    <n v="1"/>
    <x v="1"/>
    <x v="0"/>
    <s v="SW"/>
    <s v="S"/>
    <s v="2025/08/25"/>
    <x v="1"/>
    <x v="0"/>
  </r>
  <r>
    <x v="34"/>
    <x v="34"/>
    <s v="1/1"/>
    <x v="12"/>
    <x v="8"/>
    <n v="1"/>
    <x v="1"/>
    <x v="0"/>
    <s v="SW"/>
    <s v="S"/>
    <s v="2025/08/25"/>
    <x v="1"/>
    <x v="0"/>
  </r>
  <r>
    <x v="34"/>
    <x v="34"/>
    <s v="1/1"/>
    <x v="31"/>
    <x v="7"/>
    <n v="2"/>
    <x v="1"/>
    <x v="0"/>
    <s v="BW"/>
    <s v="S"/>
    <s v="2025/08/25"/>
    <x v="0"/>
    <x v="0"/>
  </r>
  <r>
    <x v="34"/>
    <x v="34"/>
    <s v="1/1"/>
    <x v="32"/>
    <x v="8"/>
    <n v="1"/>
    <x v="1"/>
    <x v="0"/>
    <s v="BW"/>
    <s v="S"/>
    <s v="2025/08/25"/>
    <x v="0"/>
    <x v="0"/>
  </r>
  <r>
    <x v="34"/>
    <x v="34"/>
    <s v="1/1"/>
    <x v="33"/>
    <x v="8"/>
    <n v="1"/>
    <x v="1"/>
    <x v="0"/>
    <s v="SW"/>
    <s v="S"/>
    <s v="2025/08/25"/>
    <x v="1"/>
    <x v="0"/>
  </r>
  <r>
    <x v="34"/>
    <x v="34"/>
    <s v="1/1"/>
    <x v="34"/>
    <x v="8"/>
    <n v="1"/>
    <x v="1"/>
    <x v="0"/>
    <s v="SW"/>
    <s v="S"/>
    <s v="2025/08/25"/>
    <x v="1"/>
    <x v="0"/>
  </r>
  <r>
    <x v="34"/>
    <x v="34"/>
    <s v="1/1"/>
    <x v="35"/>
    <x v="7"/>
    <n v="2"/>
    <x v="1"/>
    <x v="0"/>
    <s v="BW"/>
    <s v="S"/>
    <s v="2025/08/25"/>
    <x v="0"/>
    <x v="0"/>
  </r>
  <r>
    <x v="34"/>
    <x v="34"/>
    <s v="1/1"/>
    <x v="28"/>
    <x v="7"/>
    <n v="2"/>
    <x v="1"/>
    <x v="0"/>
    <s v="BW"/>
    <s v="S"/>
    <s v="2025/08/25"/>
    <x v="0"/>
    <x v="0"/>
  </r>
  <r>
    <x v="34"/>
    <x v="34"/>
    <s v="1/1"/>
    <x v="50"/>
    <x v="7"/>
    <n v="2"/>
    <x v="1"/>
    <x v="0"/>
    <s v="FF"/>
    <s v="F"/>
    <s v=""/>
    <x v="2"/>
    <x v="3"/>
  </r>
  <r>
    <x v="34"/>
    <x v="34"/>
    <s v="1/1"/>
    <x v="29"/>
    <x v="7"/>
    <n v="2"/>
    <x v="1"/>
    <x v="0"/>
    <s v="BW"/>
    <s v="S"/>
    <s v="2025/08/25"/>
    <x v="0"/>
    <x v="0"/>
  </r>
  <r>
    <x v="34"/>
    <x v="34"/>
    <s v="1/1"/>
    <x v="16"/>
    <x v="7"/>
    <n v="2"/>
    <x v="1"/>
    <x v="0"/>
    <s v="BW"/>
    <s v="S"/>
    <s v=""/>
    <x v="0"/>
    <x v="3"/>
  </r>
  <r>
    <x v="34"/>
    <x v="34"/>
    <s v="1/1"/>
    <x v="36"/>
    <x v="7"/>
    <n v="2"/>
    <x v="1"/>
    <x v="0"/>
    <s v="BW"/>
    <s v="S"/>
    <s v="2025/08/25"/>
    <x v="0"/>
    <x v="0"/>
  </r>
  <r>
    <x v="35"/>
    <x v="35"/>
    <s v="1/1"/>
    <x v="0"/>
    <x v="3"/>
    <n v="8"/>
    <x v="1"/>
    <x v="0"/>
    <s v="BW"/>
    <s v="S"/>
    <s v=""/>
    <x v="0"/>
    <x v="3"/>
  </r>
  <r>
    <x v="35"/>
    <x v="35"/>
    <s v="1/1"/>
    <x v="1"/>
    <x v="3"/>
    <n v="8"/>
    <x v="1"/>
    <x v="0"/>
    <s v="BW"/>
    <s v="S"/>
    <s v="2025/08/25"/>
    <x v="0"/>
    <x v="0"/>
  </r>
  <r>
    <x v="35"/>
    <x v="35"/>
    <s v="1/1"/>
    <x v="58"/>
    <x v="3"/>
    <n v="8"/>
    <x v="1"/>
    <x v="0"/>
    <s v="FF"/>
    <s v="F"/>
    <s v=""/>
    <x v="2"/>
    <x v="3"/>
  </r>
  <r>
    <x v="35"/>
    <x v="35"/>
    <s v="1/1"/>
    <x v="2"/>
    <x v="3"/>
    <n v="8"/>
    <x v="1"/>
    <x v="0"/>
    <s v="BW"/>
    <s v="S"/>
    <s v=""/>
    <x v="0"/>
    <x v="3"/>
  </r>
  <r>
    <x v="35"/>
    <x v="35"/>
    <s v="1/1"/>
    <x v="3"/>
    <x v="3"/>
    <n v="8"/>
    <x v="1"/>
    <x v="0"/>
    <s v="BW"/>
    <s v="S"/>
    <s v=""/>
    <x v="0"/>
    <x v="3"/>
  </r>
  <r>
    <x v="35"/>
    <x v="35"/>
    <s v="1/1"/>
    <x v="4"/>
    <x v="3"/>
    <n v="8"/>
    <x v="1"/>
    <x v="0"/>
    <s v="BW"/>
    <s v="S"/>
    <s v="2025/08/25"/>
    <x v="0"/>
    <x v="0"/>
  </r>
  <r>
    <x v="35"/>
    <x v="35"/>
    <s v="1/1"/>
    <x v="5"/>
    <x v="3"/>
    <n v="8"/>
    <x v="1"/>
    <x v="0"/>
    <s v="BW"/>
    <s v="S"/>
    <s v="2025/08/25"/>
    <x v="0"/>
    <x v="0"/>
  </r>
  <r>
    <x v="36"/>
    <x v="36"/>
    <s v="1/1"/>
    <x v="0"/>
    <x v="6"/>
    <n v="3"/>
    <x v="1"/>
    <x v="0"/>
    <s v="BW"/>
    <s v="S"/>
    <s v="2025/08/25"/>
    <x v="0"/>
    <x v="0"/>
  </r>
  <r>
    <x v="36"/>
    <x v="36"/>
    <s v="1/1"/>
    <x v="1"/>
    <x v="6"/>
    <n v="3"/>
    <x v="1"/>
    <x v="0"/>
    <s v="BW"/>
    <s v="S"/>
    <s v="2025/08/25"/>
    <x v="0"/>
    <x v="0"/>
  </r>
  <r>
    <x v="36"/>
    <x v="36"/>
    <s v="1/1"/>
    <x v="2"/>
    <x v="6"/>
    <n v="3"/>
    <x v="1"/>
    <x v="0"/>
    <s v="BW"/>
    <s v="S"/>
    <s v=""/>
    <x v="0"/>
    <x v="3"/>
  </r>
  <r>
    <x v="36"/>
    <x v="36"/>
    <s v="1/1"/>
    <x v="3"/>
    <x v="6"/>
    <n v="3"/>
    <x v="1"/>
    <x v="0"/>
    <s v="BW"/>
    <s v="S"/>
    <s v="2025/08/25"/>
    <x v="0"/>
    <x v="0"/>
  </r>
  <r>
    <x v="36"/>
    <x v="36"/>
    <s v="1/1"/>
    <x v="4"/>
    <x v="6"/>
    <n v="3"/>
    <x v="1"/>
    <x v="0"/>
    <s v="BW"/>
    <s v="S"/>
    <s v=""/>
    <x v="0"/>
    <x v="3"/>
  </r>
  <r>
    <x v="36"/>
    <x v="36"/>
    <s v="1/1"/>
    <x v="5"/>
    <x v="6"/>
    <n v="3"/>
    <x v="1"/>
    <x v="0"/>
    <s v="BW"/>
    <s v="S"/>
    <s v="2025/08/25"/>
    <x v="0"/>
    <x v="0"/>
  </r>
  <r>
    <x v="36"/>
    <x v="36"/>
    <s v="1/1"/>
    <x v="6"/>
    <x v="6"/>
    <n v="3"/>
    <x v="1"/>
    <x v="0"/>
    <s v="BW"/>
    <s v="S"/>
    <s v="2025/08/25"/>
    <x v="0"/>
    <x v="0"/>
  </r>
  <r>
    <x v="36"/>
    <x v="36"/>
    <s v="1/1"/>
    <x v="7"/>
    <x v="6"/>
    <n v="3"/>
    <x v="1"/>
    <x v="0"/>
    <s v="BW"/>
    <s v="S"/>
    <s v="2025/08/25"/>
    <x v="0"/>
    <x v="0"/>
  </r>
  <r>
    <x v="36"/>
    <x v="36"/>
    <s v="1/1"/>
    <x v="8"/>
    <x v="6"/>
    <n v="3"/>
    <x v="1"/>
    <x v="0"/>
    <s v="BW"/>
    <s v="S"/>
    <s v="2025/08/25"/>
    <x v="0"/>
    <x v="0"/>
  </r>
  <r>
    <x v="36"/>
    <x v="36"/>
    <s v="1/1"/>
    <x v="46"/>
    <x v="6"/>
    <n v="3"/>
    <x v="1"/>
    <x v="0"/>
    <s v="FF"/>
    <s v="F"/>
    <s v=""/>
    <x v="2"/>
    <x v="3"/>
  </r>
  <r>
    <x v="36"/>
    <x v="36"/>
    <s v="1/1"/>
    <x v="9"/>
    <x v="6"/>
    <n v="3"/>
    <x v="1"/>
    <x v="0"/>
    <s v="BW"/>
    <s v="S"/>
    <s v="2025/08/25"/>
    <x v="0"/>
    <x v="0"/>
  </r>
  <r>
    <x v="36"/>
    <x v="36"/>
    <s v="1/1"/>
    <x v="10"/>
    <x v="6"/>
    <n v="3"/>
    <x v="1"/>
    <x v="0"/>
    <s v="BW"/>
    <s v="S"/>
    <s v="2025/08/25"/>
    <x v="0"/>
    <x v="0"/>
  </r>
  <r>
    <x v="36"/>
    <x v="36"/>
    <s v="1/1"/>
    <x v="11"/>
    <x v="6"/>
    <n v="3"/>
    <x v="1"/>
    <x v="0"/>
    <s v="BW"/>
    <s v="S"/>
    <s v="2025/08/25"/>
    <x v="0"/>
    <x v="0"/>
  </r>
  <r>
    <x v="36"/>
    <x v="36"/>
    <s v="1/1"/>
    <x v="12"/>
    <x v="6"/>
    <n v="3"/>
    <x v="1"/>
    <x v="0"/>
    <s v="BW"/>
    <s v="S"/>
    <s v="2025/08/25"/>
    <x v="0"/>
    <x v="0"/>
  </r>
  <r>
    <x v="36"/>
    <x v="36"/>
    <s v="1/1"/>
    <x v="31"/>
    <x v="6"/>
    <n v="3"/>
    <x v="1"/>
    <x v="0"/>
    <s v="BW"/>
    <s v="S"/>
    <s v="2025/08/25"/>
    <x v="0"/>
    <x v="0"/>
  </r>
  <r>
    <x v="36"/>
    <x v="36"/>
    <s v="1/1"/>
    <x v="54"/>
    <x v="6"/>
    <n v="3"/>
    <x v="1"/>
    <x v="0"/>
    <s v="FF"/>
    <s v="F"/>
    <s v=""/>
    <x v="2"/>
    <x v="3"/>
  </r>
  <r>
    <x v="36"/>
    <x v="36"/>
    <s v="1/1"/>
    <x v="32"/>
    <x v="6"/>
    <n v="3"/>
    <x v="1"/>
    <x v="0"/>
    <s v="BW"/>
    <s v="S"/>
    <s v="2025/08/25"/>
    <x v="0"/>
    <x v="0"/>
  </r>
  <r>
    <x v="37"/>
    <x v="37"/>
    <s v="1/1"/>
    <x v="0"/>
    <x v="0"/>
    <n v="6"/>
    <x v="1"/>
    <x v="0"/>
    <s v="BW"/>
    <s v="S"/>
    <s v=""/>
    <x v="0"/>
    <x v="3"/>
  </r>
  <r>
    <x v="37"/>
    <x v="37"/>
    <s v="1/1"/>
    <x v="1"/>
    <x v="0"/>
    <n v="6"/>
    <x v="1"/>
    <x v="0"/>
    <s v="BW"/>
    <s v="S"/>
    <s v="2025/08/25"/>
    <x v="0"/>
    <x v="0"/>
  </r>
  <r>
    <x v="38"/>
    <x v="38"/>
    <s v="1/1"/>
    <x v="0"/>
    <x v="7"/>
    <n v="2"/>
    <x v="1"/>
    <x v="0"/>
    <s v="BW"/>
    <s v="S"/>
    <s v="2025/08/25"/>
    <x v="0"/>
    <x v="0"/>
  </r>
  <r>
    <x v="38"/>
    <x v="38"/>
    <s v="1/1"/>
    <x v="1"/>
    <x v="7"/>
    <n v="2"/>
    <x v="1"/>
    <x v="0"/>
    <s v="BW"/>
    <s v="S"/>
    <s v="2025/08/25"/>
    <x v="0"/>
    <x v="0"/>
  </r>
  <r>
    <x v="38"/>
    <x v="38"/>
    <s v="1/1"/>
    <x v="2"/>
    <x v="7"/>
    <n v="2"/>
    <x v="1"/>
    <x v="0"/>
    <s v="BW"/>
    <s v="S"/>
    <s v=""/>
    <x v="0"/>
    <x v="3"/>
  </r>
  <r>
    <x v="39"/>
    <x v="39"/>
    <m/>
    <x v="64"/>
    <x v="9"/>
    <m/>
    <x v="3"/>
    <x v="2"/>
    <m/>
    <m/>
    <m/>
    <x v="2"/>
    <x v="3"/>
  </r>
  <r>
    <x v="39"/>
    <x v="39"/>
    <m/>
    <x v="64"/>
    <x v="9"/>
    <m/>
    <x v="3"/>
    <x v="2"/>
    <m/>
    <m/>
    <m/>
    <x v="2"/>
    <x v="3"/>
  </r>
  <r>
    <x v="39"/>
    <x v="39"/>
    <m/>
    <x v="64"/>
    <x v="9"/>
    <m/>
    <x v="3"/>
    <x v="2"/>
    <m/>
    <m/>
    <m/>
    <x v="2"/>
    <x v="3"/>
  </r>
  <r>
    <x v="39"/>
    <x v="39"/>
    <m/>
    <x v="64"/>
    <x v="9"/>
    <m/>
    <x v="3"/>
    <x v="2"/>
    <m/>
    <m/>
    <m/>
    <x v="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84">
  <r>
    <n v="1"/>
    <s v="(UG)FO-90401-S1P1FU-01"/>
    <s v="1/2"/>
    <n v="1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s v="已完成"/>
    <n v="1"/>
  </r>
  <r>
    <n v="1"/>
    <s v="(UG)FO-90401-S1P1FU-01"/>
    <s v="1/2"/>
    <n v="2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s v="已完成"/>
    <n v="1"/>
  </r>
  <r>
    <n v="1"/>
    <s v="(UG)FO-90401-S1P1FU-01"/>
    <s v="1/2"/>
    <n v="3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s v="已完成"/>
    <n v="1"/>
  </r>
  <r>
    <n v="1"/>
    <s v="(UG)FO-90401-S1P1FU-01"/>
    <s v="1/2"/>
    <n v="4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5"/>
    <x v="0"/>
    <n v="6"/>
    <x v="0"/>
    <x v="0"/>
    <x v="0"/>
    <s v="S"/>
    <x v="1"/>
    <s v="VV"/>
    <x v="1"/>
    <x v="0"/>
    <m/>
    <m/>
    <s v="\\192.168.1.50\3勝一\SE-37(彰濱)\01.工程圖面\01.ISO\ISO\1.(UG)FO-90401-S1P1FU-01.pdf"/>
    <m/>
    <n v="1"/>
  </r>
  <r>
    <n v="1"/>
    <s v="(UG)FO-90401-S1P1FU-01"/>
    <s v="1/2"/>
    <n v="6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7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8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9"/>
    <x v="0"/>
    <n v="6"/>
    <x v="0"/>
    <x v="0"/>
    <x v="0"/>
    <s v="S"/>
    <x v="1"/>
    <s v="VV"/>
    <x v="1"/>
    <x v="0"/>
    <m/>
    <m/>
    <s v="\\192.168.1.50\3勝一\SE-37(彰濱)\01.工程圖面\01.ISO\ISO\1.(UG)FO-90401-S1P1FU-01.pdf"/>
    <m/>
    <n v="1"/>
  </r>
  <r>
    <n v="1"/>
    <s v="(UG)FO-90401-S1P1FU-01"/>
    <s v="1/2"/>
    <n v="10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11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12"/>
    <x v="0"/>
    <n v="6"/>
    <x v="0"/>
    <x v="0"/>
    <x v="0"/>
    <s v="S"/>
    <x v="2"/>
    <s v="VV"/>
    <x v="2"/>
    <x v="0"/>
    <m/>
    <m/>
    <s v="\\192.168.1.50\3勝一\SE-37(彰濱)\01.工程圖面\01.ISO\ISO\1.(UG)FO-90401-S1P1FU-01.pdf"/>
    <m/>
    <n v="1"/>
  </r>
  <r>
    <n v="1"/>
    <s v="(UG)FO-90401-S1P1FU-01"/>
    <s v="1/2"/>
    <n v="13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31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n v="1"/>
    <s v="(UG)FO-90401-S1P1FU-01"/>
    <s v="1/2"/>
    <n v="32"/>
    <x v="0"/>
    <n v="6"/>
    <x v="0"/>
    <x v="0"/>
    <x v="0"/>
    <s v="S"/>
    <x v="2"/>
    <s v="VV"/>
    <x v="2"/>
    <x v="0"/>
    <m/>
    <m/>
    <s v="\\192.168.1.50\3勝一\SE-37(彰濱)\01.工程圖面\01.ISO\ISO\1.(UG)FO-90401-S1P1FU-01.pdf"/>
    <m/>
    <n v="1"/>
  </r>
  <r>
    <n v="1"/>
    <s v="(UG)FO-90401-S1P1FU-01"/>
    <s v="1/2"/>
    <n v="33"/>
    <x v="0"/>
    <n v="6"/>
    <x v="0"/>
    <x v="0"/>
    <x v="0"/>
    <s v="S"/>
    <x v="0"/>
    <s v="VV"/>
    <x v="0"/>
    <x v="0"/>
    <m/>
    <m/>
    <s v="\\192.168.1.50\3勝一\SE-37(彰濱)\01.工程圖面\01.ISO\ISO\1.(UG)FO-90401-S1P1FU-01.pdf"/>
    <m/>
    <n v="1"/>
  </r>
  <r>
    <s v="1-1"/>
    <s v="(UG)FO-90401-S1P1FU-02"/>
    <s v="2/2"/>
    <n v="21"/>
    <x v="0"/>
    <n v="6"/>
    <x v="0"/>
    <x v="0"/>
    <x v="0"/>
    <s v="S"/>
    <x v="0"/>
    <s v="VV"/>
    <x v="0"/>
    <x v="0"/>
    <m/>
    <m/>
    <s v="\\192.168.1.50\3勝一\SE-37(彰濱)\01.工程圖面\01.ISO\ISO\1-1.(UG)FO-90401-S1P1FU-02.pdf"/>
    <m/>
    <n v="1"/>
  </r>
  <r>
    <s v="1-1"/>
    <s v="(UG)FO-90401-S1P1FU-02"/>
    <s v="2/2"/>
    <n v="34"/>
    <x v="0"/>
    <n v="6"/>
    <x v="0"/>
    <x v="0"/>
    <x v="0"/>
    <s v="S"/>
    <x v="0"/>
    <s v="VV"/>
    <x v="0"/>
    <x v="0"/>
    <m/>
    <m/>
    <s v="\\192.168.1.50\3勝一\SE-37(彰濱)\01.工程圖面\01.ISO\ISO\1-1.(UG)FO-90401-S1P1FU-02.pdf"/>
    <m/>
    <n v="1"/>
  </r>
  <r>
    <s v="1-1"/>
    <s v="(UG)FO-90401-S1P1FU-02"/>
    <s v="2/2"/>
    <n v="35"/>
    <x v="0"/>
    <n v="6"/>
    <x v="0"/>
    <x v="0"/>
    <x v="0"/>
    <s v="S"/>
    <x v="0"/>
    <s v="VV"/>
    <x v="0"/>
    <x v="0"/>
    <m/>
    <m/>
    <s v="\\192.168.1.50\3勝一\SE-37(彰濱)\01.工程圖面\01.ISO\ISO\1-1.(UG)FO-90401-S1P1FU-02.pdf"/>
    <m/>
    <n v="1"/>
  </r>
  <r>
    <s v="1-1"/>
    <s v="(UG)FO-90401-S1P1FU-02"/>
    <s v="2/2"/>
    <n v="36"/>
    <x v="0"/>
    <n v="6"/>
    <x v="0"/>
    <x v="0"/>
    <x v="0"/>
    <s v="S"/>
    <x v="2"/>
    <s v="VV"/>
    <x v="2"/>
    <x v="0"/>
    <m/>
    <m/>
    <s v="\\192.168.1.50\3勝一\SE-37(彰濱)\01.工程圖面\01.ISO\ISO\1-1.(UG)FO-90401-S1P1FU-02.pdf"/>
    <m/>
    <n v="1"/>
  </r>
  <r>
    <s v="1-1"/>
    <s v="(UG)FO-90401-S1P1FU-02"/>
    <s v="2/2"/>
    <n v="37"/>
    <x v="1"/>
    <n v="4"/>
    <x v="0"/>
    <x v="0"/>
    <x v="0"/>
    <s v="S"/>
    <x v="2"/>
    <s v="VV"/>
    <x v="2"/>
    <x v="0"/>
    <m/>
    <m/>
    <s v="\\192.168.1.50\3勝一\SE-37(彰濱)\01.工程圖面\01.ISO\ISO\1-1.(UG)FO-90401-S1P1FU-02.pdf"/>
    <m/>
    <n v="1"/>
  </r>
  <r>
    <s v="1-1"/>
    <s v="(UG)FO-90401-S1P1FU-02"/>
    <s v="2/2"/>
    <n v="38"/>
    <x v="2"/>
    <n v="1.5"/>
    <x v="1"/>
    <x v="0"/>
    <x v="1"/>
    <s v="S"/>
    <x v="0"/>
    <s v="V"/>
    <x v="0"/>
    <x v="0"/>
    <m/>
    <m/>
    <s v="\\192.168.1.50\3勝一\SE-37(彰濱)\01.工程圖面\01.ISO\ISO\1-1.(UG)FO-90401-S1P1FU-02.pdf"/>
    <s v="已完成"/>
    <n v="1"/>
  </r>
  <r>
    <s v="1-1"/>
    <s v="(UG)FO-90401-S1P1FU-02"/>
    <s v="2/2"/>
    <n v="39"/>
    <x v="1"/>
    <n v="4"/>
    <x v="0"/>
    <x v="0"/>
    <x v="0"/>
    <s v="S"/>
    <x v="0"/>
    <s v="VV"/>
    <x v="0"/>
    <x v="0"/>
    <m/>
    <m/>
    <s v="\\192.168.1.50\3勝一\SE-37(彰濱)\01.工程圖面\01.ISO\ISO\1-1.(UG)FO-90401-S1P1FU-02.pdf"/>
    <s v="已完成"/>
    <n v="1"/>
  </r>
  <r>
    <s v="1-1"/>
    <s v="(UG)FO-90401-S1P1FU-02"/>
    <s v="2/2"/>
    <s v="39V"/>
    <x v="1"/>
    <n v="4"/>
    <x v="0"/>
    <x v="0"/>
    <x v="2"/>
    <s v="F"/>
    <x v="3"/>
    <m/>
    <x v="3"/>
    <x v="0"/>
    <m/>
    <e v="#REF!"/>
    <s v="\\192.168.1.50\3勝一\SE-37(彰濱)\01.工程圖面\01.ISO\ISO\1-1.(UG)FO-90401-S1P1FU-02.pdf"/>
    <s v="未完成"/>
    <n v="1"/>
  </r>
  <r>
    <s v="1-1"/>
    <s v="(UG)FO-90401-S1P1FU-02"/>
    <s v="2/2"/>
    <n v="40"/>
    <x v="2"/>
    <n v="1.5"/>
    <x v="1"/>
    <x v="0"/>
    <x v="3"/>
    <s v="S"/>
    <x v="0"/>
    <s v="V"/>
    <x v="0"/>
    <x v="0"/>
    <m/>
    <m/>
    <s v="\\192.168.1.50\3勝一\SE-37(彰濱)\01.工程圖面\01.ISO\ISO\1-1.(UG)FO-90401-S1P1FU-02.pdf"/>
    <s v="已完成"/>
    <n v="1"/>
  </r>
  <r>
    <s v="1-1"/>
    <s v="(UG)FO-90401-S1P1FU-02"/>
    <s v="2/2"/>
    <n v="41"/>
    <x v="2"/>
    <n v="1.5"/>
    <x v="1"/>
    <x v="0"/>
    <x v="3"/>
    <s v="S"/>
    <x v="0"/>
    <s v="V"/>
    <x v="0"/>
    <x v="0"/>
    <m/>
    <m/>
    <s v="\\192.168.1.50\3勝一\SE-37(彰濱)\01.工程圖面\01.ISO\ISO\1-1.(UG)FO-90401-S1P1FU-02.pdf"/>
    <s v="已完成"/>
    <n v="1"/>
  </r>
  <r>
    <s v="1-1"/>
    <s v="(UG)FO-90401-S1P1FU-02"/>
    <s v="2/2"/>
    <n v="42"/>
    <x v="2"/>
    <n v="1.5"/>
    <x v="1"/>
    <x v="0"/>
    <x v="3"/>
    <s v="S"/>
    <x v="0"/>
    <s v="V"/>
    <x v="0"/>
    <x v="0"/>
    <m/>
    <m/>
    <s v="\\192.168.1.50\3勝一\SE-37(彰濱)\01.工程圖面\01.ISO\ISO\1-1.(UG)FO-90401-S1P1FU-02.pdf"/>
    <s v="已完成"/>
    <n v="1"/>
  </r>
  <r>
    <s v="1-1"/>
    <s v="(UG)FO-90401-S1P1FU-02"/>
    <s v="2/2"/>
    <n v="43"/>
    <x v="2"/>
    <n v="1.5"/>
    <x v="1"/>
    <x v="0"/>
    <x v="4"/>
    <s v="F"/>
    <x v="3"/>
    <m/>
    <x v="3"/>
    <x v="0"/>
    <m/>
    <e v="#REF!"/>
    <s v="\\192.168.1.50\3勝一\SE-37(彰濱)\01.工程圖面\01.ISO\ISO\1-1.(UG)FO-90401-S1P1FU-02.pdf"/>
    <s v="未完成"/>
    <n v="1"/>
  </r>
  <r>
    <n v="2"/>
    <s v="(UG)FO-90401.-S1P1FU-01"/>
    <s v="1/2"/>
    <n v="1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n v="2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n v="3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n v="4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n v="5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n v="6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n v="7"/>
    <x v="0"/>
    <n v="6"/>
    <x v="0"/>
    <x v="0"/>
    <x v="0"/>
    <s v="S"/>
    <x v="4"/>
    <s v="VV"/>
    <x v="4"/>
    <x v="0"/>
    <m/>
    <e v="#REF!"/>
    <s v="\\192.168.1.50\3勝一\SE-37(彰濱)\01.工程圖面\01.ISO\ISO\2.(UG)FO-90401.-S1P1FU-01.pdf"/>
    <s v="已完成"/>
    <n v="1"/>
  </r>
  <r>
    <n v="2"/>
    <s v="(UG)FO-90401.-S1P1FU-01"/>
    <s v="1/2"/>
    <n v="19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n v="20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m/>
    <n v="1"/>
  </r>
  <r>
    <n v="2"/>
    <s v="(UG)FO-90401.-S1P1FU-01"/>
    <s v="1/2"/>
    <s v="20V"/>
    <x v="0"/>
    <n v="6"/>
    <x v="0"/>
    <x v="0"/>
    <x v="2"/>
    <s v="F"/>
    <x v="3"/>
    <m/>
    <x v="3"/>
    <x v="0"/>
    <m/>
    <e v="#REF!"/>
    <s v="\\192.168.1.50\3勝一\SE-37(彰濱)\01.工程圖面\01.ISO\ISO\2.(UG)FO-90401.-S1P1FU-01.pdf"/>
    <s v="未完成"/>
    <n v="1"/>
  </r>
  <r>
    <n v="2"/>
    <s v="(UG)FO-90401.-S1P1FU-01"/>
    <s v="1/2"/>
    <n v="21"/>
    <x v="0"/>
    <n v="6"/>
    <x v="0"/>
    <x v="0"/>
    <x v="0"/>
    <s v="S"/>
    <x v="0"/>
    <s v="VV"/>
    <x v="0"/>
    <x v="0"/>
    <m/>
    <m/>
    <s v="\\192.168.1.50\3勝一\SE-37(彰濱)\01.工程圖面\01.ISO\ISO\2.(UG)FO-90401.-S1P1FU-01.pdf"/>
    <s v="已完成"/>
    <n v="1"/>
  </r>
  <r>
    <n v="3"/>
    <s v="(UG)FO-90401.-S1P1FU-02"/>
    <s v="2/2"/>
    <n v="8"/>
    <x v="0"/>
    <n v="6"/>
    <x v="0"/>
    <x v="0"/>
    <x v="0"/>
    <s v="S"/>
    <x v="4"/>
    <s v="VV"/>
    <x v="4"/>
    <x v="0"/>
    <m/>
    <m/>
    <s v="\\192.168.1.50\3勝一\SE-37(彰濱)\01.工程圖面\01.ISO\ISO\3.(UG)FO-90401.-S1P1FU-02.pdf"/>
    <m/>
    <n v="1"/>
  </r>
  <r>
    <n v="3"/>
    <s v="(UG)FO-90401.-S1P1FU-02"/>
    <s v="2/2"/>
    <n v="9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10"/>
    <x v="0"/>
    <n v="6"/>
    <x v="0"/>
    <x v="0"/>
    <x v="0"/>
    <s v="S"/>
    <x v="4"/>
    <s v="VV"/>
    <x v="4"/>
    <x v="0"/>
    <m/>
    <m/>
    <s v="\\192.168.1.50\3勝一\SE-37(彰濱)\01.工程圖面\01.ISO\ISO\3.(UG)FO-90401.-S1P1FU-02.pdf"/>
    <m/>
    <n v="1"/>
  </r>
  <r>
    <n v="3"/>
    <s v="(UG)FO-90401.-S1P1FU-02"/>
    <s v="2/2"/>
    <n v="11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12"/>
    <x v="0"/>
    <n v="6"/>
    <x v="0"/>
    <x v="0"/>
    <x v="0"/>
    <s v="S"/>
    <x v="4"/>
    <s v="VV"/>
    <x v="4"/>
    <x v="0"/>
    <m/>
    <m/>
    <s v="\\192.168.1.50\3勝一\SE-37(彰濱)\01.工程圖面\01.ISO\ISO\3.(UG)FO-90401.-S1P1FU-02.pdf"/>
    <m/>
    <n v="1"/>
  </r>
  <r>
    <n v="3"/>
    <s v="(UG)FO-90401.-S1P1FU-02"/>
    <s v="2/2"/>
    <n v="13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14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15"/>
    <x v="0"/>
    <n v="6"/>
    <x v="0"/>
    <x v="0"/>
    <x v="0"/>
    <s v="S"/>
    <x v="4"/>
    <s v="VV"/>
    <x v="4"/>
    <x v="0"/>
    <m/>
    <m/>
    <s v="\\192.168.1.50\3勝一\SE-37(彰濱)\01.工程圖面\01.ISO\ISO\3.(UG)FO-90401.-S1P1FU-02.pdf"/>
    <m/>
    <n v="1"/>
  </r>
  <r>
    <n v="3"/>
    <s v="(UG)FO-90401.-S1P1FU-02"/>
    <s v="2/2"/>
    <n v="16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17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18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22"/>
    <x v="0"/>
    <n v="6"/>
    <x v="0"/>
    <x v="0"/>
    <x v="0"/>
    <s v="S"/>
    <x v="0"/>
    <s v="VV"/>
    <x v="0"/>
    <x v="0"/>
    <m/>
    <m/>
    <s v="\\192.168.1.50\3勝一\SE-37(彰濱)\01.工程圖面\01.ISO\ISO\3.(UG)FO-90401.-S1P1FU-02.pdf"/>
    <m/>
    <n v="1"/>
  </r>
  <r>
    <n v="3"/>
    <s v="(UG)FO-90401.-S1P1FU-02"/>
    <s v="2/2"/>
    <n v="23"/>
    <x v="1"/>
    <n v="4"/>
    <x v="0"/>
    <x v="0"/>
    <x v="0"/>
    <s v="S"/>
    <x v="4"/>
    <s v="VV"/>
    <x v="4"/>
    <x v="0"/>
    <m/>
    <e v="#REF!"/>
    <s v="\\192.168.1.50\3勝一\SE-37(彰濱)\01.工程圖面\01.ISO\ISO\3.(UG)FO-90401.-S1P1FU-02.pdf"/>
    <s v="已完成"/>
    <n v="1"/>
  </r>
  <r>
    <n v="3"/>
    <s v="(UG)FO-90401.-S1P1FU-02"/>
    <s v="2/2"/>
    <n v="24"/>
    <x v="2"/>
    <n v="1.5"/>
    <x v="1"/>
    <x v="0"/>
    <x v="1"/>
    <s v="S"/>
    <x v="0"/>
    <s v="V"/>
    <x v="0"/>
    <x v="0"/>
    <m/>
    <m/>
    <s v="\\192.168.1.50\3勝一\SE-37(彰濱)\01.工程圖面\01.ISO\ISO\3.(UG)FO-90401.-S1P1FU-02.pdf"/>
    <s v="已完成"/>
    <n v="1"/>
  </r>
  <r>
    <n v="3"/>
    <s v="(UG)FO-90401.-S1P1FU-02"/>
    <s v="2/2"/>
    <n v="25"/>
    <x v="1"/>
    <n v="4"/>
    <x v="0"/>
    <x v="0"/>
    <x v="0"/>
    <s v="S"/>
    <x v="0"/>
    <s v="VV"/>
    <x v="0"/>
    <x v="0"/>
    <m/>
    <m/>
    <s v="\\192.168.1.50\3勝一\SE-37(彰濱)\01.工程圖面\01.ISO\ISO\3.(UG)FO-90401.-S1P1FU-02.pdf"/>
    <s v="已完成"/>
    <n v="1"/>
  </r>
  <r>
    <n v="3"/>
    <s v="(UG)FO-90401.-S1P1FU-02"/>
    <s v="2/2"/>
    <s v="25V"/>
    <x v="1"/>
    <n v="4"/>
    <x v="0"/>
    <x v="0"/>
    <x v="2"/>
    <s v="F"/>
    <x v="3"/>
    <m/>
    <x v="3"/>
    <x v="0"/>
    <m/>
    <e v="#REF!"/>
    <s v="\\192.168.1.50\3勝一\SE-37(彰濱)\01.工程圖面\01.ISO\ISO\3.(UG)FO-90401.-S1P1FU-02.pdf"/>
    <s v="未完成"/>
    <n v="1"/>
  </r>
  <r>
    <n v="3"/>
    <s v="(UG)FO-90401.-S1P1FU-02"/>
    <s v="2/2"/>
    <n v="26"/>
    <x v="2"/>
    <n v="1.5"/>
    <x v="1"/>
    <x v="0"/>
    <x v="3"/>
    <s v="S"/>
    <x v="0"/>
    <s v="V"/>
    <x v="0"/>
    <x v="0"/>
    <m/>
    <m/>
    <s v="\\192.168.1.50\3勝一\SE-37(彰濱)\01.工程圖面\01.ISO\ISO\3.(UG)FO-90401.-S1P1FU-02.pdf"/>
    <s v="已完成"/>
    <n v="1"/>
  </r>
  <r>
    <n v="3"/>
    <s v="(UG)FO-90401.-S1P1FU-02"/>
    <s v="2/2"/>
    <n v="27"/>
    <x v="2"/>
    <n v="1.5"/>
    <x v="1"/>
    <x v="0"/>
    <x v="3"/>
    <s v="S"/>
    <x v="0"/>
    <s v="V"/>
    <x v="0"/>
    <x v="0"/>
    <m/>
    <m/>
    <s v="\\192.168.1.50\3勝一\SE-37(彰濱)\01.工程圖面\01.ISO\ISO\3.(UG)FO-90401.-S1P1FU-02.pdf"/>
    <s v="已完成"/>
    <n v="1"/>
  </r>
  <r>
    <n v="3"/>
    <s v="(UG)FO-90401.-S1P1FU-02"/>
    <s v="2/2"/>
    <n v="28"/>
    <x v="2"/>
    <n v="1.5"/>
    <x v="1"/>
    <x v="0"/>
    <x v="3"/>
    <s v="S"/>
    <x v="0"/>
    <s v="V"/>
    <x v="0"/>
    <x v="0"/>
    <m/>
    <m/>
    <s v="\\192.168.1.50\3勝一\SE-37(彰濱)\01.工程圖面\01.ISO\ISO\3.(UG)FO-90401.-S1P1FU-02.pdf"/>
    <s v="已完成"/>
    <n v="1"/>
  </r>
  <r>
    <n v="3"/>
    <s v="(UG)FO-90401.-S1P1FU-02"/>
    <s v="2/2"/>
    <n v="29"/>
    <x v="2"/>
    <n v="1.5"/>
    <x v="1"/>
    <x v="0"/>
    <x v="4"/>
    <s v="F"/>
    <x v="0"/>
    <m/>
    <x v="5"/>
    <x v="0"/>
    <m/>
    <e v="#REF!"/>
    <s v="\\192.168.1.50\3勝一\SE-37(彰濱)\01.工程圖面\01.ISO\ISO\3.(UG)FO-90401.-S1P1FU-02.pdf"/>
    <s v="已完成"/>
    <n v="1"/>
  </r>
  <r>
    <n v="4"/>
    <s v="(UG)FW-90201-C1AU-01"/>
    <s v="1/1"/>
    <n v="1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2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3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4"/>
    <x v="0"/>
    <n v="6"/>
    <x v="1"/>
    <x v="1"/>
    <x v="0"/>
    <s v="S"/>
    <x v="4"/>
    <s v="VV"/>
    <x v="4"/>
    <x v="0"/>
    <m/>
    <m/>
    <s v="\\192.168.1.50\3勝一\SE-37(彰濱)\01.工程圖面\01.ISO\ISO\4.(UG)FW-90201-C1AU-01.pdf"/>
    <m/>
    <n v="1"/>
  </r>
  <r>
    <n v="4"/>
    <s v="(UG)FW-90201-C1AU-01"/>
    <s v="1/1"/>
    <n v="5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6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7"/>
    <x v="0"/>
    <n v="6"/>
    <x v="1"/>
    <x v="1"/>
    <x v="0"/>
    <s v="S"/>
    <x v="4"/>
    <s v="VV"/>
    <x v="4"/>
    <x v="0"/>
    <m/>
    <m/>
    <s v="\\192.168.1.50\3勝一\SE-37(彰濱)\01.工程圖面\01.ISO\ISO\4.(UG)FW-90201-C1AU-01.pdf"/>
    <m/>
    <n v="1"/>
  </r>
  <r>
    <n v="4"/>
    <s v="(UG)FW-90201-C1AU-01"/>
    <s v="1/1"/>
    <n v="8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9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10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n v="11"/>
    <x v="0"/>
    <n v="6"/>
    <x v="1"/>
    <x v="1"/>
    <x v="0"/>
    <s v="S"/>
    <x v="5"/>
    <s v="VV"/>
    <x v="6"/>
    <x v="0"/>
    <m/>
    <m/>
    <s v="\\192.168.1.50\3勝一\SE-37(彰濱)\01.工程圖面\01.ISO\ISO\4.(UG)FW-90201-C1AU-01.pdf"/>
    <m/>
    <n v="1"/>
  </r>
  <r>
    <n v="4"/>
    <s v="(UG)FW-90201-C1AU-01"/>
    <s v="1/1"/>
    <s v="11V"/>
    <x v="0"/>
    <n v="6"/>
    <x v="1"/>
    <x v="1"/>
    <x v="2"/>
    <s v="F"/>
    <x v="3"/>
    <m/>
    <x v="3"/>
    <x v="0"/>
    <m/>
    <m/>
    <s v="\\192.168.1.50\3勝一\SE-37(彰濱)\01.工程圖面\01.ISO\ISO\4.(UG)FW-90201-C1AU-01.pdf"/>
    <m/>
    <n v="1"/>
  </r>
  <r>
    <n v="5"/>
    <s v="(UG)FW-90201.-C1AU-01"/>
    <s v="1/3"/>
    <n v="1"/>
    <x v="3"/>
    <n v="8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2"/>
    <x v="3"/>
    <n v="8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3"/>
    <x v="3"/>
    <n v="8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4"/>
    <x v="3"/>
    <n v="8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5"/>
    <x v="3"/>
    <n v="8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6"/>
    <x v="3"/>
    <n v="8"/>
    <x v="1"/>
    <x v="1"/>
    <x v="0"/>
    <s v="S"/>
    <x v="1"/>
    <s v="VV"/>
    <x v="1"/>
    <x v="0"/>
    <m/>
    <m/>
    <s v="\\192.168.1.50\3勝一\SE-37(彰濱)\01.工程圖面\01.ISO\ISO\5.(UG)FW-90201.-C1AU-01.pdf"/>
    <m/>
    <n v="1"/>
  </r>
  <r>
    <n v="5"/>
    <s v="(UG)FW-90201.-C1AU-01"/>
    <s v="1/3"/>
    <n v="7"/>
    <x v="3"/>
    <n v="8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8"/>
    <x v="0"/>
    <n v="6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9"/>
    <x v="0"/>
    <n v="6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s v="9V"/>
    <x v="0"/>
    <n v="6"/>
    <x v="1"/>
    <x v="1"/>
    <x v="2"/>
    <s v="F"/>
    <x v="3"/>
    <m/>
    <x v="3"/>
    <x v="0"/>
    <m/>
    <e v="#REF!"/>
    <s v="\\192.168.1.50\3勝一\SE-37(彰濱)\01.工程圖面\01.ISO\ISO\5.(UG)FW-90201.-C1AU-01.pdf"/>
    <s v="未完成"/>
    <n v="1"/>
  </r>
  <r>
    <n v="5"/>
    <s v="(UG)FW-90201.-C1AU-01"/>
    <s v="1/3"/>
    <n v="10"/>
    <x v="3"/>
    <n v="8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11"/>
    <x v="0"/>
    <n v="6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12"/>
    <x v="0"/>
    <n v="6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13"/>
    <x v="0"/>
    <n v="6"/>
    <x v="1"/>
    <x v="1"/>
    <x v="0"/>
    <s v="S"/>
    <x v="1"/>
    <s v="VV"/>
    <x v="1"/>
    <x v="0"/>
    <m/>
    <m/>
    <s v="\\192.168.1.50\3勝一\SE-37(彰濱)\01.工程圖面\01.ISO\ISO\5.(UG)FW-90201.-C1AU-01.pdf"/>
    <m/>
    <n v="1"/>
  </r>
  <r>
    <n v="5"/>
    <s v="(UG)FW-90201.-C1AU-01"/>
    <s v="1/3"/>
    <n v="14"/>
    <x v="0"/>
    <n v="6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15"/>
    <x v="0"/>
    <n v="6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16"/>
    <x v="0"/>
    <n v="6"/>
    <x v="1"/>
    <x v="1"/>
    <x v="0"/>
    <s v="S"/>
    <x v="1"/>
    <s v="VV"/>
    <x v="1"/>
    <x v="0"/>
    <m/>
    <m/>
    <s v="\\192.168.1.50\3勝一\SE-37(彰濱)\01.工程圖面\01.ISO\ISO\5.(UG)FW-90201.-C1AU-01.pdf"/>
    <m/>
    <n v="1"/>
  </r>
  <r>
    <n v="5"/>
    <s v="(UG)FW-90201.-C1AU-01"/>
    <s v="1/3"/>
    <n v="17"/>
    <x v="0"/>
    <n v="6"/>
    <x v="1"/>
    <x v="1"/>
    <x v="0"/>
    <s v="S"/>
    <x v="5"/>
    <s v="VV"/>
    <x v="6"/>
    <x v="0"/>
    <m/>
    <m/>
    <s v="\\192.168.1.50\3勝一\SE-37(彰濱)\01.工程圖面\01.ISO\ISO\5.(UG)FW-90201.-C1AU-01.pdf"/>
    <m/>
    <n v="1"/>
  </r>
  <r>
    <n v="5"/>
    <s v="(UG)FW-90201.-C1AU-01"/>
    <s v="1/3"/>
    <n v="18"/>
    <x v="0"/>
    <n v="6"/>
    <x v="1"/>
    <x v="1"/>
    <x v="0"/>
    <s v="S"/>
    <x v="1"/>
    <s v="VV"/>
    <x v="1"/>
    <x v="0"/>
    <m/>
    <m/>
    <s v="\\192.168.1.50\3勝一\SE-37(彰濱)\01.工程圖面\01.ISO\ISO\5.(UG)FW-90201.-C1AU-01.pdf"/>
    <m/>
    <n v="1"/>
  </r>
  <r>
    <n v="6"/>
    <s v="(UG)FW-90201.-C1AU-02"/>
    <s v="2/3"/>
    <n v="19"/>
    <x v="0"/>
    <n v="6"/>
    <x v="1"/>
    <x v="1"/>
    <x v="0"/>
    <s v="S"/>
    <x v="1"/>
    <s v="VV"/>
    <x v="1"/>
    <x v="0"/>
    <m/>
    <m/>
    <s v="\\192.168.1.50\3勝一\SE-37(彰濱)\01.工程圖面\01.ISO\ISO\6.(UG)FW-90201.-C1AU-02.pdf"/>
    <m/>
    <n v="1"/>
  </r>
  <r>
    <n v="6"/>
    <s v="(UG)FW-90201.-C1AU-02"/>
    <s v="2/3"/>
    <n v="20"/>
    <x v="4"/>
    <n v="2.5"/>
    <x v="1"/>
    <x v="1"/>
    <x v="0"/>
    <s v="S"/>
    <x v="5"/>
    <s v="VV"/>
    <x v="6"/>
    <x v="0"/>
    <m/>
    <m/>
    <s v="\\192.168.1.50\3勝一\SE-37(彰濱)\01.工程圖面\01.ISO\ISO\6.(UG)FW-90201.-C1AU-02.pdf"/>
    <m/>
    <n v="1"/>
  </r>
  <r>
    <n v="6"/>
    <s v="(UG)FW-90201.-C1AU-02"/>
    <s v="2/3"/>
    <n v="21"/>
    <x v="4"/>
    <n v="2.5"/>
    <x v="1"/>
    <x v="1"/>
    <x v="0"/>
    <s v="S"/>
    <x v="1"/>
    <s v="VV"/>
    <x v="1"/>
    <x v="0"/>
    <m/>
    <m/>
    <s v="\\192.168.1.50\3勝一\SE-37(彰濱)\01.工程圖面\01.ISO\ISO\6.(UG)FW-90201.-C1AU-02.pdf"/>
    <m/>
    <n v="1"/>
  </r>
  <r>
    <n v="6"/>
    <s v="(UG)FW-90201.-C1AU-02"/>
    <s v="2/3"/>
    <n v="22"/>
    <x v="4"/>
    <n v="2.5"/>
    <x v="1"/>
    <x v="1"/>
    <x v="0"/>
    <s v="S"/>
    <x v="0"/>
    <s v="VV"/>
    <x v="0"/>
    <x v="0"/>
    <m/>
    <m/>
    <s v="\\192.168.1.50\3勝一\SE-37(彰濱)\01.工程圖面\01.ISO\ISO\6.(UG)FW-90201.-C1AU-02.pdf"/>
    <m/>
    <n v="1"/>
  </r>
  <r>
    <n v="6"/>
    <s v="(UG)FW-90201.-C1AU-02"/>
    <s v="2/3"/>
    <n v="23"/>
    <x v="4"/>
    <n v="2.5"/>
    <x v="1"/>
    <x v="1"/>
    <x v="0"/>
    <s v="S"/>
    <x v="0"/>
    <s v="VV"/>
    <x v="0"/>
    <x v="0"/>
    <m/>
    <m/>
    <s v="\\192.168.1.50\3勝一\SE-37(彰濱)\01.工程圖面\01.ISO\ISO\6.(UG)FW-90201.-C1AU-02.pdf"/>
    <m/>
    <n v="1"/>
  </r>
  <r>
    <n v="6"/>
    <s v="(UG)FW-90201.-C1AU-02"/>
    <s v="2/3"/>
    <n v="24"/>
    <x v="4"/>
    <n v="2.5"/>
    <x v="1"/>
    <x v="1"/>
    <x v="0"/>
    <s v="S"/>
    <x v="0"/>
    <s v="VV"/>
    <x v="0"/>
    <x v="0"/>
    <m/>
    <m/>
    <s v="\\192.168.1.50\3勝一\SE-37(彰濱)\01.工程圖面\01.ISO\ISO\6.(UG)FW-90201.-C1AU-02.pdf"/>
    <m/>
    <n v="1"/>
  </r>
  <r>
    <n v="6"/>
    <s v="(UG)FW-90201.-C1AU-02"/>
    <s v="2/3"/>
    <n v="25"/>
    <x v="4"/>
    <n v="2.5"/>
    <x v="1"/>
    <x v="1"/>
    <x v="0"/>
    <s v="S"/>
    <x v="0"/>
    <s v="VV"/>
    <x v="0"/>
    <x v="0"/>
    <m/>
    <m/>
    <s v="\\192.168.1.50\3勝一\SE-37(彰濱)\01.工程圖面\01.ISO\ISO\6.(UG)FW-90201.-C1AU-02.pdf"/>
    <m/>
    <n v="1"/>
  </r>
  <r>
    <n v="6"/>
    <s v="(UG)FW-90201.-C1AU-02"/>
    <s v="2/3"/>
    <s v="25V"/>
    <x v="4"/>
    <n v="2.5"/>
    <x v="1"/>
    <x v="1"/>
    <x v="2"/>
    <s v="F"/>
    <x v="3"/>
    <m/>
    <x v="3"/>
    <x v="0"/>
    <m/>
    <e v="#REF!"/>
    <s v="\\192.168.1.50\3勝一\SE-37(彰濱)\01.工程圖面\01.ISO\ISO\6.(UG)FW-90201.-C1AU-02.pdf"/>
    <s v="未完成"/>
    <n v="1"/>
  </r>
  <r>
    <n v="6"/>
    <s v="(UG)FW-90201.-C1AU-02"/>
    <s v="2/3"/>
    <n v="26"/>
    <x v="5"/>
    <n v="1"/>
    <x v="1"/>
    <x v="1"/>
    <x v="1"/>
    <s v="S"/>
    <x v="0"/>
    <s v="V"/>
    <x v="0"/>
    <x v="0"/>
    <m/>
    <m/>
    <s v="\\192.168.1.50\3勝一\SE-37(彰濱)\01.工程圖面\01.ISO\ISO\6.(UG)FW-90201.-C1AU-02.pdf"/>
    <m/>
    <n v="1"/>
  </r>
  <r>
    <n v="6"/>
    <s v="(UG)FW-90201.-C1AU-02"/>
    <s v="2/3"/>
    <n v="27"/>
    <x v="5"/>
    <n v="1"/>
    <x v="2"/>
    <x v="1"/>
    <x v="3"/>
    <s v="S"/>
    <x v="0"/>
    <s v="V"/>
    <x v="0"/>
    <x v="0"/>
    <m/>
    <m/>
    <s v="\\192.168.1.50\3勝一\SE-37(彰濱)\01.工程圖面\01.ISO\ISO\6.(UG)FW-90201.-C1AU-02.pdf"/>
    <m/>
    <n v="1"/>
  </r>
  <r>
    <n v="6"/>
    <s v="(UG)FW-90201.-C1AU-02"/>
    <s v="2/3"/>
    <n v="28"/>
    <x v="5"/>
    <n v="1"/>
    <x v="2"/>
    <x v="1"/>
    <x v="3"/>
    <s v="S"/>
    <x v="0"/>
    <s v="V"/>
    <x v="0"/>
    <x v="0"/>
    <m/>
    <m/>
    <s v="\\192.168.1.50\3勝一\SE-37(彰濱)\01.工程圖面\01.ISO\ISO\6.(UG)FW-90201.-C1AU-02.pdf"/>
    <m/>
    <n v="1"/>
  </r>
  <r>
    <n v="6"/>
    <s v="(UG)FW-90201.-C1AU-02"/>
    <s v="2/3"/>
    <n v="29"/>
    <x v="4"/>
    <n v="2.5"/>
    <x v="1"/>
    <x v="1"/>
    <x v="0"/>
    <s v="S"/>
    <x v="0"/>
    <s v="VV"/>
    <x v="0"/>
    <x v="0"/>
    <m/>
    <m/>
    <s v="\\192.168.1.50\3勝一\SE-37(彰濱)\01.工程圖面\01.ISO\ISO\6.(UG)FW-90201.-C1AU-02.pdf"/>
    <m/>
    <n v="1"/>
  </r>
  <r>
    <n v="6"/>
    <s v="(UG)FW-90201.-C1AU-02"/>
    <s v="2/3"/>
    <n v="30"/>
    <x v="4"/>
    <n v="2.5"/>
    <x v="1"/>
    <x v="1"/>
    <x v="0"/>
    <s v="S"/>
    <x v="0"/>
    <s v="VV"/>
    <x v="0"/>
    <x v="0"/>
    <m/>
    <m/>
    <s v="\\192.168.1.50\3勝一\SE-37(彰濱)\01.工程圖面\01.ISO\ISO\6.(UG)FW-90201.-C1AU-02.pdf"/>
    <m/>
    <n v="1"/>
  </r>
  <r>
    <n v="6"/>
    <s v="(UG)FW-90201.-C1AU-02"/>
    <s v="2/3"/>
    <s v="30V"/>
    <x v="4"/>
    <n v="2.5"/>
    <x v="1"/>
    <x v="1"/>
    <x v="2"/>
    <s v="F"/>
    <x v="3"/>
    <m/>
    <x v="3"/>
    <x v="0"/>
    <m/>
    <e v="#REF!"/>
    <s v="\\192.168.1.50\3勝一\SE-37(彰濱)\01.工程圖面\01.ISO\ISO\6.(UG)FW-90201.-C1AU-02.pdf"/>
    <s v="未完成"/>
    <n v="1"/>
  </r>
  <r>
    <n v="6"/>
    <s v="(UG)FW-90201.-C1AU-02"/>
    <s v="2/3"/>
    <n v="31"/>
    <x v="0"/>
    <n v="6"/>
    <x v="1"/>
    <x v="1"/>
    <x v="0"/>
    <s v="S"/>
    <x v="5"/>
    <s v="VV"/>
    <x v="6"/>
    <x v="0"/>
    <m/>
    <m/>
    <s v="\\192.168.1.50\3勝一\SE-37(彰濱)\01.工程圖面\01.ISO\ISO\6.(UG)FW-90201.-C1AU-02.pdf"/>
    <m/>
    <n v="1"/>
  </r>
  <r>
    <n v="7"/>
    <s v="(UG)FW-90201.-C1AU-03"/>
    <s v="3/3"/>
    <n v="32"/>
    <x v="0"/>
    <n v="6"/>
    <x v="1"/>
    <x v="1"/>
    <x v="0"/>
    <s v="S"/>
    <x v="5"/>
    <s v="VV"/>
    <x v="6"/>
    <x v="0"/>
    <m/>
    <m/>
    <s v="\\192.168.1.50\3勝一\SE-37(彰濱)\01.工程圖面\01.ISO\ISO\7.(UG)FW-90201.-C1AU-03.pdf"/>
    <m/>
    <n v="1"/>
  </r>
  <r>
    <n v="7"/>
    <s v="(UG)FW-90201.-C1AU-03"/>
    <s v="3/3"/>
    <n v="33"/>
    <x v="0"/>
    <n v="6"/>
    <x v="1"/>
    <x v="1"/>
    <x v="0"/>
    <s v="S"/>
    <x v="1"/>
    <s v="VV"/>
    <x v="1"/>
    <x v="0"/>
    <m/>
    <m/>
    <s v="\\192.168.1.50\3勝一\SE-37(彰濱)\01.工程圖面\01.ISO\ISO\7.(UG)FW-90201.-C1AU-03.pdf"/>
    <m/>
    <n v="1"/>
  </r>
  <r>
    <n v="7"/>
    <s v="(UG)FW-90201.-C1AU-03"/>
    <s v="3/3"/>
    <n v="34"/>
    <x v="0"/>
    <n v="6"/>
    <x v="1"/>
    <x v="1"/>
    <x v="0"/>
    <s v="S"/>
    <x v="5"/>
    <s v="VV"/>
    <x v="6"/>
    <x v="0"/>
    <m/>
    <m/>
    <s v="\\192.168.1.50\3勝一\SE-37(彰濱)\01.工程圖面\01.ISO\ISO\7.(UG)FW-90201.-C1AU-03.pdf"/>
    <m/>
    <n v="1"/>
  </r>
  <r>
    <n v="7"/>
    <s v="(UG)FW-90201.-C1AU-03"/>
    <s v="3/3"/>
    <n v="35"/>
    <x v="0"/>
    <n v="6"/>
    <x v="1"/>
    <x v="1"/>
    <x v="0"/>
    <s v="S"/>
    <x v="1"/>
    <s v="VV"/>
    <x v="1"/>
    <x v="0"/>
    <m/>
    <m/>
    <s v="\\192.168.1.50\3勝一\SE-37(彰濱)\01.工程圖面\01.ISO\ISO\7.(UG)FW-90201.-C1AU-03.pdf"/>
    <m/>
    <n v="1"/>
  </r>
  <r>
    <n v="7"/>
    <s v="(UG)FW-90201.-C1AU-03"/>
    <s v="3/3"/>
    <n v="36"/>
    <x v="0"/>
    <n v="6"/>
    <x v="1"/>
    <x v="1"/>
    <x v="0"/>
    <s v="S"/>
    <x v="5"/>
    <s v="VV"/>
    <x v="6"/>
    <x v="0"/>
    <m/>
    <m/>
    <s v="\\192.168.1.50\3勝一\SE-37(彰濱)\01.工程圖面\01.ISO\ISO\7.(UG)FW-90201.-C1AU-03.pdf"/>
    <m/>
    <n v="1"/>
  </r>
  <r>
    <n v="7"/>
    <s v="(UG)FW-90201.-C1AU-03"/>
    <s v="3/3"/>
    <n v="37"/>
    <x v="0"/>
    <n v="6"/>
    <x v="1"/>
    <x v="1"/>
    <x v="0"/>
    <s v="S"/>
    <x v="1"/>
    <s v="VV"/>
    <x v="1"/>
    <x v="0"/>
    <m/>
    <m/>
    <s v="\\192.168.1.50\3勝一\SE-37(彰濱)\01.工程圖面\01.ISO\ISO\7.(UG)FW-90201.-C1AU-03.pdf"/>
    <m/>
    <n v="1"/>
  </r>
  <r>
    <n v="7"/>
    <s v="(UG)FW-90201.-C1AU-03"/>
    <s v="3/3"/>
    <n v="38"/>
    <x v="0"/>
    <n v="6"/>
    <x v="1"/>
    <x v="1"/>
    <x v="0"/>
    <s v="S"/>
    <x v="5"/>
    <s v="VV"/>
    <x v="6"/>
    <x v="0"/>
    <m/>
    <m/>
    <s v="\\192.168.1.50\3勝一\SE-37(彰濱)\01.工程圖面\01.ISO\ISO\7.(UG)FW-90201.-C1AU-03.pdf"/>
    <m/>
    <n v="1"/>
  </r>
  <r>
    <n v="7"/>
    <s v="(UG)FW-90201.-C1AU-03"/>
    <s v="3/3"/>
    <n v="39"/>
    <x v="0"/>
    <n v="6"/>
    <x v="1"/>
    <x v="1"/>
    <x v="0"/>
    <s v="S"/>
    <x v="1"/>
    <s v="VV"/>
    <x v="1"/>
    <x v="0"/>
    <m/>
    <m/>
    <s v="\\192.168.1.50\3勝一\SE-37(彰濱)\01.工程圖面\01.ISO\ISO\7.(UG)FW-90201.-C1AU-03.pdf"/>
    <m/>
    <n v="1"/>
  </r>
  <r>
    <n v="7"/>
    <s v="(UG)FW-90201.-C1AU-03"/>
    <s v="3/3"/>
    <n v="40"/>
    <x v="0"/>
    <n v="6"/>
    <x v="1"/>
    <x v="1"/>
    <x v="0"/>
    <s v="S"/>
    <x v="5"/>
    <s v="VV"/>
    <x v="6"/>
    <x v="0"/>
    <m/>
    <m/>
    <s v="\\192.168.1.50\3勝一\SE-37(彰濱)\01.工程圖面\01.ISO\ISO\7.(UG)FW-90201.-C1AU-03.pdf"/>
    <m/>
    <n v="1"/>
  </r>
  <r>
    <n v="7"/>
    <s v="(UG)FW-90201.-C1AU-03"/>
    <s v="3/3"/>
    <n v="41"/>
    <x v="0"/>
    <n v="6"/>
    <x v="1"/>
    <x v="1"/>
    <x v="0"/>
    <s v="S"/>
    <x v="5"/>
    <s v="VV"/>
    <x v="6"/>
    <x v="0"/>
    <m/>
    <m/>
    <s v="\\192.168.1.50\3勝一\SE-37(彰濱)\01.工程圖面\01.ISO\ISO\7.(UG)FW-90201.-C1AU-03.pdf"/>
    <m/>
    <n v="1"/>
  </r>
  <r>
    <n v="7"/>
    <s v="(UG)FW-90201.-C1AU-03"/>
    <s v="3/3"/>
    <s v="41V"/>
    <x v="0"/>
    <n v="6"/>
    <x v="1"/>
    <x v="1"/>
    <x v="2"/>
    <s v="F"/>
    <x v="3"/>
    <m/>
    <x v="3"/>
    <x v="0"/>
    <m/>
    <m/>
    <s v="\\192.168.1.50\3勝一\SE-37(彰濱)\01.工程圖面\01.ISO\ISO\7.(UG)FW-90201.-C1AU-03.pdf"/>
    <m/>
    <n v="1"/>
  </r>
  <r>
    <n v="8"/>
    <s v="(UG)FW-90201..-C1AU-01"/>
    <s v="1/2"/>
    <n v="1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2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3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4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5"/>
    <x v="0"/>
    <n v="6"/>
    <x v="1"/>
    <x v="1"/>
    <x v="0"/>
    <s v="S"/>
    <x v="3"/>
    <s v="VV"/>
    <x v="3"/>
    <x v="0"/>
    <m/>
    <m/>
    <s v="\\192.168.1.50\3勝一\SE-37(彰濱)\01.工程圖面\01.ISO\ISO\8.(UG)FW-90201..-C1AU-01.pdf"/>
    <m/>
    <n v="1"/>
  </r>
  <r>
    <n v="8"/>
    <s v="(UG)FW-90201..-C1AU-01"/>
    <s v="1/2"/>
    <n v="6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7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8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9"/>
    <x v="0"/>
    <n v="6"/>
    <x v="1"/>
    <x v="1"/>
    <x v="0"/>
    <s v="S"/>
    <x v="3"/>
    <s v="VV"/>
    <x v="3"/>
    <x v="0"/>
    <m/>
    <m/>
    <s v="\\192.168.1.50\3勝一\SE-37(彰濱)\01.工程圖面\01.ISO\ISO\8.(UG)FW-90201..-C1AU-01.pdf"/>
    <m/>
    <n v="1"/>
  </r>
  <r>
    <n v="8"/>
    <s v="(UG)FW-90201..-C1AU-01"/>
    <s v="1/2"/>
    <n v="10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1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2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3"/>
    <x v="0"/>
    <n v="6"/>
    <x v="1"/>
    <x v="1"/>
    <x v="0"/>
    <s v="S"/>
    <x v="3"/>
    <s v="VV"/>
    <x v="3"/>
    <x v="0"/>
    <m/>
    <m/>
    <s v="\\192.168.1.50\3勝一\SE-37(彰濱)\01.工程圖面\01.ISO\ISO\8.(UG)FW-90201..-C1AU-01.pdf"/>
    <m/>
    <n v="1"/>
  </r>
  <r>
    <n v="8"/>
    <s v="(UG)FW-90201..-C1AU-01"/>
    <s v="1/2"/>
    <n v="14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5"/>
    <x v="4"/>
    <n v="2.5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6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7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8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n v="19"/>
    <x v="0"/>
    <n v="6"/>
    <x v="1"/>
    <x v="1"/>
    <x v="0"/>
    <s v="S"/>
    <x v="5"/>
    <s v="VV"/>
    <x v="6"/>
    <x v="0"/>
    <m/>
    <m/>
    <s v="\\192.168.1.50\3勝一\SE-37(彰濱)\01.工程圖面\01.ISO\ISO\8.(UG)FW-90201..-C1AU-01.pdf"/>
    <m/>
    <n v="1"/>
  </r>
  <r>
    <n v="8"/>
    <s v="(UG)FW-90201..-C1AU-01"/>
    <s v="1/2"/>
    <s v="19V"/>
    <x v="0"/>
    <n v="6"/>
    <x v="1"/>
    <x v="1"/>
    <x v="2"/>
    <s v="F"/>
    <x v="3"/>
    <m/>
    <x v="3"/>
    <x v="0"/>
    <m/>
    <m/>
    <s v="\\192.168.1.50\3勝一\SE-37(彰濱)\01.工程圖面\01.ISO\ISO\8.(UG)FW-90201..-C1AU-01.pdf"/>
    <m/>
    <n v="1"/>
  </r>
  <r>
    <n v="9"/>
    <s v="(UG)FW-90201..-C1AU-02"/>
    <s v="2/2"/>
    <n v="20"/>
    <x v="4"/>
    <n v="2.5"/>
    <x v="1"/>
    <x v="1"/>
    <x v="0"/>
    <s v="S"/>
    <x v="3"/>
    <s v="VV"/>
    <x v="3"/>
    <x v="0"/>
    <m/>
    <m/>
    <s v="\\192.168.1.50\3勝一\SE-37(彰濱)\01.工程圖面\01.ISO\ISO\9.(UG)FW-90201..-C1AU-02.pdf"/>
    <m/>
    <n v="1"/>
  </r>
  <r>
    <n v="9"/>
    <s v="(UG)FW-90201..-C1AU-02"/>
    <s v="2/2"/>
    <n v="21"/>
    <x v="4"/>
    <n v="2.5"/>
    <x v="1"/>
    <x v="1"/>
    <x v="0"/>
    <s v="S"/>
    <x v="0"/>
    <s v="VV"/>
    <x v="0"/>
    <x v="0"/>
    <m/>
    <m/>
    <s v="\\192.168.1.50\3勝一\SE-37(彰濱)\01.工程圖面\01.ISO\ISO\9.(UG)FW-90201..-C1AU-02.pdf"/>
    <m/>
    <n v="1"/>
  </r>
  <r>
    <n v="9"/>
    <s v="(UG)FW-90201..-C1AU-02"/>
    <s v="2/2"/>
    <n v="22"/>
    <x v="4"/>
    <n v="2.5"/>
    <x v="1"/>
    <x v="1"/>
    <x v="0"/>
    <s v="S"/>
    <x v="0"/>
    <s v="VV"/>
    <x v="0"/>
    <x v="0"/>
    <m/>
    <m/>
    <s v="\\192.168.1.50\3勝一\SE-37(彰濱)\01.工程圖面\01.ISO\ISO\9.(UG)FW-90201..-C1AU-02.pdf"/>
    <m/>
    <n v="1"/>
  </r>
  <r>
    <n v="9"/>
    <s v="(UG)FW-90201..-C1AU-02"/>
    <s v="2/2"/>
    <n v="23"/>
    <x v="4"/>
    <n v="2.5"/>
    <x v="1"/>
    <x v="1"/>
    <x v="0"/>
    <s v="S"/>
    <x v="0"/>
    <s v="VV"/>
    <x v="0"/>
    <x v="0"/>
    <m/>
    <m/>
    <s v="\\192.168.1.50\3勝一\SE-37(彰濱)\01.工程圖面\01.ISO\ISO\9.(UG)FW-90201..-C1AU-02.pdf"/>
    <m/>
    <n v="1"/>
  </r>
  <r>
    <n v="9"/>
    <s v="(UG)FW-90201..-C1AU-02"/>
    <s v="2/2"/>
    <n v="24"/>
    <x v="4"/>
    <n v="2.5"/>
    <x v="1"/>
    <x v="1"/>
    <x v="0"/>
    <s v="S"/>
    <x v="0"/>
    <s v="VV"/>
    <x v="0"/>
    <x v="0"/>
    <m/>
    <m/>
    <s v="\\192.168.1.50\3勝一\SE-37(彰濱)\01.工程圖面\01.ISO\ISO\9.(UG)FW-90201..-C1AU-02.pdf"/>
    <m/>
    <n v="1"/>
  </r>
  <r>
    <n v="9"/>
    <s v="(UG)FW-90201..-C1AU-02"/>
    <s v="2/2"/>
    <s v="24V"/>
    <x v="4"/>
    <n v="2.5"/>
    <x v="1"/>
    <x v="1"/>
    <x v="2"/>
    <s v="F"/>
    <x v="3"/>
    <m/>
    <x v="3"/>
    <x v="0"/>
    <m/>
    <m/>
    <s v="\\192.168.1.50\3勝一\SE-37(彰濱)\01.工程圖面\01.ISO\ISO\9.(UG)FW-90201..-C1AU-02.pdf"/>
    <s v="未完成"/>
    <n v="1"/>
  </r>
  <r>
    <n v="9"/>
    <s v="(UG)FW-90201..-C1AU-02"/>
    <s v="2/2"/>
    <n v="25"/>
    <x v="5"/>
    <n v="1"/>
    <x v="2"/>
    <x v="1"/>
    <x v="1"/>
    <s v="S"/>
    <x v="0"/>
    <s v="V"/>
    <x v="0"/>
    <x v="0"/>
    <m/>
    <m/>
    <s v="\\192.168.1.50\3勝一\SE-37(彰濱)\01.工程圖面\01.ISO\ISO\9.(UG)FW-90201..-C1AU-02.pdf"/>
    <m/>
    <n v="1"/>
  </r>
  <r>
    <n v="9"/>
    <s v="(UG)FW-90201..-C1AU-02"/>
    <s v="2/2"/>
    <n v="26"/>
    <x v="5"/>
    <n v="1"/>
    <x v="2"/>
    <x v="1"/>
    <x v="3"/>
    <s v="S"/>
    <x v="0"/>
    <s v="V"/>
    <x v="0"/>
    <x v="0"/>
    <m/>
    <m/>
    <s v="\\192.168.1.50\3勝一\SE-37(彰濱)\01.工程圖面\01.ISO\ISO\9.(UG)FW-90201..-C1AU-02.pdf"/>
    <m/>
    <n v="1"/>
  </r>
  <r>
    <n v="9"/>
    <s v="(UG)FW-90201..-C1AU-02"/>
    <s v="2/2"/>
    <n v="27"/>
    <x v="5"/>
    <n v="1"/>
    <x v="2"/>
    <x v="1"/>
    <x v="3"/>
    <s v="S"/>
    <x v="0"/>
    <s v="V"/>
    <x v="0"/>
    <x v="0"/>
    <m/>
    <m/>
    <s v="\\192.168.1.50\3勝一\SE-37(彰濱)\01.工程圖面\01.ISO\ISO\9.(UG)FW-90201..-C1AU-02.pdf"/>
    <m/>
    <n v="1"/>
  </r>
  <r>
    <n v="9"/>
    <s v="(UG)FW-90201..-C1AU-02"/>
    <s v="2/2"/>
    <n v="28"/>
    <x v="4"/>
    <n v="2.5"/>
    <x v="1"/>
    <x v="1"/>
    <x v="0"/>
    <s v="S"/>
    <x v="0"/>
    <s v="VV"/>
    <x v="0"/>
    <x v="0"/>
    <m/>
    <m/>
    <s v="\\192.168.1.50\3勝一\SE-37(彰濱)\01.工程圖面\01.ISO\ISO\9.(UG)FW-90201..-C1AU-02.pdf"/>
    <m/>
    <n v="1"/>
  </r>
  <r>
    <n v="9"/>
    <s v="(UG)FW-90201..-C1AU-02"/>
    <s v="2/2"/>
    <n v="29"/>
    <x v="4"/>
    <n v="2.5"/>
    <x v="1"/>
    <x v="1"/>
    <x v="0"/>
    <s v="S"/>
    <x v="0"/>
    <s v="VV"/>
    <x v="0"/>
    <x v="0"/>
    <m/>
    <m/>
    <s v="\\192.168.1.50\3勝一\SE-37(彰濱)\01.工程圖面\01.ISO\ISO\9.(UG)FW-90201..-C1AU-02.pdf"/>
    <m/>
    <n v="1"/>
  </r>
  <r>
    <n v="9"/>
    <s v="(UG)FW-90201..-C1AU-02"/>
    <s v="2/2"/>
    <s v="29V"/>
    <x v="4"/>
    <n v="2.5"/>
    <x v="2"/>
    <x v="1"/>
    <x v="2"/>
    <s v="F"/>
    <x v="3"/>
    <m/>
    <x v="3"/>
    <x v="0"/>
    <m/>
    <m/>
    <s v="\\192.168.1.50\3勝一\SE-37(彰濱)\01.工程圖面\01.ISO\ISO\9.(UG)FW-90201..-C1AU-02.pdf"/>
    <m/>
    <n v="1"/>
  </r>
  <r>
    <n v="10"/>
    <s v="(UG)FW-90201...-C1AU-01"/>
    <s v="1/2"/>
    <n v="1"/>
    <x v="0"/>
    <n v="6"/>
    <x v="1"/>
    <x v="1"/>
    <x v="0"/>
    <s v="S"/>
    <x v="5"/>
    <s v="VV"/>
    <x v="6"/>
    <x v="0"/>
    <m/>
    <m/>
    <s v="\\192.168.1.50\3勝一\SE-37(彰濱)\01.工程圖面\01.ISO\ISO\10.(UG)FW-90201...-C1AU-01.pdf"/>
    <m/>
    <n v="1"/>
  </r>
  <r>
    <n v="10"/>
    <s v="(UG)FW-90201...-C1AU-01"/>
    <s v="1/2"/>
    <n v="2"/>
    <x v="0"/>
    <n v="6"/>
    <x v="1"/>
    <x v="1"/>
    <x v="0"/>
    <s v="S"/>
    <x v="5"/>
    <s v="VV"/>
    <x v="6"/>
    <x v="0"/>
    <m/>
    <m/>
    <s v="\\192.168.1.50\3勝一\SE-37(彰濱)\01.工程圖面\01.ISO\ISO\10.(UG)FW-90201...-C1AU-01.pdf"/>
    <m/>
    <n v="1"/>
  </r>
  <r>
    <n v="10"/>
    <s v="(UG)FW-90201...-C1AU-01"/>
    <s v="1/2"/>
    <n v="3"/>
    <x v="0"/>
    <n v="6"/>
    <x v="1"/>
    <x v="1"/>
    <x v="0"/>
    <s v="S"/>
    <x v="5"/>
    <s v="VV"/>
    <x v="6"/>
    <x v="0"/>
    <m/>
    <m/>
    <s v="\\192.168.1.50\3勝一\SE-37(彰濱)\01.工程圖面\01.ISO\ISO\10.(UG)FW-90201...-C1AU-01.pdf"/>
    <m/>
    <n v="1"/>
  </r>
  <r>
    <n v="10"/>
    <s v="(UG)FW-90201...-C1AU-01"/>
    <s v="1/2"/>
    <n v="4"/>
    <x v="0"/>
    <n v="6"/>
    <x v="1"/>
    <x v="1"/>
    <x v="0"/>
    <s v="S"/>
    <x v="5"/>
    <s v="VV"/>
    <x v="6"/>
    <x v="0"/>
    <m/>
    <m/>
    <s v="\\192.168.1.50\3勝一\SE-37(彰濱)\01.工程圖面\01.ISO\ISO\10.(UG)FW-90201...-C1AU-01.pdf"/>
    <m/>
    <n v="1"/>
  </r>
  <r>
    <n v="10"/>
    <s v="(UG)FW-90201...-C1AU-01"/>
    <s v="1/2"/>
    <n v="5"/>
    <x v="0"/>
    <n v="6"/>
    <x v="1"/>
    <x v="1"/>
    <x v="0"/>
    <s v="S"/>
    <x v="6"/>
    <s v="VV"/>
    <x v="7"/>
    <x v="0"/>
    <m/>
    <m/>
    <s v="\\192.168.1.50\3勝一\SE-37(彰濱)\01.工程圖面\01.ISO\ISO\10.(UG)FW-90201...-C1AU-01.pdf"/>
    <m/>
    <n v="1"/>
  </r>
  <r>
    <n v="10"/>
    <s v="(UG)FW-90201...-C1AU-01"/>
    <s v="1/2"/>
    <n v="6"/>
    <x v="4"/>
    <n v="2.5"/>
    <x v="1"/>
    <x v="1"/>
    <x v="1"/>
    <s v="S"/>
    <x v="0"/>
    <s v="V"/>
    <x v="0"/>
    <x v="0"/>
    <m/>
    <m/>
    <s v="\\192.168.1.50\3勝一\SE-37(彰濱)\01.工程圖面\01.ISO\ISO\10.(UG)FW-90201...-C1AU-01.pdf"/>
    <m/>
    <n v="1"/>
  </r>
  <r>
    <n v="10"/>
    <s v="(UG)FW-90201...-C1AU-01"/>
    <s v="1/2"/>
    <n v="7"/>
    <x v="4"/>
    <n v="2.5"/>
    <x v="1"/>
    <x v="1"/>
    <x v="0"/>
    <s v="S"/>
    <x v="6"/>
    <s v="VV"/>
    <x v="7"/>
    <x v="0"/>
    <m/>
    <m/>
    <s v="\\192.168.1.50\3勝一\SE-37(彰濱)\01.工程圖面\01.ISO\ISO\10.(UG)FW-90201...-C1AU-01.pdf"/>
    <m/>
    <n v="1"/>
  </r>
  <r>
    <n v="10"/>
    <s v="(UG)FW-90201...-C1AU-01"/>
    <s v="1/2"/>
    <n v="8"/>
    <x v="4"/>
    <n v="2.5"/>
    <x v="1"/>
    <x v="1"/>
    <x v="0"/>
    <s v="S"/>
    <x v="0"/>
    <s v="VV"/>
    <x v="0"/>
    <x v="0"/>
    <m/>
    <m/>
    <s v="\\192.168.1.50\3勝一\SE-37(彰濱)\01.工程圖面\01.ISO\ISO\10.(UG)FW-90201...-C1AU-01.pdf"/>
    <m/>
    <n v="1"/>
  </r>
  <r>
    <n v="10"/>
    <s v="(UG)FW-90201...-C1AU-01"/>
    <s v="1/2"/>
    <n v="9"/>
    <x v="4"/>
    <n v="2.5"/>
    <x v="1"/>
    <x v="1"/>
    <x v="0"/>
    <s v="S"/>
    <x v="0"/>
    <s v="VV"/>
    <x v="0"/>
    <x v="0"/>
    <m/>
    <m/>
    <s v="\\192.168.1.50\3勝一\SE-37(彰濱)\01.工程圖面\01.ISO\ISO\10.(UG)FW-90201...-C1AU-01.pdf"/>
    <m/>
    <n v="1"/>
  </r>
  <r>
    <n v="10"/>
    <s v="(UG)FW-90201...-C1AU-01"/>
    <s v="1/2"/>
    <n v="10"/>
    <x v="0"/>
    <n v="6"/>
    <x v="1"/>
    <x v="1"/>
    <x v="0"/>
    <s v="S"/>
    <x v="5"/>
    <s v="VV"/>
    <x v="0"/>
    <x v="0"/>
    <m/>
    <m/>
    <s v="\\192.168.1.50\3勝一\SE-37(彰濱)\01.工程圖面\01.ISO\ISO\10.(UG)FW-90201...-C1AU-01.pdf"/>
    <m/>
    <n v="1"/>
  </r>
  <r>
    <n v="10"/>
    <s v="(UG)FW-90201...-C1AU-01"/>
    <s v="1/2"/>
    <n v="11"/>
    <x v="0"/>
    <n v="6"/>
    <x v="1"/>
    <x v="1"/>
    <x v="0"/>
    <s v="S"/>
    <x v="5"/>
    <s v="VV"/>
    <x v="0"/>
    <x v="0"/>
    <m/>
    <m/>
    <s v="\\192.168.1.50\3勝一\SE-37(彰濱)\01.工程圖面\01.ISO\ISO\10.(UG)FW-90201...-C1AU-01.pdf"/>
    <m/>
    <n v="1"/>
  </r>
  <r>
    <n v="10"/>
    <s v="(UG)FW-90201...-C1AU-01"/>
    <s v="1/2"/>
    <n v="12"/>
    <x v="0"/>
    <n v="6"/>
    <x v="1"/>
    <x v="1"/>
    <x v="0"/>
    <s v="S"/>
    <x v="5"/>
    <s v="VV"/>
    <x v="0"/>
    <x v="0"/>
    <m/>
    <m/>
    <s v="\\192.168.1.50\3勝一\SE-37(彰濱)\01.工程圖面\01.ISO\ISO\10.(UG)FW-90201...-C1AU-01.pdf"/>
    <m/>
    <n v="1"/>
  </r>
  <r>
    <n v="10"/>
    <s v="(UG)FW-90201...-C1AU-01"/>
    <s v="1/2"/>
    <n v="13"/>
    <x v="0"/>
    <n v="6"/>
    <x v="1"/>
    <x v="1"/>
    <x v="0"/>
    <s v="S"/>
    <x v="5"/>
    <s v="VV"/>
    <x v="0"/>
    <x v="0"/>
    <m/>
    <m/>
    <s v="\\192.168.1.50\3勝一\SE-37(彰濱)\01.工程圖面\01.ISO\ISO\10.(UG)FW-90201...-C1AU-01.pdf"/>
    <m/>
    <n v="1"/>
  </r>
  <r>
    <n v="10"/>
    <s v="(UG)FW-90201...-C1AU-01"/>
    <s v="1/2"/>
    <s v="13V"/>
    <x v="0"/>
    <n v="6"/>
    <x v="1"/>
    <x v="1"/>
    <x v="2"/>
    <s v="F"/>
    <x v="3"/>
    <m/>
    <x v="3"/>
    <x v="0"/>
    <m/>
    <m/>
    <s v="\\192.168.1.50\3勝一\SE-37(彰濱)\01.工程圖面\01.ISO\ISO\10.(UG)FW-90201...-C1AU-01.pdf"/>
    <m/>
    <n v="1"/>
  </r>
  <r>
    <n v="11"/>
    <s v="(UG)FW-90201...-C1AU-02"/>
    <s v="2/2"/>
    <n v="14"/>
    <x v="4"/>
    <n v="2.5"/>
    <x v="1"/>
    <x v="1"/>
    <x v="0"/>
    <s v="S"/>
    <x v="0"/>
    <s v="VV"/>
    <x v="0"/>
    <x v="0"/>
    <m/>
    <m/>
    <s v="\\192.168.1.50\3勝一\SE-37(彰濱)\01.工程圖面\01.ISO\ISO\11.(UG)FW-90201...-C1AU-02.pdf"/>
    <m/>
    <n v="1"/>
  </r>
  <r>
    <n v="11"/>
    <s v="(UG)FW-90201...-C1AU-02"/>
    <s v="2/2"/>
    <s v="14V"/>
    <x v="4"/>
    <n v="2.5"/>
    <x v="1"/>
    <x v="1"/>
    <x v="2"/>
    <s v="F"/>
    <x v="3"/>
    <m/>
    <x v="3"/>
    <x v="0"/>
    <m/>
    <m/>
    <s v="\\192.168.1.50\3勝一\SE-37(彰濱)\01.工程圖面\01.ISO\ISO\11.(UG)FW-90201...-C1AU-02.pdf"/>
    <m/>
    <n v="1"/>
  </r>
  <r>
    <n v="11"/>
    <s v="(UG)FW-90201...-C1AU-02"/>
    <s v="2/2"/>
    <n v="15"/>
    <x v="5"/>
    <n v="1"/>
    <x v="2"/>
    <x v="1"/>
    <x v="1"/>
    <s v="S"/>
    <x v="0"/>
    <s v="V"/>
    <x v="0"/>
    <x v="0"/>
    <m/>
    <m/>
    <s v="\\192.168.1.50\3勝一\SE-37(彰濱)\01.工程圖面\01.ISO\ISO\11.(UG)FW-90201...-C1AU-02.pdf"/>
    <m/>
    <n v="1"/>
  </r>
  <r>
    <n v="11"/>
    <s v="(UG)FW-90201...-C1AU-02"/>
    <s v="2/2"/>
    <n v="16"/>
    <x v="5"/>
    <n v="1"/>
    <x v="2"/>
    <x v="1"/>
    <x v="3"/>
    <s v="S"/>
    <x v="0"/>
    <s v="V"/>
    <x v="0"/>
    <x v="0"/>
    <m/>
    <m/>
    <s v="\\192.168.1.50\3勝一\SE-37(彰濱)\01.工程圖面\01.ISO\ISO\11.(UG)FW-90201...-C1AU-02.pdf"/>
    <m/>
    <n v="1"/>
  </r>
  <r>
    <n v="11"/>
    <s v="(UG)FW-90201...-C1AU-02"/>
    <s v="2/2"/>
    <n v="17"/>
    <x v="5"/>
    <n v="1"/>
    <x v="2"/>
    <x v="1"/>
    <x v="3"/>
    <s v="S"/>
    <x v="0"/>
    <s v="V"/>
    <x v="0"/>
    <x v="0"/>
    <m/>
    <m/>
    <s v="\\192.168.1.50\3勝一\SE-37(彰濱)\01.工程圖面\01.ISO\ISO\11.(UG)FW-90201...-C1AU-02.pdf"/>
    <m/>
    <n v="1"/>
  </r>
  <r>
    <n v="11"/>
    <s v="(UG)FW-90201...-C1AU-02"/>
    <s v="2/2"/>
    <n v="18"/>
    <x v="4"/>
    <n v="2.5"/>
    <x v="1"/>
    <x v="1"/>
    <x v="0"/>
    <s v="S"/>
    <x v="0"/>
    <s v="VV"/>
    <x v="0"/>
    <x v="0"/>
    <m/>
    <m/>
    <s v="\\192.168.1.50\3勝一\SE-37(彰濱)\01.工程圖面\01.ISO\ISO\11.(UG)FW-90201...-C1AU-02.pdf"/>
    <m/>
    <n v="1"/>
  </r>
  <r>
    <n v="11"/>
    <s v="(UG)FW-90201...-C1AU-02"/>
    <s v="2/2"/>
    <n v="19"/>
    <x v="4"/>
    <n v="2.5"/>
    <x v="1"/>
    <x v="1"/>
    <x v="0"/>
    <s v="S"/>
    <x v="0"/>
    <s v="VV"/>
    <x v="0"/>
    <x v="0"/>
    <m/>
    <m/>
    <s v="\\192.168.1.50\3勝一\SE-37(彰濱)\01.工程圖面\01.ISO\ISO\11.(UG)FW-90201...-C1AU-02.pdf"/>
    <m/>
    <n v="1"/>
  </r>
  <r>
    <n v="11"/>
    <s v="(UG)FW-90201...-C1AU-02"/>
    <s v="2/2"/>
    <s v="19V"/>
    <x v="4"/>
    <n v="2.5"/>
    <x v="1"/>
    <x v="1"/>
    <x v="2"/>
    <s v="F"/>
    <x v="3"/>
    <m/>
    <x v="3"/>
    <x v="0"/>
    <m/>
    <m/>
    <s v="\\192.168.1.50\3勝一\SE-37(彰濱)\01.工程圖面\01.ISO\ISO\11.(UG)FW-90201...-C1AU-02.pdf"/>
    <m/>
    <n v="1"/>
  </r>
  <r>
    <n v="12"/>
    <s v="(UG)FW-90202-C1AU-01"/>
    <s v="1/1"/>
    <n v="1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2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3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4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5"/>
    <x v="0"/>
    <n v="6"/>
    <x v="1"/>
    <x v="1"/>
    <x v="0"/>
    <s v="S"/>
    <x v="3"/>
    <s v="VV"/>
    <x v="3"/>
    <x v="0"/>
    <m/>
    <m/>
    <s v="\\192.168.1.50\3勝一\SE-37(彰濱)\01.工程圖面\01.ISO\ISO\12.(UG)FW-90202-C1AU-01.pdf"/>
    <m/>
    <n v="1"/>
  </r>
  <r>
    <n v="12"/>
    <s v="(UG)FW-90202-C1AU-01"/>
    <s v="1/1"/>
    <n v="6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7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8"/>
    <x v="0"/>
    <n v="6"/>
    <x v="1"/>
    <x v="1"/>
    <x v="0"/>
    <s v="S"/>
    <x v="3"/>
    <s v="VV"/>
    <x v="3"/>
    <x v="0"/>
    <m/>
    <m/>
    <s v="\\192.168.1.50\3勝一\SE-37(彰濱)\01.工程圖面\01.ISO\ISO\12.(UG)FW-90202-C1AU-01.pdf"/>
    <m/>
    <n v="1"/>
  </r>
  <r>
    <n v="12"/>
    <s v="(UG)FW-90202-C1AU-01"/>
    <s v="1/1"/>
    <n v="9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0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1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2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3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4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5"/>
    <x v="0"/>
    <n v="6"/>
    <x v="1"/>
    <x v="1"/>
    <x v="0"/>
    <s v="S"/>
    <x v="3"/>
    <s v="VV"/>
    <x v="3"/>
    <x v="0"/>
    <m/>
    <m/>
    <s v="\\192.168.1.50\3勝一\SE-37(彰濱)\01.工程圖面\01.ISO\ISO\12.(UG)FW-90202-C1AU-01.pdf"/>
    <m/>
    <n v="1"/>
  </r>
  <r>
    <n v="12"/>
    <s v="(UG)FW-90202-C1AU-01"/>
    <s v="1/1"/>
    <n v="16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7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8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n v="19"/>
    <x v="0"/>
    <n v="6"/>
    <x v="1"/>
    <x v="1"/>
    <x v="0"/>
    <s v="S"/>
    <x v="5"/>
    <s v="VV"/>
    <x v="6"/>
    <x v="0"/>
    <m/>
    <m/>
    <s v="\\192.168.1.50\3勝一\SE-37(彰濱)\01.工程圖面\01.ISO\ISO\12.(UG)FW-90202-C1AU-01.pdf"/>
    <m/>
    <n v="1"/>
  </r>
  <r>
    <n v="12"/>
    <s v="(UG)FW-90202-C1AU-01"/>
    <s v="1/1"/>
    <s v="19V"/>
    <x v="0"/>
    <n v="6"/>
    <x v="1"/>
    <x v="1"/>
    <x v="2"/>
    <s v="F"/>
    <x v="3"/>
    <m/>
    <x v="3"/>
    <x v="0"/>
    <m/>
    <m/>
    <s v="\\192.168.1.50\3勝一\SE-37(彰濱)\01.工程圖面\01.ISO\ISO\12.(UG)FW-90202-C1AU-01.pdf"/>
    <m/>
    <n v="1"/>
  </r>
  <r>
    <n v="13"/>
    <s v="(UG)IW-11001-C1AU-01"/>
    <s v="1/1"/>
    <n v="1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2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3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4"/>
    <x v="1"/>
    <n v="4"/>
    <x v="1"/>
    <x v="1"/>
    <x v="0"/>
    <s v="S"/>
    <x v="2"/>
    <s v="VV"/>
    <x v="2"/>
    <x v="0"/>
    <m/>
    <m/>
    <s v="\\192.168.1.50\3勝一\SE-37(彰濱)\01.工程圖面\01.ISO\ISO\13.(UG)IW-11001-C1AU-01.pdf"/>
    <m/>
    <n v="1"/>
  </r>
  <r>
    <n v="13"/>
    <s v="(UG)IW-11001-C1AU-01"/>
    <s v="1/1"/>
    <n v="5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6"/>
    <x v="1"/>
    <n v="4"/>
    <x v="1"/>
    <x v="1"/>
    <x v="0"/>
    <s v="S"/>
    <x v="2"/>
    <s v="VV"/>
    <x v="2"/>
    <x v="0"/>
    <m/>
    <m/>
    <s v="\\192.168.1.50\3勝一\SE-37(彰濱)\01.工程圖面\01.ISO\ISO\13.(UG)IW-11001-C1AU-01.pdf"/>
    <m/>
    <n v="1"/>
  </r>
  <r>
    <n v="13"/>
    <s v="(UG)IW-11001-C1AU-01"/>
    <s v="1/1"/>
    <n v="7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8"/>
    <x v="1"/>
    <n v="4"/>
    <x v="1"/>
    <x v="1"/>
    <x v="0"/>
    <s v="S"/>
    <x v="2"/>
    <s v="VV"/>
    <x v="2"/>
    <x v="0"/>
    <m/>
    <m/>
    <s v="\\192.168.1.50\3勝一\SE-37(彰濱)\01.工程圖面\01.ISO\ISO\13.(UG)IW-11001-C1AU-01.pdf"/>
    <m/>
    <n v="1"/>
  </r>
  <r>
    <n v="13"/>
    <s v="(UG)IW-11001-C1AU-01"/>
    <s v="1/1"/>
    <n v="9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10"/>
    <x v="1"/>
    <n v="4"/>
    <x v="1"/>
    <x v="1"/>
    <x v="0"/>
    <s v="S"/>
    <x v="2"/>
    <s v="VV"/>
    <x v="2"/>
    <x v="0"/>
    <m/>
    <m/>
    <s v="\\192.168.1.50\3勝一\SE-37(彰濱)\01.工程圖面\01.ISO\ISO\13.(UG)IW-11001-C1AU-01.pdf"/>
    <m/>
    <n v="1"/>
  </r>
  <r>
    <n v="13"/>
    <s v="(UG)IW-11001-C1AU-01"/>
    <s v="1/1"/>
    <n v="11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12"/>
    <x v="1"/>
    <n v="4"/>
    <x v="1"/>
    <x v="1"/>
    <x v="0"/>
    <s v="S"/>
    <x v="2"/>
    <s v="VV"/>
    <x v="2"/>
    <x v="0"/>
    <m/>
    <m/>
    <s v="\\192.168.1.50\3勝一\SE-37(彰濱)\01.工程圖面\01.ISO\ISO\13.(UG)IW-11001-C1AU-01.pdf"/>
    <m/>
    <n v="1"/>
  </r>
  <r>
    <n v="13"/>
    <s v="(UG)IW-11001-C1AU-01"/>
    <s v="1/1"/>
    <n v="13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3"/>
    <s v="(UG)IW-11001-C1AU-01"/>
    <s v="1/1"/>
    <n v="14"/>
    <x v="1"/>
    <n v="4"/>
    <x v="1"/>
    <x v="1"/>
    <x v="0"/>
    <s v="S"/>
    <x v="5"/>
    <s v="VV"/>
    <x v="6"/>
    <x v="0"/>
    <m/>
    <m/>
    <s v="\\192.168.1.50\3勝一\SE-37(彰濱)\01.工程圖面\01.ISO\ISO\13.(UG)IW-11001-C1AU-01.pdf"/>
    <m/>
    <n v="1"/>
  </r>
  <r>
    <n v="14"/>
    <s v="(UG)SW-11201-S1P4U-01"/>
    <s v="1/1"/>
    <n v="1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3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4"/>
    <x v="1"/>
    <n v="4"/>
    <x v="1"/>
    <x v="0"/>
    <x v="0"/>
    <s v="S"/>
    <x v="2"/>
    <s v="VV"/>
    <x v="2"/>
    <x v="0"/>
    <m/>
    <m/>
    <s v="\\192.168.1.50\3勝一\SE-37(彰濱)\01.工程圖面\01.ISO\ISO\14.(UG)SW-11201-S1P4U-01.pdf"/>
    <m/>
    <n v="1"/>
  </r>
  <r>
    <n v="14"/>
    <s v="(UG)SW-11201-S1P4U-01"/>
    <s v="1/1"/>
    <n v="5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6"/>
    <x v="1"/>
    <n v="4"/>
    <x v="1"/>
    <x v="0"/>
    <x v="0"/>
    <s v="S"/>
    <x v="2"/>
    <s v="VV"/>
    <x v="2"/>
    <x v="0"/>
    <m/>
    <m/>
    <s v="\\192.168.1.50\3勝一\SE-37(彰濱)\01.工程圖面\01.ISO\ISO\14.(UG)SW-11201-S1P4U-01.pdf"/>
    <m/>
    <n v="1"/>
  </r>
  <r>
    <n v="14"/>
    <s v="(UG)SW-11201-S1P4U-01"/>
    <s v="1/1"/>
    <n v="7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8"/>
    <x v="1"/>
    <n v="4"/>
    <x v="1"/>
    <x v="0"/>
    <x v="0"/>
    <s v="S"/>
    <x v="2"/>
    <s v="VV"/>
    <x v="2"/>
    <x v="0"/>
    <m/>
    <m/>
    <s v="\\192.168.1.50\3勝一\SE-37(彰濱)\01.工程圖面\01.ISO\ISO\14.(UG)SW-11201-S1P4U-01.pdf"/>
    <m/>
    <n v="1"/>
  </r>
  <r>
    <n v="14"/>
    <s v="(UG)SW-11201-S1P4U-01"/>
    <s v="1/1"/>
    <n v="9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10"/>
    <x v="1"/>
    <n v="4"/>
    <x v="1"/>
    <x v="0"/>
    <x v="0"/>
    <s v="S"/>
    <x v="2"/>
    <s v="VV"/>
    <x v="2"/>
    <x v="0"/>
    <m/>
    <m/>
    <s v="\\192.168.1.50\3勝一\SE-37(彰濱)\01.工程圖面\01.ISO\ISO\14.(UG)SW-11201-S1P4U-01.pdf"/>
    <m/>
    <n v="1"/>
  </r>
  <r>
    <n v="14"/>
    <s v="(UG)SW-11201-S1P4U-01"/>
    <s v="1/1"/>
    <n v="11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12"/>
    <x v="1"/>
    <n v="4"/>
    <x v="1"/>
    <x v="0"/>
    <x v="0"/>
    <s v="S"/>
    <x v="2"/>
    <s v="VV"/>
    <x v="2"/>
    <x v="0"/>
    <m/>
    <m/>
    <s v="\\192.168.1.50\3勝一\SE-37(彰濱)\01.工程圖面\01.ISO\ISO\14.(UG)SW-11201-S1P4U-01.pdf"/>
    <m/>
    <n v="1"/>
  </r>
  <r>
    <n v="14"/>
    <s v="(UG)SW-11201-S1P4U-01"/>
    <s v="1/1"/>
    <n v="13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4"/>
    <s v="(UG)SW-11201-S1P4U-01"/>
    <s v="1/1"/>
    <n v="14"/>
    <x v="1"/>
    <n v="4"/>
    <x v="1"/>
    <x v="0"/>
    <x v="0"/>
    <s v="S"/>
    <x v="0"/>
    <s v="VV"/>
    <x v="0"/>
    <x v="0"/>
    <m/>
    <m/>
    <s v="\\192.168.1.50\3勝一\SE-37(彰濱)\01.工程圖面\01.ISO\ISO\14.(UG)SW-11201-S1P4U-01.pdf"/>
    <m/>
    <n v="1"/>
  </r>
  <r>
    <n v="15"/>
    <s v="(UG)TRIM-W1808-N6-S1P4U-01"/>
    <s v="1/1"/>
    <n v="1"/>
    <x v="1"/>
    <n v="4"/>
    <x v="1"/>
    <x v="0"/>
    <x v="0"/>
    <s v="S"/>
    <x v="0"/>
    <s v="VV"/>
    <x v="0"/>
    <x v="0"/>
    <m/>
    <m/>
    <s v="\\192.168.1.50\3勝一\SE-37(彰濱)\01.工程圖面\01.ISO\ISO\15.(UG)TRIM-W1808-N6-S1P4U-01.pdf"/>
    <m/>
    <n v="1"/>
  </r>
  <r>
    <n v="15"/>
    <s v="(UG)TRIM-W1808-N6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15.(UG)TRIM-W1808-N6-S1P4U-01.pdf"/>
    <m/>
    <n v="1"/>
  </r>
  <r>
    <n v="15"/>
    <s v="(UG)TRIM-W1808-N6-S1P4U-01"/>
    <s v="1/1"/>
    <n v="3"/>
    <x v="1"/>
    <n v="4"/>
    <x v="1"/>
    <x v="0"/>
    <x v="0"/>
    <s v="S"/>
    <x v="0"/>
    <s v="VV"/>
    <x v="0"/>
    <x v="0"/>
    <m/>
    <m/>
    <s v="\\192.168.1.50\3勝一\SE-37(彰濱)\01.工程圖面\01.ISO\ISO\15.(UG)TRIM-W1808-N6-S1P4U-01.pdf"/>
    <m/>
    <n v="1"/>
  </r>
  <r>
    <n v="15"/>
    <s v="(UG)TRIM-W1808-N6-S1P4U-01"/>
    <s v="1/1"/>
    <n v="4"/>
    <x v="1"/>
    <n v="4"/>
    <x v="1"/>
    <x v="0"/>
    <x v="0"/>
    <s v="S"/>
    <x v="6"/>
    <s v="VV"/>
    <x v="7"/>
    <x v="0"/>
    <m/>
    <m/>
    <s v="\\192.168.1.50\3勝一\SE-37(彰濱)\01.工程圖面\01.ISO\ISO\15.(UG)TRIM-W1808-N6-S1P4U-01.pdf"/>
    <m/>
    <n v="1"/>
  </r>
  <r>
    <n v="16"/>
    <s v="(UG)WW-12101-S1P4U-01"/>
    <s v="1/2"/>
    <n v="1"/>
    <x v="1"/>
    <n v="4"/>
    <x v="1"/>
    <x v="0"/>
    <x v="0"/>
    <s v="S"/>
    <x v="0"/>
    <s v="VV"/>
    <x v="0"/>
    <x v="0"/>
    <m/>
    <m/>
    <s v="\\192.168.1.50\3勝一\SE-37(彰濱)\01.工程圖面\01.ISO\ISO\16.(UG)WW-12101-S1P4U-01.pdf"/>
    <m/>
    <n v="1"/>
  </r>
  <r>
    <n v="16"/>
    <s v="(UG)WW-12101-S1P4U-01"/>
    <s v="1/2"/>
    <s v="1V"/>
    <x v="1"/>
    <n v="4"/>
    <x v="1"/>
    <x v="0"/>
    <x v="2"/>
    <s v="F"/>
    <x v="3"/>
    <m/>
    <x v="3"/>
    <x v="0"/>
    <m/>
    <e v="#REF!"/>
    <s v="\\192.168.1.50\3勝一\SE-37(彰濱)\01.工程圖面\01.ISO\ISO\16.(UG)WW-12101-S1P4U-01.pdf"/>
    <s v="未完成"/>
    <n v="1"/>
  </r>
  <r>
    <n v="16"/>
    <s v="(UG)WW-12101-S1P4U-01"/>
    <s v="1/2"/>
    <n v="2"/>
    <x v="1"/>
    <n v="4"/>
    <x v="1"/>
    <x v="0"/>
    <x v="0"/>
    <s v="S"/>
    <x v="3"/>
    <s v="VV"/>
    <x v="3"/>
    <x v="0"/>
    <m/>
    <m/>
    <s v="\\192.168.1.50\3勝一\SE-37(彰濱)\01.工程圖面\01.ISO\ISO\16.(UG)WW-12101-S1P4U-01.pdf"/>
    <m/>
    <n v="1"/>
  </r>
  <r>
    <n v="16"/>
    <s v="(UG)WW-12101-S1P4U-01"/>
    <s v="1/2"/>
    <n v="3"/>
    <x v="1"/>
    <n v="4"/>
    <x v="1"/>
    <x v="0"/>
    <x v="0"/>
    <s v="S"/>
    <x v="7"/>
    <s v="VV"/>
    <x v="8"/>
    <x v="0"/>
    <m/>
    <m/>
    <s v="\\192.168.1.50\3勝一\SE-37(彰濱)\01.工程圖面\01.ISO\ISO\16.(UG)WW-12101-S1P4U-01.pdf"/>
    <m/>
    <n v="1"/>
  </r>
  <r>
    <n v="16"/>
    <s v="(UG)WW-12101-S1P4U-01"/>
    <s v="1/2"/>
    <n v="4"/>
    <x v="1"/>
    <n v="4"/>
    <x v="1"/>
    <x v="0"/>
    <x v="0"/>
    <s v="S"/>
    <x v="0"/>
    <s v="VV"/>
    <x v="0"/>
    <x v="0"/>
    <m/>
    <m/>
    <s v="\\192.168.1.50\3勝一\SE-37(彰濱)\01.工程圖面\01.ISO\ISO\16.(UG)WW-12101-S1P4U-01.pdf"/>
    <m/>
    <n v="1"/>
  </r>
  <r>
    <n v="16"/>
    <s v="(UG)WW-12101-S1P4U-01"/>
    <s v="1/2"/>
    <n v="5"/>
    <x v="1"/>
    <n v="4"/>
    <x v="1"/>
    <x v="0"/>
    <x v="0"/>
    <s v="S"/>
    <x v="0"/>
    <s v="VV"/>
    <x v="0"/>
    <x v="0"/>
    <m/>
    <m/>
    <s v="\\192.168.1.50\3勝一\SE-37(彰濱)\01.工程圖面\01.ISO\ISO\16.(UG)WW-12101-S1P4U-01.pdf"/>
    <m/>
    <n v="1"/>
  </r>
  <r>
    <n v="16"/>
    <s v="(UG)WW-12101-S1P4U-01"/>
    <s v="1/2"/>
    <n v="6"/>
    <x v="1"/>
    <n v="4"/>
    <x v="1"/>
    <x v="0"/>
    <x v="0"/>
    <s v="S"/>
    <x v="0"/>
    <s v="VV"/>
    <x v="0"/>
    <x v="0"/>
    <m/>
    <m/>
    <s v="\\192.168.1.50\3勝一\SE-37(彰濱)\01.工程圖面\01.ISO\ISO\16.(UG)WW-12101-S1P4U-01.pdf"/>
    <m/>
    <n v="1"/>
  </r>
  <r>
    <n v="16"/>
    <s v="(UG)WW-12101-S1P4U-01"/>
    <s v="1/2"/>
    <n v="7"/>
    <x v="1"/>
    <n v="4"/>
    <x v="1"/>
    <x v="0"/>
    <x v="0"/>
    <s v="S"/>
    <x v="0"/>
    <s v="VV"/>
    <x v="0"/>
    <x v="0"/>
    <m/>
    <m/>
    <s v="\\192.168.1.50\3勝一\SE-37(彰濱)\01.工程圖面\01.ISO\ISO\16.(UG)WW-12101-S1P4U-01.pdf"/>
    <m/>
    <n v="1"/>
  </r>
  <r>
    <n v="16"/>
    <s v="(UG)WW-12101-S1P4U-01"/>
    <s v="1/2"/>
    <n v="8"/>
    <x v="1"/>
    <n v="4"/>
    <x v="1"/>
    <x v="0"/>
    <x v="0"/>
    <s v="S"/>
    <x v="7"/>
    <s v="VV"/>
    <x v="8"/>
    <x v="0"/>
    <m/>
    <m/>
    <s v="\\192.168.1.50\3勝一\SE-37(彰濱)\01.工程圖面\01.ISO\ISO\16.(UG)WW-12101-S1P4U-01.pdf"/>
    <m/>
    <n v="1"/>
  </r>
  <r>
    <n v="16"/>
    <s v="(UG)WW-12101-S1P4U-01"/>
    <s v="1/2"/>
    <n v="9"/>
    <x v="1"/>
    <n v="4"/>
    <x v="1"/>
    <x v="0"/>
    <x v="0"/>
    <s v="S"/>
    <x v="0"/>
    <s v="VV"/>
    <x v="0"/>
    <x v="0"/>
    <m/>
    <m/>
    <s v="\\192.168.1.50\3勝一\SE-37(彰濱)\01.工程圖面\01.ISO\ISO\16.(UG)WW-12101-S1P4U-01.pdf"/>
    <m/>
    <n v="1"/>
  </r>
  <r>
    <n v="16"/>
    <s v="(UG)WW-12101-S1P4U-01"/>
    <s v="1/2"/>
    <n v="10"/>
    <x v="1"/>
    <n v="4"/>
    <x v="1"/>
    <x v="0"/>
    <x v="0"/>
    <s v="S"/>
    <x v="0"/>
    <s v="VV"/>
    <x v="0"/>
    <x v="0"/>
    <m/>
    <m/>
    <s v="\\192.168.1.50\3勝一\SE-37(彰濱)\01.工程圖面\01.ISO\ISO\16.(UG)WW-12101-S1P4U-01.pdf"/>
    <m/>
    <n v="1"/>
  </r>
  <r>
    <n v="17"/>
    <s v="(UG)WW-12101-S1P4U-02"/>
    <s v="2/2"/>
    <n v="11"/>
    <x v="1"/>
    <n v="4"/>
    <x v="1"/>
    <x v="0"/>
    <x v="0"/>
    <s v="S"/>
    <x v="7"/>
    <s v="VV"/>
    <x v="8"/>
    <x v="0"/>
    <m/>
    <m/>
    <s v="\\192.168.1.50\3勝一\SE-37(彰濱)\01.工程圖面\01.ISO\ISO\17.(UG)WW-12101-S1P4U-02.pdf"/>
    <m/>
    <n v="1"/>
  </r>
  <r>
    <n v="17"/>
    <s v="(UG)WW-12101-S1P4U-02"/>
    <s v="2/2"/>
    <n v="12"/>
    <x v="1"/>
    <n v="4"/>
    <x v="1"/>
    <x v="0"/>
    <x v="0"/>
    <s v="S"/>
    <x v="0"/>
    <s v="VV"/>
    <x v="0"/>
    <x v="0"/>
    <m/>
    <m/>
    <s v="\\192.168.1.50\3勝一\SE-37(彰濱)\01.工程圖面\01.ISO\ISO\17.(UG)WW-12101-S1P4U-02.pdf"/>
    <m/>
    <n v="1"/>
  </r>
  <r>
    <n v="17"/>
    <s v="(UG)WW-12101-S1P4U-02"/>
    <s v="2/2"/>
    <n v="13"/>
    <x v="1"/>
    <n v="4"/>
    <x v="1"/>
    <x v="0"/>
    <x v="0"/>
    <s v="S"/>
    <x v="0"/>
    <s v="VV"/>
    <x v="0"/>
    <x v="0"/>
    <m/>
    <m/>
    <s v="\\192.168.1.50\3勝一\SE-37(彰濱)\01.工程圖面\01.ISO\ISO\17.(UG)WW-12101-S1P4U-02.pdf"/>
    <m/>
    <n v="1"/>
  </r>
  <r>
    <n v="17"/>
    <s v="(UG)WW-12101-S1P4U-02"/>
    <s v="2/2"/>
    <n v="14"/>
    <x v="1"/>
    <n v="4"/>
    <x v="1"/>
    <x v="0"/>
    <x v="0"/>
    <s v="S"/>
    <x v="2"/>
    <s v="VV"/>
    <x v="2"/>
    <x v="0"/>
    <m/>
    <m/>
    <s v="\\192.168.1.50\3勝一\SE-37(彰濱)\01.工程圖面\01.ISO\ISO\17.(UG)WW-12101-S1P4U-02.pdf"/>
    <m/>
    <n v="1"/>
  </r>
  <r>
    <n v="17"/>
    <s v="(UG)WW-12101-S1P4U-02"/>
    <s v="2/2"/>
    <n v="15"/>
    <x v="1"/>
    <n v="4"/>
    <x v="1"/>
    <x v="0"/>
    <x v="0"/>
    <s v="S"/>
    <x v="0"/>
    <s v="VV"/>
    <x v="0"/>
    <x v="0"/>
    <m/>
    <m/>
    <s v="\\192.168.1.50\3勝一\SE-37(彰濱)\01.工程圖面\01.ISO\ISO\17.(UG)WW-12101-S1P4U-02.pdf"/>
    <m/>
    <n v="1"/>
  </r>
  <r>
    <n v="17"/>
    <s v="(UG)WW-12101-S1P4U-02"/>
    <s v="2/2"/>
    <n v="16"/>
    <x v="1"/>
    <n v="4"/>
    <x v="1"/>
    <x v="0"/>
    <x v="0"/>
    <s v="S"/>
    <x v="2"/>
    <s v="VV"/>
    <x v="2"/>
    <x v="0"/>
    <m/>
    <m/>
    <s v="\\192.168.1.50\3勝一\SE-37(彰濱)\01.工程圖面\01.ISO\ISO\17.(UG)WW-12101-S1P4U-02.pdf"/>
    <m/>
    <n v="1"/>
  </r>
  <r>
    <n v="17"/>
    <s v="(UG)WW-12101-S1P4U-02"/>
    <s v="2/2"/>
    <n v="17"/>
    <x v="1"/>
    <n v="4"/>
    <x v="1"/>
    <x v="0"/>
    <x v="0"/>
    <s v="S"/>
    <x v="7"/>
    <s v="VV"/>
    <x v="8"/>
    <x v="0"/>
    <m/>
    <m/>
    <s v="\\192.168.1.50\3勝一\SE-37(彰濱)\01.工程圖面\01.ISO\ISO\17.(UG)WW-12101-S1P4U-02.pdf"/>
    <m/>
    <n v="1"/>
  </r>
  <r>
    <n v="17"/>
    <s v="(UG)WW-12101-S1P4U-02"/>
    <s v="2/2"/>
    <n v="18"/>
    <x v="1"/>
    <n v="4"/>
    <x v="1"/>
    <x v="0"/>
    <x v="0"/>
    <s v="S"/>
    <x v="0"/>
    <s v="VV"/>
    <x v="0"/>
    <x v="0"/>
    <m/>
    <m/>
    <s v="\\192.168.1.50\3勝一\SE-37(彰濱)\01.工程圖面\01.ISO\ISO\17.(UG)WW-12101-S1P4U-02.pdf"/>
    <m/>
    <n v="1"/>
  </r>
  <r>
    <n v="17"/>
    <s v="(UG)WW-12101-S1P4U-02"/>
    <s v="2/2"/>
    <n v="19"/>
    <x v="1"/>
    <n v="4"/>
    <x v="1"/>
    <x v="0"/>
    <x v="0"/>
    <s v="S"/>
    <x v="0"/>
    <s v="VV"/>
    <x v="0"/>
    <x v="0"/>
    <m/>
    <m/>
    <s v="\\192.168.1.50\3勝一\SE-37(彰濱)\01.工程圖面\01.ISO\ISO\17.(UG)WW-12101-S1P4U-02.pdf"/>
    <m/>
    <n v="1"/>
  </r>
  <r>
    <n v="17"/>
    <s v="(UG)WW-12101-S1P4U-02"/>
    <s v="2/2"/>
    <n v="20"/>
    <x v="1"/>
    <n v="4"/>
    <x v="1"/>
    <x v="0"/>
    <x v="0"/>
    <s v="S"/>
    <x v="0"/>
    <s v="VV"/>
    <x v="0"/>
    <x v="0"/>
    <m/>
    <m/>
    <s v="\\192.168.1.50\3勝一\SE-37(彰濱)\01.工程圖面\01.ISO\ISO\17.(UG)WW-12101-S1P4U-02.pdf"/>
    <m/>
    <n v="1"/>
  </r>
  <r>
    <n v="17"/>
    <s v="(UG)WW-12101-S1P4U-02"/>
    <s v="2/2"/>
    <n v="21"/>
    <x v="1"/>
    <n v="4"/>
    <x v="1"/>
    <x v="0"/>
    <x v="0"/>
    <s v="S"/>
    <x v="0"/>
    <s v="VV"/>
    <x v="0"/>
    <x v="0"/>
    <m/>
    <m/>
    <s v="\\192.168.1.50\3勝一\SE-37(彰濱)\01.工程圖面\01.ISO\ISO\17.(UG)WW-12101-S1P4U-02.pdf"/>
    <m/>
    <n v="1"/>
  </r>
  <r>
    <n v="17"/>
    <s v="(UG)WW-12101-S1P4U-02"/>
    <s v="2/2"/>
    <n v="22"/>
    <x v="1"/>
    <n v="4"/>
    <x v="1"/>
    <x v="0"/>
    <x v="0"/>
    <s v="S"/>
    <x v="7"/>
    <s v="VV"/>
    <x v="8"/>
    <x v="0"/>
    <m/>
    <m/>
    <s v="\\192.168.1.50\3勝一\SE-37(彰濱)\01.工程圖面\01.ISO\ISO\17.(UG)WW-12101-S1P4U-02.pdf"/>
    <m/>
    <n v="1"/>
  </r>
  <r>
    <n v="18"/>
    <s v="(UG)WW-18011-S1P4U-01"/>
    <s v="1/1"/>
    <n v="1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3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4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5"/>
    <x v="1"/>
    <n v="4"/>
    <x v="1"/>
    <x v="0"/>
    <x v="0"/>
    <s v="S"/>
    <x v="3"/>
    <s v="VV"/>
    <x v="3"/>
    <x v="0"/>
    <m/>
    <m/>
    <s v="\\192.168.1.50\3勝一\SE-37(彰濱)\01.工程圖面\01.ISO\ISO\18.(UG)WW-18011-S1P4U-01.pdf"/>
    <m/>
    <n v="1"/>
  </r>
  <r>
    <n v="18"/>
    <s v="(UG)WW-18011-S1P4U-01"/>
    <s v="1/1"/>
    <n v="6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7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8"/>
    <x v="1"/>
    <n v="4"/>
    <x v="1"/>
    <x v="0"/>
    <x v="0"/>
    <s v="S"/>
    <x v="3"/>
    <s v="VV"/>
    <x v="3"/>
    <x v="0"/>
    <m/>
    <m/>
    <s v="\\192.168.1.50\3勝一\SE-37(彰濱)\01.工程圖面\01.ISO\ISO\18.(UG)WW-18011-S1P4U-01.pdf"/>
    <m/>
    <n v="1"/>
  </r>
  <r>
    <n v="18"/>
    <s v="(UG)WW-18011-S1P4U-01"/>
    <s v="1/1"/>
    <n v="9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10"/>
    <x v="1"/>
    <n v="4"/>
    <x v="1"/>
    <x v="0"/>
    <x v="0"/>
    <s v="S"/>
    <x v="3"/>
    <s v="VV"/>
    <x v="3"/>
    <x v="0"/>
    <m/>
    <m/>
    <s v="\\192.168.1.50\3勝一\SE-37(彰濱)\01.工程圖面\01.ISO\ISO\18.(UG)WW-18011-S1P4U-01.pdf"/>
    <m/>
    <n v="1"/>
  </r>
  <r>
    <n v="18"/>
    <s v="(UG)WW-18011-S1P4U-01"/>
    <s v="1/1"/>
    <n v="11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12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13"/>
    <x v="1"/>
    <n v="4"/>
    <x v="1"/>
    <x v="0"/>
    <x v="0"/>
    <s v="S"/>
    <x v="0"/>
    <s v="VV"/>
    <x v="0"/>
    <x v="0"/>
    <m/>
    <m/>
    <s v="\\192.168.1.50\3勝一\SE-37(彰濱)\01.工程圖面\01.ISO\ISO\18.(UG)WW-18011-S1P4U-01.pdf"/>
    <m/>
    <n v="1"/>
  </r>
  <r>
    <n v="18"/>
    <s v="(UG)WW-18011-S1P4U-01"/>
    <s v="1/1"/>
    <n v="14"/>
    <x v="1"/>
    <n v="4"/>
    <x v="1"/>
    <x v="0"/>
    <x v="0"/>
    <s v="S"/>
    <x v="6"/>
    <s v="VV"/>
    <x v="7"/>
    <x v="0"/>
    <m/>
    <m/>
    <s v="\\192.168.1.50\3勝一\SE-37(彰濱)\01.工程圖面\01.ISO\ISO\18.(UG)WW-18011-S1P4U-01.pdf"/>
    <m/>
    <n v="1"/>
  </r>
  <r>
    <n v="19"/>
    <s v="(UG)WW-18015-S1P4U-01"/>
    <s v="1/1"/>
    <n v="1"/>
    <x v="1"/>
    <n v="4"/>
    <x v="1"/>
    <x v="0"/>
    <x v="0"/>
    <s v="S"/>
    <x v="7"/>
    <s v="VV"/>
    <x v="8"/>
    <x v="0"/>
    <m/>
    <m/>
    <s v="\\192.168.1.50\3勝一\SE-37(彰濱)\01.工程圖面\01.ISO\ISO\19.(UG)WW-18015-S1P4U-01.pdf"/>
    <m/>
    <n v="1"/>
  </r>
  <r>
    <n v="19"/>
    <s v="(UG)WW-18015-S1P4U-01"/>
    <s v="1/1"/>
    <n v="2"/>
    <x v="1"/>
    <n v="4"/>
    <x v="1"/>
    <x v="0"/>
    <x v="0"/>
    <s v="S"/>
    <x v="2"/>
    <s v="VV"/>
    <x v="2"/>
    <x v="0"/>
    <m/>
    <m/>
    <s v="\\192.168.1.50\3勝一\SE-37(彰濱)\01.工程圖面\01.ISO\ISO\19.(UG)WW-18015-S1P4U-01.pdf"/>
    <m/>
    <n v="1"/>
  </r>
  <r>
    <n v="19"/>
    <s v="(UG)WW-18015-S1P4U-01"/>
    <s v="1/1"/>
    <n v="3"/>
    <x v="1"/>
    <n v="4"/>
    <x v="1"/>
    <x v="0"/>
    <x v="0"/>
    <s v="S"/>
    <x v="0"/>
    <s v="VV"/>
    <x v="0"/>
    <x v="0"/>
    <m/>
    <m/>
    <s v="\\192.168.1.50\3勝一\SE-37(彰濱)\01.工程圖面\01.ISO\ISO\19.(UG)WW-18015-S1P4U-01.pdf"/>
    <m/>
    <n v="1"/>
  </r>
  <r>
    <n v="19"/>
    <s v="(UG)WW-18015-S1P4U-01"/>
    <s v="1/1"/>
    <n v="4"/>
    <x v="1"/>
    <n v="4"/>
    <x v="1"/>
    <x v="0"/>
    <x v="0"/>
    <s v="S"/>
    <x v="2"/>
    <s v="VV"/>
    <x v="2"/>
    <x v="0"/>
    <m/>
    <m/>
    <s v="\\192.168.1.50\3勝一\SE-37(彰濱)\01.工程圖面\01.ISO\ISO\19.(UG)WW-18015-S1P4U-01.pdf"/>
    <m/>
    <n v="1"/>
  </r>
  <r>
    <n v="19"/>
    <s v="(UG)WW-18015-S1P4U-01"/>
    <s v="1/1"/>
    <n v="5"/>
    <x v="1"/>
    <n v="4"/>
    <x v="1"/>
    <x v="0"/>
    <x v="0"/>
    <s v="S"/>
    <x v="0"/>
    <s v="VV"/>
    <x v="0"/>
    <x v="0"/>
    <m/>
    <m/>
    <s v="\\192.168.1.50\3勝一\SE-37(彰濱)\01.工程圖面\01.ISO\ISO\19.(UG)WW-18015-S1P4U-01.pdf"/>
    <m/>
    <n v="1"/>
  </r>
  <r>
    <n v="19"/>
    <s v="(UG)WW-18015-S1P4U-01"/>
    <s v="1/1"/>
    <n v="6"/>
    <x v="1"/>
    <n v="4"/>
    <x v="1"/>
    <x v="0"/>
    <x v="0"/>
    <s v="S"/>
    <x v="0"/>
    <s v="VV"/>
    <x v="0"/>
    <x v="0"/>
    <m/>
    <m/>
    <s v="\\192.168.1.50\3勝一\SE-37(彰濱)\01.工程圖面\01.ISO\ISO\19.(UG)WW-18015-S1P4U-01.pdf"/>
    <m/>
    <n v="1"/>
  </r>
  <r>
    <n v="19"/>
    <s v="(UG)WW-18015-S1P4U-01"/>
    <s v="1/1"/>
    <n v="7"/>
    <x v="1"/>
    <n v="4"/>
    <x v="1"/>
    <x v="0"/>
    <x v="0"/>
    <s v="S"/>
    <x v="2"/>
    <s v="VV"/>
    <x v="2"/>
    <x v="0"/>
    <m/>
    <m/>
    <s v="\\192.168.1.50\3勝一\SE-37(彰濱)\01.工程圖面\01.ISO\ISO\19.(UG)WW-18015-S1P4U-01.pdf"/>
    <m/>
    <n v="1"/>
  </r>
  <r>
    <n v="20"/>
    <s v="(UG)WW-18016-S1P4U-01"/>
    <s v="1/1"/>
    <n v="1"/>
    <x v="1"/>
    <n v="4"/>
    <x v="1"/>
    <x v="0"/>
    <x v="0"/>
    <s v="S"/>
    <x v="7"/>
    <s v="VV"/>
    <x v="8"/>
    <x v="0"/>
    <m/>
    <m/>
    <s v="\\192.168.1.50\3勝一\SE-37(彰濱)\01.工程圖面\01.ISO\ISO\20.(UG)WW-18016-S1P4U-01.pdf"/>
    <m/>
    <n v="1"/>
  </r>
  <r>
    <n v="20"/>
    <s v="(UG)WW-18016-S1P4U-01"/>
    <s v="1/1"/>
    <n v="2"/>
    <x v="1"/>
    <n v="4"/>
    <x v="1"/>
    <x v="0"/>
    <x v="0"/>
    <s v="S"/>
    <x v="2"/>
    <s v="VV"/>
    <x v="2"/>
    <x v="0"/>
    <m/>
    <m/>
    <s v="\\192.168.1.50\3勝一\SE-37(彰濱)\01.工程圖面\01.ISO\ISO\20.(UG)WW-18016-S1P4U-01.pdf"/>
    <m/>
    <n v="1"/>
  </r>
  <r>
    <n v="20"/>
    <s v="(UG)WW-18016-S1P4U-01"/>
    <s v="1/1"/>
    <n v="3"/>
    <x v="1"/>
    <n v="4"/>
    <x v="1"/>
    <x v="0"/>
    <x v="0"/>
    <s v="S"/>
    <x v="0"/>
    <s v="VV"/>
    <x v="0"/>
    <x v="0"/>
    <m/>
    <m/>
    <s v="\\192.168.1.50\3勝一\SE-37(彰濱)\01.工程圖面\01.ISO\ISO\20.(UG)WW-18016-S1P4U-01.pdf"/>
    <m/>
    <n v="1"/>
  </r>
  <r>
    <n v="20"/>
    <s v="(UG)WW-18016-S1P4U-01"/>
    <s v="1/1"/>
    <n v="4"/>
    <x v="1"/>
    <n v="4"/>
    <x v="1"/>
    <x v="0"/>
    <x v="0"/>
    <s v="S"/>
    <x v="0"/>
    <s v="VV"/>
    <x v="0"/>
    <x v="0"/>
    <m/>
    <m/>
    <s v="\\192.168.1.50\3勝一\SE-37(彰濱)\01.工程圖面\01.ISO\ISO\20.(UG)WW-18016-S1P4U-01.pdf"/>
    <m/>
    <n v="1"/>
  </r>
  <r>
    <n v="20"/>
    <s v="(UG)WW-18016-S1P4U-01"/>
    <s v="1/1"/>
    <n v="5"/>
    <x v="1"/>
    <n v="4"/>
    <x v="1"/>
    <x v="0"/>
    <x v="0"/>
    <s v="S"/>
    <x v="0"/>
    <s v="VV"/>
    <x v="0"/>
    <x v="0"/>
    <m/>
    <m/>
    <s v="\\192.168.1.50\3勝一\SE-37(彰濱)\01.工程圖面\01.ISO\ISO\20.(UG)WW-18016-S1P4U-01.pdf"/>
    <m/>
    <n v="1"/>
  </r>
  <r>
    <n v="20"/>
    <s v="(UG)WW-18016-S1P4U-01"/>
    <s v="1/1"/>
    <n v="6"/>
    <x v="1"/>
    <n v="4"/>
    <x v="1"/>
    <x v="0"/>
    <x v="0"/>
    <s v="S"/>
    <x v="2"/>
    <s v="VV"/>
    <x v="2"/>
    <x v="0"/>
    <m/>
    <m/>
    <s v="\\192.168.1.50\3勝一\SE-37(彰濱)\01.工程圖面\01.ISO\ISO\20.(UG)WW-18016-S1P4U-01.pdf"/>
    <m/>
    <n v="1"/>
  </r>
  <r>
    <n v="20"/>
    <s v="(UG)WW-18016-S1P4U-01"/>
    <s v="1/1"/>
    <n v="7"/>
    <x v="1"/>
    <n v="4"/>
    <x v="1"/>
    <x v="0"/>
    <x v="0"/>
    <s v="S"/>
    <x v="0"/>
    <s v="VV"/>
    <x v="0"/>
    <x v="0"/>
    <m/>
    <m/>
    <s v="\\192.168.1.50\3勝一\SE-37(彰濱)\01.工程圖面\01.ISO\ISO\20.(UG)WW-18016-S1P4U-01.pdf"/>
    <m/>
    <n v="1"/>
  </r>
  <r>
    <n v="20"/>
    <s v="(UG)WW-18016-S1P4U-01"/>
    <s v="1/1"/>
    <n v="8"/>
    <x v="1"/>
    <n v="4"/>
    <x v="1"/>
    <x v="0"/>
    <x v="0"/>
    <s v="S"/>
    <x v="7"/>
    <s v="VV"/>
    <x v="8"/>
    <x v="0"/>
    <m/>
    <m/>
    <s v="\\192.168.1.50\3勝一\SE-37(彰濱)\01.工程圖面\01.ISO\ISO\20.(UG)WW-18016-S1P4U-01.pdf"/>
    <m/>
    <n v="1"/>
  </r>
  <r>
    <n v="20"/>
    <s v="(UG)WW-18016-S1P4U-01"/>
    <s v="1/1"/>
    <n v="9"/>
    <x v="1"/>
    <n v="4"/>
    <x v="1"/>
    <x v="0"/>
    <x v="0"/>
    <s v="S"/>
    <x v="2"/>
    <s v="VV"/>
    <x v="2"/>
    <x v="0"/>
    <m/>
    <m/>
    <s v="\\192.168.1.50\3勝一\SE-37(彰濱)\01.工程圖面\01.ISO\ISO\20.(UG)WW-18016-S1P4U-01.pdf"/>
    <m/>
    <n v="1"/>
  </r>
  <r>
    <n v="20"/>
    <s v="(UG)WW-18016-S1P4U-01"/>
    <s v="1/1"/>
    <n v="10"/>
    <x v="1"/>
    <n v="4"/>
    <x v="1"/>
    <x v="0"/>
    <x v="0"/>
    <s v="S"/>
    <x v="0"/>
    <s v="VV"/>
    <x v="0"/>
    <x v="0"/>
    <m/>
    <m/>
    <s v="\\192.168.1.50\3勝一\SE-37(彰濱)\01.工程圖面\01.ISO\ISO\20.(UG)WW-18016-S1P4U-01.pdf"/>
    <m/>
    <n v="1"/>
  </r>
  <r>
    <n v="21"/>
    <s v="(UG)WW-18017-S1P4U-01"/>
    <s v="1/1"/>
    <n v="1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2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3"/>
    <x v="6"/>
    <n v="3"/>
    <x v="1"/>
    <x v="0"/>
    <x v="0"/>
    <s v="S"/>
    <x v="3"/>
    <s v="VV"/>
    <x v="3"/>
    <x v="0"/>
    <m/>
    <m/>
    <s v="\\192.168.1.50\3勝一\SE-37(彰濱)\01.工程圖面\01.ISO\ISO\21.(UG)WW-18017-S1P4U-01.pdf"/>
    <m/>
    <n v="1"/>
  </r>
  <r>
    <n v="21"/>
    <s v="(UG)WW-18017-S1P4U-01"/>
    <s v="1/1"/>
    <n v="4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5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6"/>
    <x v="6"/>
    <n v="3"/>
    <x v="1"/>
    <x v="0"/>
    <x v="0"/>
    <s v="S"/>
    <x v="3"/>
    <s v="VV"/>
    <x v="3"/>
    <x v="0"/>
    <m/>
    <m/>
    <s v="\\192.168.1.50\3勝一\SE-37(彰濱)\01.工程圖面\01.ISO\ISO\21.(UG)WW-18017-S1P4U-01.pdf"/>
    <m/>
    <n v="1"/>
  </r>
  <r>
    <n v="21"/>
    <s v="(UG)WW-18017-S1P4U-01"/>
    <s v="1/1"/>
    <n v="7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8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9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10"/>
    <x v="6"/>
    <n v="3"/>
    <x v="1"/>
    <x v="0"/>
    <x v="0"/>
    <s v="S"/>
    <x v="3"/>
    <s v="VV"/>
    <x v="3"/>
    <x v="0"/>
    <m/>
    <m/>
    <s v="\\192.168.1.50\3勝一\SE-37(彰濱)\01.工程圖面\01.ISO\ISO\21.(UG)WW-18017-S1P4U-01.pdf"/>
    <m/>
    <n v="1"/>
  </r>
  <r>
    <n v="21"/>
    <s v="(UG)WW-18017-S1P4U-01"/>
    <s v="1/1"/>
    <n v="11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12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13"/>
    <x v="6"/>
    <n v="3"/>
    <x v="1"/>
    <x v="0"/>
    <x v="0"/>
    <s v="S"/>
    <x v="2"/>
    <s v="VV"/>
    <x v="2"/>
    <x v="0"/>
    <m/>
    <m/>
    <s v="\\192.168.1.50\3勝一\SE-37(彰濱)\01.工程圖面\01.ISO\ISO\21.(UG)WW-18017-S1P4U-01.pdf"/>
    <m/>
    <n v="1"/>
  </r>
  <r>
    <n v="21"/>
    <s v="(UG)WW-18017-S1P4U-01"/>
    <s v="1/1"/>
    <n v="14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15"/>
    <x v="6"/>
    <n v="3"/>
    <x v="1"/>
    <x v="0"/>
    <x v="0"/>
    <s v="S"/>
    <x v="0"/>
    <s v="VV"/>
    <x v="0"/>
    <x v="0"/>
    <m/>
    <m/>
    <s v="\\192.168.1.50\3勝一\SE-37(彰濱)\01.工程圖面\01.ISO\ISO\21.(UG)WW-18017-S1P4U-01.pdf"/>
    <m/>
    <n v="1"/>
  </r>
  <r>
    <n v="21"/>
    <s v="(UG)WW-18017-S1P4U-01"/>
    <s v="1/1"/>
    <n v="16"/>
    <x v="6"/>
    <n v="3"/>
    <x v="1"/>
    <x v="0"/>
    <x v="0"/>
    <s v="S"/>
    <x v="2"/>
    <s v="VV"/>
    <x v="2"/>
    <x v="0"/>
    <m/>
    <m/>
    <s v="\\192.168.1.50\3勝一\SE-37(彰濱)\01.工程圖面\01.ISO\ISO\21.(UG)WW-18017-S1P4U-01.pdf"/>
    <m/>
    <n v="1"/>
  </r>
  <r>
    <n v="22"/>
    <s v="(UG)WW-18021-S1P4U-01"/>
    <s v="1/1"/>
    <n v="1"/>
    <x v="3"/>
    <n v="8"/>
    <x v="1"/>
    <x v="0"/>
    <x v="0"/>
    <s v="S"/>
    <x v="1"/>
    <s v="VV"/>
    <x v="1"/>
    <x v="0"/>
    <m/>
    <m/>
    <s v="\\192.168.1.50\3勝一\SE-37(彰濱)\01.工程圖面\01.ISO\ISO\22.(UG)WW-18021-S1P4U-01.pdf"/>
    <m/>
    <n v="1"/>
  </r>
  <r>
    <n v="22"/>
    <s v="(UG)WW-18021-S1P4U-01"/>
    <s v="1/1"/>
    <n v="2"/>
    <x v="3"/>
    <n v="8"/>
    <x v="1"/>
    <x v="0"/>
    <x v="0"/>
    <s v="S"/>
    <x v="0"/>
    <s v="VV"/>
    <x v="0"/>
    <x v="0"/>
    <m/>
    <m/>
    <s v="\\192.168.1.50\3勝一\SE-37(彰濱)\01.工程圖面\01.ISO\ISO\22.(UG)WW-18021-S1P4U-01.pdf"/>
    <m/>
    <n v="1"/>
  </r>
  <r>
    <n v="22"/>
    <s v="(UG)WW-18021-S1P4U-01"/>
    <s v="1/1"/>
    <n v="3"/>
    <x v="3"/>
    <n v="8"/>
    <x v="1"/>
    <x v="0"/>
    <x v="0"/>
    <s v="S"/>
    <x v="0"/>
    <s v="VV"/>
    <x v="0"/>
    <x v="0"/>
    <m/>
    <m/>
    <s v="\\192.168.1.50\3勝一\SE-37(彰濱)\01.工程圖面\01.ISO\ISO\22.(UG)WW-18021-S1P4U-01.pdf"/>
    <m/>
    <n v="1"/>
  </r>
  <r>
    <n v="22"/>
    <s v="(UG)WW-18021-S1P4U-01"/>
    <s v="1/1"/>
    <s v="3V"/>
    <x v="3"/>
    <n v="8"/>
    <x v="1"/>
    <x v="0"/>
    <x v="2"/>
    <s v="F"/>
    <x v="3"/>
    <m/>
    <x v="3"/>
    <x v="0"/>
    <m/>
    <e v="#REF!"/>
    <s v="\\192.168.1.50\3勝一\SE-37(彰濱)\01.工程圖面\01.ISO\ISO\22.(UG)WW-18021-S1P4U-01.pdf"/>
    <s v="未完成"/>
    <n v="1"/>
  </r>
  <r>
    <n v="22"/>
    <s v="(UG)WW-18021-S1P4U-01"/>
    <s v="1/1"/>
    <n v="4"/>
    <x v="3"/>
    <n v="8"/>
    <x v="1"/>
    <x v="0"/>
    <x v="0"/>
    <s v="S"/>
    <x v="1"/>
    <s v="VV"/>
    <x v="1"/>
    <x v="0"/>
    <m/>
    <m/>
    <s v="\\192.168.1.50\3勝一\SE-37(彰濱)\01.工程圖面\01.ISO\ISO\22.(UG)WW-18021-S1P4U-01.pdf"/>
    <m/>
    <n v="1"/>
  </r>
  <r>
    <n v="22"/>
    <s v="(UG)WW-18021-S1P4U-01"/>
    <s v="1/1"/>
    <n v="5"/>
    <x v="3"/>
    <n v="8"/>
    <x v="1"/>
    <x v="0"/>
    <x v="0"/>
    <s v="S"/>
    <x v="1"/>
    <s v="VV"/>
    <x v="1"/>
    <x v="0"/>
    <m/>
    <m/>
    <s v="\\192.168.1.50\3勝一\SE-37(彰濱)\01.工程圖面\01.ISO\ISO\22.(UG)WW-18021-S1P4U-01.pdf"/>
    <m/>
    <n v="1"/>
  </r>
  <r>
    <n v="23"/>
    <s v="(UG)WW-18022-S1P4U-01"/>
    <s v="1/1"/>
    <n v="1"/>
    <x v="0"/>
    <n v="6"/>
    <x v="1"/>
    <x v="0"/>
    <x v="0"/>
    <s v="S"/>
    <x v="1"/>
    <s v="VV"/>
    <x v="1"/>
    <x v="0"/>
    <m/>
    <m/>
    <s v="\\192.168.1.50\3勝一\SE-37(彰濱)\01.工程圖面\01.ISO\ISO\23.(UG)WW-18022-S1P4U-01.pdf"/>
    <m/>
    <n v="1"/>
  </r>
  <r>
    <n v="23"/>
    <s v="(UG)WW-18022-S1P4U-01"/>
    <s v="1/1"/>
    <n v="2"/>
    <x v="0"/>
    <n v="6"/>
    <x v="1"/>
    <x v="0"/>
    <x v="0"/>
    <s v="S"/>
    <x v="0"/>
    <s v="VV"/>
    <x v="0"/>
    <x v="0"/>
    <m/>
    <m/>
    <s v="\\192.168.1.50\3勝一\SE-37(彰濱)\01.工程圖面\01.ISO\ISO\23.(UG)WW-18022-S1P4U-01.pdf"/>
    <m/>
    <n v="1"/>
  </r>
  <r>
    <n v="23"/>
    <s v="(UG)WW-18022-S1P4U-01"/>
    <s v="1/1"/>
    <n v="3"/>
    <x v="0"/>
    <n v="6"/>
    <x v="1"/>
    <x v="0"/>
    <x v="0"/>
    <s v="S"/>
    <x v="0"/>
    <s v="VV"/>
    <x v="0"/>
    <x v="0"/>
    <m/>
    <m/>
    <s v="\\192.168.1.50\3勝一\SE-37(彰濱)\01.工程圖面\01.ISO\ISO\23.(UG)WW-18022-S1P4U-01.pdf"/>
    <m/>
    <n v="1"/>
  </r>
  <r>
    <n v="23"/>
    <s v="(UG)WW-18022-S1P4U-01"/>
    <s v="1/1"/>
    <n v="4"/>
    <x v="0"/>
    <n v="6"/>
    <x v="1"/>
    <x v="0"/>
    <x v="0"/>
    <s v="S"/>
    <x v="0"/>
    <s v="VV"/>
    <x v="0"/>
    <x v="0"/>
    <m/>
    <m/>
    <s v="\\192.168.1.50\3勝一\SE-37(彰濱)\01.工程圖面\01.ISO\ISO\23.(UG)WW-18022-S1P4U-01.pdf"/>
    <m/>
    <n v="1"/>
  </r>
  <r>
    <n v="23"/>
    <s v="(UG)WW-18022-S1P4U-01"/>
    <s v="1/1"/>
    <s v="4V"/>
    <x v="0"/>
    <n v="6"/>
    <x v="1"/>
    <x v="0"/>
    <x v="2"/>
    <s v="F"/>
    <x v="3"/>
    <m/>
    <x v="3"/>
    <x v="0"/>
    <m/>
    <e v="#REF!"/>
    <s v="\\192.168.1.50\3勝一\SE-37(彰濱)\01.工程圖面\01.ISO\ISO\23.(UG)WW-18022-S1P4U-01.pdf"/>
    <s v="未完成"/>
    <n v="1"/>
  </r>
  <r>
    <n v="23"/>
    <s v="(UG)WW-18022-S1P4U-01"/>
    <s v="1/1"/>
    <n v="5"/>
    <x v="0"/>
    <n v="6"/>
    <x v="1"/>
    <x v="0"/>
    <x v="0"/>
    <s v="S"/>
    <x v="1"/>
    <s v="VV"/>
    <x v="1"/>
    <x v="0"/>
    <m/>
    <m/>
    <s v="\\192.168.1.50\3勝一\SE-37(彰濱)\01.工程圖面\01.ISO\ISO\23.(UG)WW-18022-S1P4U-01.pdf"/>
    <m/>
    <n v="1"/>
  </r>
  <r>
    <n v="23"/>
    <s v="(UG)WW-18022-S1P4U-01"/>
    <s v="1/1"/>
    <n v="6"/>
    <x v="0"/>
    <n v="6"/>
    <x v="1"/>
    <x v="0"/>
    <x v="0"/>
    <s v="S"/>
    <x v="1"/>
    <s v="VV"/>
    <x v="1"/>
    <x v="0"/>
    <m/>
    <m/>
    <s v="\\192.168.1.50\3勝一\SE-37(彰濱)\01.工程圖面\01.ISO\ISO\23.(UG)WW-18022-S1P4U-01.pdf"/>
    <m/>
    <n v="1"/>
  </r>
  <r>
    <n v="23"/>
    <s v="(UG)WW-18022-S1P4U-01"/>
    <s v="1/1"/>
    <n v="7"/>
    <x v="0"/>
    <n v="6"/>
    <x v="1"/>
    <x v="0"/>
    <x v="0"/>
    <s v="S"/>
    <x v="0"/>
    <s v="VV"/>
    <x v="0"/>
    <x v="0"/>
    <m/>
    <m/>
    <s v="\\192.168.1.50\3勝一\SE-37(彰濱)\01.工程圖面\01.ISO\ISO\23.(UG)WW-18022-S1P4U-01.pdf"/>
    <m/>
    <n v="1"/>
  </r>
  <r>
    <n v="23"/>
    <s v="(UG)WW-18022-S1P4U-01"/>
    <s v="1/1"/>
    <n v="8"/>
    <x v="0"/>
    <n v="6"/>
    <x v="1"/>
    <x v="0"/>
    <x v="0"/>
    <s v="S"/>
    <x v="0"/>
    <s v="VV"/>
    <x v="0"/>
    <x v="0"/>
    <m/>
    <m/>
    <s v="\\192.168.1.50\3勝一\SE-37(彰濱)\01.工程圖面\01.ISO\ISO\23.(UG)WW-18022-S1P4U-01.pdf"/>
    <m/>
    <n v="1"/>
  </r>
  <r>
    <n v="23"/>
    <s v="(UG)WW-18022-S1P4U-01"/>
    <s v="1/1"/>
    <n v="9"/>
    <x v="0"/>
    <n v="6"/>
    <x v="1"/>
    <x v="0"/>
    <x v="0"/>
    <s v="S"/>
    <x v="0"/>
    <s v="VV"/>
    <x v="0"/>
    <x v="0"/>
    <m/>
    <m/>
    <s v="\\192.168.1.50\3勝一\SE-37(彰濱)\01.工程圖面\01.ISO\ISO\23.(UG)WW-18022-S1P4U-01.pdf"/>
    <m/>
    <n v="1"/>
  </r>
  <r>
    <n v="23"/>
    <s v="(UG)WW-18022-S1P4U-01"/>
    <s v="1/1"/>
    <n v="10"/>
    <x v="0"/>
    <n v="6"/>
    <x v="1"/>
    <x v="0"/>
    <x v="0"/>
    <s v="S"/>
    <x v="0"/>
    <s v="VV"/>
    <x v="0"/>
    <x v="0"/>
    <m/>
    <m/>
    <s v="\\192.168.1.50\3勝一\SE-37(彰濱)\01.工程圖面\01.ISO\ISO\23.(UG)WW-18022-S1P4U-01.pdf"/>
    <m/>
    <n v="1"/>
  </r>
  <r>
    <n v="23"/>
    <s v="(UG)WW-18022-S1P4U-01"/>
    <s v="1/1"/>
    <n v="11"/>
    <x v="0"/>
    <n v="6"/>
    <x v="1"/>
    <x v="0"/>
    <x v="0"/>
    <s v="S"/>
    <x v="1"/>
    <s v="VV"/>
    <x v="1"/>
    <x v="0"/>
    <m/>
    <m/>
    <s v="\\192.168.1.50\3勝一\SE-37(彰濱)\01.工程圖面\01.ISO\ISO\23.(UG)WW-18022-S1P4U-01.pdf"/>
    <m/>
    <n v="1"/>
  </r>
  <r>
    <n v="24"/>
    <s v="(UG)WW-18023-S1P4U-01"/>
    <s v="1/1"/>
    <n v="1"/>
    <x v="1"/>
    <n v="4"/>
    <x v="1"/>
    <x v="0"/>
    <x v="0"/>
    <s v="S"/>
    <x v="1"/>
    <s v="VV"/>
    <x v="1"/>
    <x v="0"/>
    <m/>
    <m/>
    <s v="\\192.168.1.50\3勝一\SE-37(彰濱)\01.工程圖面\01.ISO\ISO\24.(UG)WW-18023-S1P4U-01.pdf"/>
    <m/>
    <n v="1"/>
  </r>
  <r>
    <n v="24"/>
    <s v="(UG)WW-18023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24.(UG)WW-18023-S1P4U-01.pdf"/>
    <m/>
    <n v="1"/>
  </r>
  <r>
    <n v="24"/>
    <s v="(UG)WW-18023-S1P4U-01"/>
    <s v="1/1"/>
    <n v="3"/>
    <x v="1"/>
    <n v="4"/>
    <x v="1"/>
    <x v="0"/>
    <x v="0"/>
    <s v="S"/>
    <x v="0"/>
    <s v="VV"/>
    <x v="0"/>
    <x v="0"/>
    <m/>
    <m/>
    <s v="\\192.168.1.50\3勝一\SE-37(彰濱)\01.工程圖面\01.ISO\ISO\24.(UG)WW-18023-S1P4U-01.pdf"/>
    <m/>
    <n v="1"/>
  </r>
  <r>
    <n v="24"/>
    <s v="(UG)WW-18023-S1P4U-01"/>
    <s v="1/1"/>
    <n v="4"/>
    <x v="1"/>
    <n v="4"/>
    <x v="1"/>
    <x v="0"/>
    <x v="0"/>
    <s v="S"/>
    <x v="1"/>
    <s v="VV"/>
    <x v="1"/>
    <x v="0"/>
    <m/>
    <m/>
    <s v="\\192.168.1.50\3勝一\SE-37(彰濱)\01.工程圖面\01.ISO\ISO\24.(UG)WW-18023-S1P4U-01.pdf"/>
    <m/>
    <n v="1"/>
  </r>
  <r>
    <n v="24"/>
    <s v="(UG)WW-18023-S1P4U-01"/>
    <s v="1/1"/>
    <n v="5"/>
    <x v="1"/>
    <n v="4"/>
    <x v="1"/>
    <x v="0"/>
    <x v="0"/>
    <s v="S"/>
    <x v="0"/>
    <s v="VV"/>
    <x v="0"/>
    <x v="0"/>
    <m/>
    <m/>
    <s v="\\192.168.1.50\3勝一\SE-37(彰濱)\01.工程圖面\01.ISO\ISO\24.(UG)WW-18023-S1P4U-01.pdf"/>
    <m/>
    <n v="1"/>
  </r>
  <r>
    <n v="24"/>
    <s v="(UG)WW-18023-S1P4U-01"/>
    <s v="1/1"/>
    <n v="6"/>
    <x v="1"/>
    <n v="4"/>
    <x v="1"/>
    <x v="0"/>
    <x v="0"/>
    <s v="S"/>
    <x v="0"/>
    <s v="VV"/>
    <x v="0"/>
    <x v="0"/>
    <m/>
    <m/>
    <s v="\\192.168.1.50\3勝一\SE-37(彰濱)\01.工程圖面\01.ISO\ISO\24.(UG)WW-18023-S1P4U-01.pdf"/>
    <m/>
    <n v="1"/>
  </r>
  <r>
    <n v="24"/>
    <s v="(UG)WW-18023-S1P4U-01"/>
    <s v="1/1"/>
    <n v="7"/>
    <x v="1"/>
    <n v="4"/>
    <x v="1"/>
    <x v="0"/>
    <x v="0"/>
    <s v="S"/>
    <x v="1"/>
    <s v="VV"/>
    <x v="1"/>
    <x v="0"/>
    <m/>
    <m/>
    <s v="\\192.168.1.50\3勝一\SE-37(彰濱)\01.工程圖面\01.ISO\ISO\24.(UG)WW-18023-S1P4U-01.pdf"/>
    <m/>
    <n v="1"/>
  </r>
  <r>
    <n v="24"/>
    <s v="(UG)WW-18023-S1P4U-01"/>
    <s v="1/1"/>
    <n v="8"/>
    <x v="1"/>
    <n v="4"/>
    <x v="1"/>
    <x v="0"/>
    <x v="0"/>
    <s v="S"/>
    <x v="0"/>
    <s v="VV"/>
    <x v="0"/>
    <x v="0"/>
    <m/>
    <m/>
    <s v="\\192.168.1.50\3勝一\SE-37(彰濱)\01.工程圖面\01.ISO\ISO\24.(UG)WW-18023-S1P4U-01.pdf"/>
    <m/>
    <n v="1"/>
  </r>
  <r>
    <n v="24"/>
    <s v="(UG)WW-18023-S1P4U-01"/>
    <s v="1/1"/>
    <n v="9"/>
    <x v="1"/>
    <n v="4"/>
    <x v="1"/>
    <x v="0"/>
    <x v="0"/>
    <s v="S"/>
    <x v="1"/>
    <s v="VV"/>
    <x v="1"/>
    <x v="0"/>
    <m/>
    <m/>
    <s v="\\192.168.1.50\3勝一\SE-37(彰濱)\01.工程圖面\01.ISO\ISO\24.(UG)WW-18023-S1P4U-01.pdf"/>
    <m/>
    <n v="1"/>
  </r>
  <r>
    <n v="25"/>
    <s v="(UG)WW-18026-S1P4U-01"/>
    <s v="1/1"/>
    <n v="1"/>
    <x v="0"/>
    <n v="6"/>
    <x v="1"/>
    <x v="0"/>
    <x v="0"/>
    <s v="S"/>
    <x v="1"/>
    <s v="VV"/>
    <x v="1"/>
    <x v="0"/>
    <m/>
    <m/>
    <s v="\\192.168.1.50\3勝一\SE-37(彰濱)\01.工程圖面\01.ISO\ISO\25.(UG)WW-18026-S1P4U-01.pdf"/>
    <m/>
    <n v="1"/>
  </r>
  <r>
    <n v="25"/>
    <s v="(UG)WW-18026-S1P4U-01"/>
    <s v="1/1"/>
    <n v="2"/>
    <x v="0"/>
    <n v="6"/>
    <x v="1"/>
    <x v="0"/>
    <x v="0"/>
    <s v="S"/>
    <x v="0"/>
    <s v="VV"/>
    <x v="0"/>
    <x v="0"/>
    <m/>
    <m/>
    <s v="\\192.168.1.50\3勝一\SE-37(彰濱)\01.工程圖面\01.ISO\ISO\25.(UG)WW-18026-S1P4U-01.pdf"/>
    <m/>
    <n v="1"/>
  </r>
  <r>
    <n v="25"/>
    <s v="(UG)WW-18026-S1P4U-01"/>
    <s v="1/1"/>
    <s v="2V"/>
    <x v="0"/>
    <n v="6"/>
    <x v="1"/>
    <x v="0"/>
    <x v="2"/>
    <s v="F"/>
    <x v="3"/>
    <m/>
    <x v="3"/>
    <x v="0"/>
    <m/>
    <e v="#REF!"/>
    <s v="\\192.168.1.50\3勝一\SE-37(彰濱)\01.工程圖面\01.ISO\ISO\25.(UG)WW-18026-S1P4U-01.pdf"/>
    <s v="未完成"/>
    <n v="1"/>
  </r>
  <r>
    <n v="25"/>
    <s v="(UG)WW-18026-S1P4U-01"/>
    <s v="1/1"/>
    <n v="3"/>
    <x v="0"/>
    <n v="6"/>
    <x v="1"/>
    <x v="0"/>
    <x v="0"/>
    <s v="S"/>
    <x v="1"/>
    <s v="VV"/>
    <x v="1"/>
    <x v="0"/>
    <m/>
    <m/>
    <s v="\\192.168.1.50\3勝一\SE-37(彰濱)\01.工程圖面\01.ISO\ISO\25.(UG)WW-18026-S1P4U-01.pdf"/>
    <m/>
    <n v="1"/>
  </r>
  <r>
    <n v="25"/>
    <s v="(UG)WW-18026-S1P4U-01"/>
    <s v="1/1"/>
    <n v="4"/>
    <x v="0"/>
    <n v="6"/>
    <x v="1"/>
    <x v="0"/>
    <x v="0"/>
    <s v="S"/>
    <x v="1"/>
    <s v="VV"/>
    <x v="1"/>
    <x v="0"/>
    <m/>
    <m/>
    <s v="\\192.168.1.50\3勝一\SE-37(彰濱)\01.工程圖面\01.ISO\ISO\25.(UG)WW-18026-S1P4U-01.pdf"/>
    <m/>
    <n v="1"/>
  </r>
  <r>
    <n v="25"/>
    <s v="(UG)WW-18026-S1P4U-01"/>
    <s v="1/1"/>
    <n v="5"/>
    <x v="0"/>
    <n v="6"/>
    <x v="1"/>
    <x v="0"/>
    <x v="0"/>
    <s v="S"/>
    <x v="0"/>
    <s v="VV"/>
    <x v="0"/>
    <x v="0"/>
    <m/>
    <m/>
    <s v="\\192.168.1.50\3勝一\SE-37(彰濱)\01.工程圖面\01.ISO\ISO\25.(UG)WW-18026-S1P4U-01.pdf"/>
    <m/>
    <n v="1"/>
  </r>
  <r>
    <n v="26"/>
    <s v="(UG)WW-18031-S1P4U-01"/>
    <s v="1/1"/>
    <n v="1"/>
    <x v="0"/>
    <n v="6"/>
    <x v="1"/>
    <x v="0"/>
    <x v="0"/>
    <s v="S"/>
    <x v="1"/>
    <s v="VV"/>
    <x v="1"/>
    <x v="0"/>
    <m/>
    <m/>
    <s v="\\192.168.1.50\3勝一\SE-37(彰濱)\01.工程圖面\01.ISO\ISO\26.(UG)WW-18031-S1P4U-01.pdf"/>
    <m/>
    <n v="1"/>
  </r>
  <r>
    <n v="26"/>
    <s v="(UG)WW-18031-S1P4U-01"/>
    <s v="1/1"/>
    <n v="2"/>
    <x v="0"/>
    <n v="6"/>
    <x v="1"/>
    <x v="0"/>
    <x v="0"/>
    <s v="S"/>
    <x v="0"/>
    <s v="VV"/>
    <x v="0"/>
    <x v="0"/>
    <m/>
    <m/>
    <s v="\\192.168.1.50\3勝一\SE-37(彰濱)\01.工程圖面\01.ISO\ISO\26.(UG)WW-18031-S1P4U-01.pdf"/>
    <m/>
    <n v="1"/>
  </r>
  <r>
    <n v="26"/>
    <s v="(UG)WW-18031-S1P4U-01"/>
    <s v="1/1"/>
    <n v="3"/>
    <x v="0"/>
    <n v="6"/>
    <x v="1"/>
    <x v="0"/>
    <x v="0"/>
    <s v="S"/>
    <x v="0"/>
    <s v="VV"/>
    <x v="0"/>
    <x v="0"/>
    <m/>
    <m/>
    <s v="\\192.168.1.50\3勝一\SE-37(彰濱)\01.工程圖面\01.ISO\ISO\26.(UG)WW-18031-S1P4U-01.pdf"/>
    <m/>
    <n v="1"/>
  </r>
  <r>
    <n v="26"/>
    <s v="(UG)WW-18031-S1P4U-01"/>
    <s v="1/1"/>
    <s v="3V"/>
    <x v="0"/>
    <n v="6"/>
    <x v="1"/>
    <x v="0"/>
    <x v="2"/>
    <s v="F"/>
    <x v="3"/>
    <m/>
    <x v="3"/>
    <x v="0"/>
    <m/>
    <e v="#REF!"/>
    <s v="\\192.168.1.50\3勝一\SE-37(彰濱)\01.工程圖面\01.ISO\ISO\26.(UG)WW-18031-S1P4U-01.pdf"/>
    <s v="未完成"/>
    <n v="1"/>
  </r>
  <r>
    <n v="26"/>
    <s v="(UG)WW-18031-S1P4U-01"/>
    <s v="1/1"/>
    <n v="4"/>
    <x v="0"/>
    <n v="6"/>
    <x v="1"/>
    <x v="0"/>
    <x v="0"/>
    <s v="S"/>
    <x v="1"/>
    <s v="VV"/>
    <x v="1"/>
    <x v="0"/>
    <m/>
    <m/>
    <s v="\\192.168.1.50\3勝一\SE-37(彰濱)\01.工程圖面\01.ISO\ISO\26.(UG)WW-18031-S1P4U-01.pdf"/>
    <m/>
    <n v="1"/>
  </r>
  <r>
    <n v="26"/>
    <s v="(UG)WW-18031-S1P4U-01"/>
    <s v="1/1"/>
    <n v="5"/>
    <x v="0"/>
    <n v="6"/>
    <x v="1"/>
    <x v="0"/>
    <x v="0"/>
    <s v="S"/>
    <x v="1"/>
    <s v="VV"/>
    <x v="1"/>
    <x v="0"/>
    <m/>
    <m/>
    <s v="\\192.168.1.50\3勝一\SE-37(彰濱)\01.工程圖面\01.ISO\ISO\26.(UG)WW-18031-S1P4U-01.pdf"/>
    <m/>
    <n v="1"/>
  </r>
  <r>
    <n v="27"/>
    <s v="(UG)WW-18032-S1P4U-01"/>
    <s v="1/1"/>
    <n v="1"/>
    <x v="1"/>
    <n v="4"/>
    <x v="1"/>
    <x v="0"/>
    <x v="0"/>
    <s v="S"/>
    <x v="1"/>
    <s v="VV"/>
    <x v="1"/>
    <x v="0"/>
    <m/>
    <m/>
    <s v="\\192.168.1.50\3勝一\SE-37(彰濱)\01.工程圖面\01.ISO\ISO\27.(UG)WW-18032-S1P4U-01.pdf"/>
    <m/>
    <n v="1"/>
  </r>
  <r>
    <n v="27"/>
    <s v="(UG)WW-18032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27.(UG)WW-18032-S1P4U-01.pdf"/>
    <m/>
    <n v="1"/>
  </r>
  <r>
    <n v="27"/>
    <s v="(UG)WW-18032-S1P4U-01"/>
    <s v="1/1"/>
    <n v="3"/>
    <x v="1"/>
    <n v="4"/>
    <x v="1"/>
    <x v="0"/>
    <x v="0"/>
    <s v="S"/>
    <x v="0"/>
    <s v="VV"/>
    <x v="0"/>
    <x v="0"/>
    <m/>
    <m/>
    <s v="\\192.168.1.50\3勝一\SE-37(彰濱)\01.工程圖面\01.ISO\ISO\27.(UG)WW-18032-S1P4U-01.pdf"/>
    <m/>
    <n v="1"/>
  </r>
  <r>
    <n v="27"/>
    <s v="(UG)WW-18032-S1P4U-01"/>
    <s v="1/1"/>
    <n v="4"/>
    <x v="1"/>
    <n v="4"/>
    <x v="1"/>
    <x v="0"/>
    <x v="0"/>
    <s v="S"/>
    <x v="0"/>
    <s v="VV"/>
    <x v="0"/>
    <x v="0"/>
    <m/>
    <m/>
    <s v="\\192.168.1.50\3勝一\SE-37(彰濱)\01.工程圖面\01.ISO\ISO\27.(UG)WW-18032-S1P4U-01.pdf"/>
    <m/>
    <n v="1"/>
  </r>
  <r>
    <n v="27"/>
    <s v="(UG)WW-18032-S1P4U-01"/>
    <s v="1/1"/>
    <s v="4V"/>
    <x v="1"/>
    <n v="4"/>
    <x v="1"/>
    <x v="0"/>
    <x v="2"/>
    <s v="F"/>
    <x v="3"/>
    <m/>
    <x v="3"/>
    <x v="0"/>
    <m/>
    <e v="#REF!"/>
    <s v="\\192.168.1.50\3勝一\SE-37(彰濱)\01.工程圖面\01.ISO\ISO\27.(UG)WW-18032-S1P4U-01.pdf"/>
    <s v="未完成"/>
    <n v="1"/>
  </r>
  <r>
    <n v="27"/>
    <s v="(UG)WW-18032-S1P4U-01"/>
    <s v="1/1"/>
    <n v="5"/>
    <x v="1"/>
    <n v="4"/>
    <x v="1"/>
    <x v="0"/>
    <x v="0"/>
    <s v="S"/>
    <x v="1"/>
    <s v="VV"/>
    <x v="1"/>
    <x v="0"/>
    <m/>
    <m/>
    <s v="\\192.168.1.50\3勝一\SE-37(彰濱)\01.工程圖面\01.ISO\ISO\27.(UG)WW-18032-S1P4U-01.pdf"/>
    <m/>
    <n v="1"/>
  </r>
  <r>
    <n v="27"/>
    <s v="(UG)WW-18032-S1P4U-01"/>
    <s v="1/1"/>
    <n v="6"/>
    <x v="1"/>
    <n v="4"/>
    <x v="1"/>
    <x v="0"/>
    <x v="0"/>
    <s v="S"/>
    <x v="1"/>
    <s v="VV"/>
    <x v="1"/>
    <x v="0"/>
    <m/>
    <m/>
    <s v="\\192.168.1.50\3勝一\SE-37(彰濱)\01.工程圖面\01.ISO\ISO\27.(UG)WW-18032-S1P4U-01.pdf"/>
    <m/>
    <n v="1"/>
  </r>
  <r>
    <n v="27"/>
    <s v="(UG)WW-18032-S1P4U-01"/>
    <s v="1/1"/>
    <n v="7"/>
    <x v="1"/>
    <n v="4"/>
    <x v="1"/>
    <x v="0"/>
    <x v="0"/>
    <s v="S"/>
    <x v="0"/>
    <s v="VV"/>
    <x v="0"/>
    <x v="0"/>
    <m/>
    <m/>
    <s v="\\192.168.1.50\3勝一\SE-37(彰濱)\01.工程圖面\01.ISO\ISO\27.(UG)WW-18032-S1P4U-01.pdf"/>
    <m/>
    <n v="1"/>
  </r>
  <r>
    <n v="27"/>
    <s v="(UG)WW-18032-S1P4U-01"/>
    <s v="1/1"/>
    <n v="8"/>
    <x v="1"/>
    <n v="4"/>
    <x v="1"/>
    <x v="0"/>
    <x v="0"/>
    <s v="S"/>
    <x v="0"/>
    <s v="VV"/>
    <x v="0"/>
    <x v="0"/>
    <m/>
    <m/>
    <s v="\\192.168.1.50\3勝一\SE-37(彰濱)\01.工程圖面\01.ISO\ISO\27.(UG)WW-18032-S1P4U-01.pdf"/>
    <m/>
    <n v="1"/>
  </r>
  <r>
    <n v="27"/>
    <s v="(UG)WW-18032-S1P4U-01"/>
    <s v="1/1"/>
    <n v="9"/>
    <x v="1"/>
    <n v="4"/>
    <x v="1"/>
    <x v="0"/>
    <x v="0"/>
    <s v="S"/>
    <x v="0"/>
    <s v="VV"/>
    <x v="0"/>
    <x v="0"/>
    <m/>
    <m/>
    <s v="\\192.168.1.50\3勝一\SE-37(彰濱)\01.工程圖面\01.ISO\ISO\27.(UG)WW-18032-S1P4U-01.pdf"/>
    <m/>
    <n v="1"/>
  </r>
  <r>
    <n v="27"/>
    <s v="(UG)WW-18032-S1P4U-01"/>
    <s v="1/1"/>
    <n v="10"/>
    <x v="1"/>
    <n v="4"/>
    <x v="1"/>
    <x v="0"/>
    <x v="0"/>
    <s v="S"/>
    <x v="1"/>
    <s v="VV"/>
    <x v="1"/>
    <x v="0"/>
    <m/>
    <m/>
    <s v="\\192.168.1.50\3勝一\SE-37(彰濱)\01.工程圖面\01.ISO\ISO\27.(UG)WW-18032-S1P4U-01.pdf"/>
    <m/>
    <n v="1"/>
  </r>
  <r>
    <n v="28"/>
    <s v="(UG)WW-18033-S1P4U-01"/>
    <s v="1/1"/>
    <n v="1"/>
    <x v="1"/>
    <n v="4"/>
    <x v="1"/>
    <x v="0"/>
    <x v="0"/>
    <s v="S"/>
    <x v="1"/>
    <s v="VV"/>
    <x v="1"/>
    <x v="0"/>
    <m/>
    <m/>
    <s v="\\192.168.1.50\3勝一\SE-37(彰濱)\01.工程圖面\01.ISO\ISO\28.(UG)WW-18033-S1P4U-01.pdf"/>
    <m/>
    <n v="1"/>
  </r>
  <r>
    <n v="28"/>
    <s v="(UG)WW-18033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28.(UG)WW-18033-S1P4U-01.pdf"/>
    <m/>
    <n v="1"/>
  </r>
  <r>
    <n v="28"/>
    <s v="(UG)WW-18033-S1P4U-01"/>
    <s v="1/1"/>
    <n v="3"/>
    <x v="1"/>
    <n v="4"/>
    <x v="1"/>
    <x v="0"/>
    <x v="0"/>
    <s v="S"/>
    <x v="1"/>
    <s v="VV"/>
    <x v="1"/>
    <x v="0"/>
    <m/>
    <m/>
    <s v="\\192.168.1.50\3勝一\SE-37(彰濱)\01.工程圖面\01.ISO\ISO\28.(UG)WW-18033-S1P4U-01.pdf"/>
    <m/>
    <n v="1"/>
  </r>
  <r>
    <n v="28"/>
    <s v="(UG)WW-18033-S1P4U-01"/>
    <s v="1/1"/>
    <n v="4"/>
    <x v="1"/>
    <n v="4"/>
    <x v="1"/>
    <x v="0"/>
    <x v="0"/>
    <s v="S"/>
    <x v="0"/>
    <s v="VV"/>
    <x v="0"/>
    <x v="0"/>
    <m/>
    <m/>
    <s v="\\192.168.1.50\3勝一\SE-37(彰濱)\01.工程圖面\01.ISO\ISO\28.(UG)WW-18033-S1P4U-01.pdf"/>
    <m/>
    <n v="1"/>
  </r>
  <r>
    <n v="28"/>
    <s v="(UG)WW-18033-S1P4U-01"/>
    <s v="1/1"/>
    <n v="5"/>
    <x v="1"/>
    <n v="4"/>
    <x v="1"/>
    <x v="0"/>
    <x v="0"/>
    <s v="S"/>
    <x v="1"/>
    <s v="VV"/>
    <x v="1"/>
    <x v="0"/>
    <m/>
    <m/>
    <s v="\\192.168.1.50\3勝一\SE-37(彰濱)\01.工程圖面\01.ISO\ISO\28.(UG)WW-18033-S1P4U-01.pdf"/>
    <m/>
    <n v="1"/>
  </r>
  <r>
    <n v="29"/>
    <s v="(UG)WW-18039-S1P4U-01"/>
    <s v="1/1"/>
    <n v="1"/>
    <x v="1"/>
    <n v="4"/>
    <x v="1"/>
    <x v="0"/>
    <x v="0"/>
    <s v="S"/>
    <x v="3"/>
    <s v="VV"/>
    <x v="3"/>
    <x v="0"/>
    <m/>
    <m/>
    <s v="\\192.168.1.50\3勝一\SE-37(彰濱)\01.工程圖面\01.ISO\ISO\29.(UG)WW-18039-S1P4U-01.pdf"/>
    <m/>
    <n v="1"/>
  </r>
  <r>
    <n v="29"/>
    <s v="(UG)WW-18039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29.(UG)WW-18039-S1P4U-01.pdf"/>
    <m/>
    <n v="1"/>
  </r>
  <r>
    <n v="29"/>
    <s v="(UG)WW-18039-S1P4U-01"/>
    <s v="1/1"/>
    <s v="2V"/>
    <x v="1"/>
    <n v="4"/>
    <x v="1"/>
    <x v="0"/>
    <x v="2"/>
    <s v="F"/>
    <x v="3"/>
    <m/>
    <x v="3"/>
    <x v="0"/>
    <m/>
    <e v="#REF!"/>
    <s v="\\192.168.1.50\3勝一\SE-37(彰濱)\01.工程圖面\01.ISO\ISO\29.(UG)WW-18039-S1P4U-01.pdf"/>
    <s v="未完成"/>
    <n v="1"/>
  </r>
  <r>
    <n v="29"/>
    <s v="(UG)WW-18039-S1P4U-01"/>
    <s v="1/1"/>
    <n v="3"/>
    <x v="1"/>
    <n v="4"/>
    <x v="1"/>
    <x v="0"/>
    <x v="0"/>
    <s v="S"/>
    <x v="3"/>
    <s v="VV"/>
    <x v="3"/>
    <x v="0"/>
    <m/>
    <m/>
    <s v="\\192.168.1.50\3勝一\SE-37(彰濱)\01.工程圖面\01.ISO\ISO\29.(UG)WW-18039-S1P4U-01.pdf"/>
    <m/>
    <n v="1"/>
  </r>
  <r>
    <n v="29"/>
    <s v="(UG)WW-18039-S1P4U-01"/>
    <s v="1/1"/>
    <n v="4"/>
    <x v="1"/>
    <n v="4"/>
    <x v="1"/>
    <x v="0"/>
    <x v="0"/>
    <s v="S"/>
    <x v="3"/>
    <s v="VV"/>
    <x v="3"/>
    <x v="0"/>
    <m/>
    <m/>
    <s v="\\192.168.1.50\3勝一\SE-37(彰濱)\01.工程圖面\01.ISO\ISO\29.(UG)WW-18039-S1P4U-01.pdf"/>
    <m/>
    <n v="1"/>
  </r>
  <r>
    <n v="29"/>
    <s v="(UG)WW-18039-S1P4U-01"/>
    <s v="1/1"/>
    <n v="5"/>
    <x v="1"/>
    <n v="4"/>
    <x v="1"/>
    <x v="0"/>
    <x v="0"/>
    <s v="S"/>
    <x v="0"/>
    <s v="VV"/>
    <x v="0"/>
    <x v="0"/>
    <m/>
    <m/>
    <s v="\\192.168.1.50\3勝一\SE-37(彰濱)\01.工程圖面\01.ISO\ISO\29.(UG)WW-18039-S1P4U-01.pdf"/>
    <m/>
    <n v="1"/>
  </r>
  <r>
    <n v="29"/>
    <s v="(UG)WW-18039-S1P4U-01"/>
    <s v="1/1"/>
    <n v="6"/>
    <x v="1"/>
    <n v="4"/>
    <x v="1"/>
    <x v="0"/>
    <x v="0"/>
    <s v="S"/>
    <x v="0"/>
    <s v="VV"/>
    <x v="0"/>
    <x v="0"/>
    <m/>
    <m/>
    <s v="\\192.168.1.50\3勝一\SE-37(彰濱)\01.工程圖面\01.ISO\ISO\29.(UG)WW-18039-S1P4U-01.pdf"/>
    <m/>
    <n v="1"/>
  </r>
  <r>
    <n v="29"/>
    <s v="(UG)WW-18039-S1P4U-01"/>
    <s v="1/1"/>
    <n v="7"/>
    <x v="1"/>
    <n v="4"/>
    <x v="1"/>
    <x v="0"/>
    <x v="0"/>
    <s v="S"/>
    <x v="3"/>
    <s v="VV"/>
    <x v="3"/>
    <x v="0"/>
    <m/>
    <m/>
    <s v="\\192.168.1.50\3勝一\SE-37(彰濱)\01.工程圖面\01.ISO\ISO\29.(UG)WW-18039-S1P4U-01.pdf"/>
    <m/>
    <n v="1"/>
  </r>
  <r>
    <n v="29"/>
    <s v="(UG)WW-18039-S1P4U-01"/>
    <s v="1/1"/>
    <n v="8"/>
    <x v="1"/>
    <n v="4"/>
    <x v="1"/>
    <x v="0"/>
    <x v="0"/>
    <s v="S"/>
    <x v="0"/>
    <s v="VV"/>
    <x v="0"/>
    <x v="0"/>
    <m/>
    <m/>
    <s v="\\192.168.1.50\3勝一\SE-37(彰濱)\01.工程圖面\01.ISO\ISO\29.(UG)WW-18039-S1P4U-01.pdf"/>
    <m/>
    <n v="1"/>
  </r>
  <r>
    <n v="30"/>
    <s v="(UG)WW-18041-S1P4U-01"/>
    <s v="1/2"/>
    <n v="1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2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3"/>
    <x v="8"/>
    <n v="1"/>
    <x v="1"/>
    <x v="0"/>
    <x v="0"/>
    <s v="S"/>
    <x v="3"/>
    <s v="VV"/>
    <x v="3"/>
    <x v="0"/>
    <m/>
    <m/>
    <s v="\\192.168.1.50\3勝一\SE-37(彰濱)\01.工程圖面\01.ISO\ISO\30.(UG)WW-18041-S1P4U-01.pdf"/>
    <m/>
    <n v="1"/>
  </r>
  <r>
    <n v="30"/>
    <s v="(UG)WW-18041-S1P4U-01"/>
    <s v="1/2"/>
    <n v="4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5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6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7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8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s v="8V"/>
    <x v="7"/>
    <n v="2"/>
    <x v="1"/>
    <x v="0"/>
    <x v="2"/>
    <s v="F"/>
    <x v="3"/>
    <m/>
    <x v="3"/>
    <x v="0"/>
    <m/>
    <e v="#REF!"/>
    <s v="\\192.168.1.50\3勝一\SE-37(彰濱)\01.工程圖面\01.ISO\ISO\30.(UG)WW-18041-S1P4U-01.pdf"/>
    <s v="未完成"/>
    <n v="1"/>
  </r>
  <r>
    <n v="30"/>
    <s v="(UG)WW-18041-S1P4U-01"/>
    <s v="1/2"/>
    <n v="9"/>
    <x v="8"/>
    <n v="1"/>
    <x v="1"/>
    <x v="0"/>
    <x v="0"/>
    <s v="S"/>
    <x v="3"/>
    <s v="VV"/>
    <x v="3"/>
    <x v="0"/>
    <m/>
    <m/>
    <s v="\\192.168.1.50\3勝一\SE-37(彰濱)\01.工程圖面\01.ISO\ISO\30.(UG)WW-18041-S1P4U-01.pdf"/>
    <m/>
    <n v="1"/>
  </r>
  <r>
    <n v="30"/>
    <s v="(UG)WW-18041-S1P4U-01"/>
    <s v="1/2"/>
    <n v="10"/>
    <x v="8"/>
    <n v="1"/>
    <x v="1"/>
    <x v="0"/>
    <x v="3"/>
    <s v="S"/>
    <x v="0"/>
    <s v="V"/>
    <x v="0"/>
    <x v="0"/>
    <m/>
    <m/>
    <s v="\\192.168.1.50\3勝一\SE-37(彰濱)\01.工程圖面\01.ISO\ISO\30.(UG)WW-18041-S1P4U-01.pdf"/>
    <m/>
    <n v="1"/>
  </r>
  <r>
    <n v="30"/>
    <s v="(UG)WW-18041-S1P4U-01"/>
    <s v="1/2"/>
    <n v="11"/>
    <x v="8"/>
    <n v="1"/>
    <x v="1"/>
    <x v="0"/>
    <x v="3"/>
    <s v="S"/>
    <x v="0"/>
    <s v="V"/>
    <x v="0"/>
    <x v="0"/>
    <m/>
    <m/>
    <s v="\\192.168.1.50\3勝一\SE-37(彰濱)\01.工程圖面\01.ISO\ISO\30.(UG)WW-18041-S1P4U-01.pdf"/>
    <m/>
    <n v="1"/>
  </r>
  <r>
    <n v="30"/>
    <s v="(UG)WW-18041-S1P4U-01"/>
    <s v="1/2"/>
    <n v="12"/>
    <x v="8"/>
    <n v="1"/>
    <x v="1"/>
    <x v="0"/>
    <x v="3"/>
    <s v="S"/>
    <x v="0"/>
    <s v="V"/>
    <x v="0"/>
    <x v="0"/>
    <m/>
    <m/>
    <s v="\\192.168.1.50\3勝一\SE-37(彰濱)\01.工程圖面\01.ISO\ISO\30.(UG)WW-18041-S1P4U-01.pdf"/>
    <m/>
    <n v="1"/>
  </r>
  <r>
    <n v="30"/>
    <s v="(UG)WW-18041-S1P4U-01"/>
    <s v="1/2"/>
    <n v="13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14"/>
    <x v="8"/>
    <n v="1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n v="15"/>
    <x v="8"/>
    <n v="1"/>
    <x v="1"/>
    <x v="0"/>
    <x v="3"/>
    <s v="S"/>
    <x v="0"/>
    <s v="V"/>
    <x v="0"/>
    <x v="0"/>
    <m/>
    <m/>
    <s v="\\192.168.1.50\3勝一\SE-37(彰濱)\01.工程圖面\01.ISO\ISO\30.(UG)WW-18041-S1P4U-01.pdf"/>
    <m/>
    <n v="1"/>
  </r>
  <r>
    <n v="30"/>
    <s v="(UG)WW-18041-S1P4U-01"/>
    <s v="1/2"/>
    <n v="16"/>
    <x v="8"/>
    <n v="1"/>
    <x v="1"/>
    <x v="0"/>
    <x v="3"/>
    <s v="S"/>
    <x v="0"/>
    <s v="V"/>
    <x v="0"/>
    <x v="0"/>
    <m/>
    <m/>
    <s v="\\192.168.1.50\3勝一\SE-37(彰濱)\01.工程圖面\01.ISO\ISO\30.(UG)WW-18041-S1P4U-01.pdf"/>
    <m/>
    <n v="1"/>
  </r>
  <r>
    <n v="30"/>
    <s v="(UG)WW-18041-S1P4U-01"/>
    <s v="1/2"/>
    <n v="17"/>
    <x v="7"/>
    <n v="2"/>
    <x v="1"/>
    <x v="0"/>
    <x v="0"/>
    <s v="S"/>
    <x v="0"/>
    <s v="VV"/>
    <x v="0"/>
    <x v="0"/>
    <m/>
    <m/>
    <s v="\\192.168.1.50\3勝一\SE-37(彰濱)\01.工程圖面\01.ISO\ISO\30.(UG)WW-18041-S1P4U-01.pdf"/>
    <m/>
    <n v="1"/>
  </r>
  <r>
    <n v="30"/>
    <s v="(UG)WW-18041-S1P4U-01"/>
    <s v="1/2"/>
    <s v="17V"/>
    <x v="7"/>
    <n v="2"/>
    <x v="1"/>
    <x v="0"/>
    <x v="2"/>
    <s v="F"/>
    <x v="3"/>
    <m/>
    <x v="3"/>
    <x v="0"/>
    <m/>
    <m/>
    <s v="\\192.168.1.50\3勝一\SE-37(彰濱)\01.工程圖面\01.ISO\ISO\30.(UG)WW-18041-S1P4U-01.pdf"/>
    <m/>
    <n v="1"/>
  </r>
  <r>
    <n v="30"/>
    <s v="(UG)WW-18041-S1P4U-01"/>
    <s v="1/2"/>
    <n v="1001"/>
    <x v="8"/>
    <n v="1"/>
    <x v="1"/>
    <x v="0"/>
    <x v="3"/>
    <s v="S"/>
    <x v="0"/>
    <s v="V"/>
    <x v="0"/>
    <x v="0"/>
    <m/>
    <m/>
    <s v="\\192.168.1.50\3勝一\SE-37(彰濱)\01.工程圖面\01.ISO\ISO\30.(UG)WW-18041-S1P4U-01.pdf"/>
    <s v="已完成"/>
    <n v="1"/>
  </r>
  <r>
    <n v="31"/>
    <s v="(UG)WW-18041-S1P4U-02"/>
    <s v="2/2"/>
    <n v="18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19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20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21"/>
    <x v="7"/>
    <n v="2"/>
    <x v="1"/>
    <x v="0"/>
    <x v="0"/>
    <s v="S"/>
    <x v="3"/>
    <s v="VV"/>
    <x v="3"/>
    <x v="0"/>
    <m/>
    <m/>
    <s v="\\192.168.1.50\3勝一\SE-37(彰濱)\01.工程圖面\01.ISO\ISO\31.(UG)WW-18041-S1P4U-02.pdf"/>
    <m/>
    <n v="1"/>
  </r>
  <r>
    <n v="31"/>
    <s v="(UG)WW-18041-S1P4U-02"/>
    <s v="2/2"/>
    <n v="22"/>
    <x v="7"/>
    <n v="2"/>
    <x v="1"/>
    <x v="0"/>
    <x v="0"/>
    <s v="S"/>
    <x v="3"/>
    <s v="VV"/>
    <x v="3"/>
    <x v="0"/>
    <m/>
    <m/>
    <s v="\\192.168.1.50\3勝一\SE-37(彰濱)\01.工程圖面\01.ISO\ISO\31.(UG)WW-18041-S1P4U-02.pdf"/>
    <m/>
    <n v="1"/>
  </r>
  <r>
    <n v="31"/>
    <s v="(UG)WW-18041-S1P4U-02"/>
    <s v="2/2"/>
    <n v="23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24"/>
    <x v="7"/>
    <n v="2"/>
    <x v="1"/>
    <x v="0"/>
    <x v="0"/>
    <s v="S"/>
    <x v="3"/>
    <s v="VV"/>
    <x v="3"/>
    <x v="0"/>
    <m/>
    <m/>
    <s v="\\192.168.1.50\3勝一\SE-37(彰濱)\01.工程圖面\01.ISO\ISO\31.(UG)WW-18041-S1P4U-02.pdf"/>
    <m/>
    <n v="1"/>
  </r>
  <r>
    <n v="31"/>
    <s v="(UG)WW-18041-S1P4U-02"/>
    <s v="2/2"/>
    <n v="25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26"/>
    <x v="7"/>
    <n v="2"/>
    <x v="1"/>
    <x v="0"/>
    <x v="0"/>
    <s v="S"/>
    <x v="3"/>
    <s v="VV"/>
    <x v="3"/>
    <x v="0"/>
    <m/>
    <m/>
    <s v="\\192.168.1.50\3勝一\SE-37(彰濱)\01.工程圖面\01.ISO\ISO\31.(UG)WW-18041-S1P4U-02.pdf"/>
    <m/>
    <n v="1"/>
  </r>
  <r>
    <n v="31"/>
    <s v="(UG)WW-18041-S1P4U-02"/>
    <s v="2/2"/>
    <n v="27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28"/>
    <x v="7"/>
    <n v="2"/>
    <x v="1"/>
    <x v="0"/>
    <x v="0"/>
    <s v="S"/>
    <x v="3"/>
    <s v="VV"/>
    <x v="3"/>
    <x v="0"/>
    <m/>
    <m/>
    <s v="\\192.168.1.50\3勝一\SE-37(彰濱)\01.工程圖面\01.ISO\ISO\31.(UG)WW-18041-S1P4U-02.pdf"/>
    <m/>
    <n v="1"/>
  </r>
  <r>
    <n v="31"/>
    <s v="(UG)WW-18041-S1P4U-02"/>
    <s v="2/2"/>
    <n v="29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0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1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2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3"/>
    <x v="7"/>
    <n v="2"/>
    <x v="1"/>
    <x v="0"/>
    <x v="0"/>
    <s v="S"/>
    <x v="6"/>
    <s v="VV"/>
    <x v="7"/>
    <x v="0"/>
    <m/>
    <m/>
    <s v="\\192.168.1.50\3勝一\SE-37(彰濱)\01.工程圖面\01.ISO\ISO\31.(UG)WW-18041-S1P4U-02.pdf"/>
    <m/>
    <n v="1"/>
  </r>
  <r>
    <n v="31"/>
    <s v="(UG)WW-18041-S1P4U-02"/>
    <s v="2/2"/>
    <n v="34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5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6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7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n v="38"/>
    <x v="7"/>
    <n v="2"/>
    <x v="1"/>
    <x v="0"/>
    <x v="0"/>
    <s v="S"/>
    <x v="0"/>
    <s v="VV"/>
    <x v="0"/>
    <x v="0"/>
    <m/>
    <m/>
    <s v="\\192.168.1.50\3勝一\SE-37(彰濱)\01.工程圖面\01.ISO\ISO\31.(UG)WW-18041-S1P4U-02.pdf"/>
    <m/>
    <n v="1"/>
  </r>
  <r>
    <n v="31"/>
    <s v="(UG)WW-18041-S1P4U-02"/>
    <s v="2/2"/>
    <s v="38V"/>
    <x v="7"/>
    <n v="2"/>
    <x v="1"/>
    <x v="0"/>
    <x v="2"/>
    <s v="F"/>
    <x v="3"/>
    <m/>
    <x v="3"/>
    <x v="0"/>
    <m/>
    <m/>
    <s v="\\192.168.1.50\3勝一\SE-37(彰濱)\01.工程圖面\01.ISO\ISO\31.(UG)WW-18041-S1P4U-02.pdf"/>
    <m/>
    <n v="1"/>
  </r>
  <r>
    <n v="32"/>
    <s v="(UG)WW-18042-S1P4U-01"/>
    <s v="1/1"/>
    <n v="1"/>
    <x v="7"/>
    <n v="2"/>
    <x v="1"/>
    <x v="0"/>
    <x v="0"/>
    <s v="S"/>
    <x v="0"/>
    <s v="VV"/>
    <x v="0"/>
    <x v="0"/>
    <m/>
    <m/>
    <s v="\\192.168.1.50\3勝一\SE-37(彰濱)\01.工程圖面\01.ISO\ISO\32.(UG)WW-18042-S1P4U-01.pdf"/>
    <m/>
    <n v="1"/>
  </r>
  <r>
    <n v="32"/>
    <s v="(UG)WW-18042-S1P4U-01"/>
    <s v="1/1"/>
    <n v="2"/>
    <x v="7"/>
    <n v="2"/>
    <x v="1"/>
    <x v="0"/>
    <x v="0"/>
    <s v="S"/>
    <x v="0"/>
    <s v="VV"/>
    <x v="0"/>
    <x v="0"/>
    <m/>
    <m/>
    <s v="\\192.168.1.50\3勝一\SE-37(彰濱)\01.工程圖面\01.ISO\ISO\32.(UG)WW-18042-S1P4U-01.pdf"/>
    <m/>
    <n v="1"/>
  </r>
  <r>
    <n v="32"/>
    <s v="(UG)WW-18042-S1P4U-01"/>
    <s v="1/1"/>
    <n v="3"/>
    <x v="7"/>
    <n v="2"/>
    <x v="1"/>
    <x v="0"/>
    <x v="0"/>
    <s v="S"/>
    <x v="0"/>
    <s v="VV"/>
    <x v="0"/>
    <x v="0"/>
    <m/>
    <m/>
    <s v="\\192.168.1.50\3勝一\SE-37(彰濱)\01.工程圖面\01.ISO\ISO\32.(UG)WW-18042-S1P4U-01.pdf"/>
    <m/>
    <n v="1"/>
  </r>
  <r>
    <n v="32"/>
    <s v="(UG)WW-18042-S1P4U-01"/>
    <s v="1/1"/>
    <s v="3V"/>
    <x v="7"/>
    <n v="2"/>
    <x v="1"/>
    <x v="0"/>
    <x v="2"/>
    <s v="F"/>
    <x v="3"/>
    <m/>
    <x v="3"/>
    <x v="0"/>
    <m/>
    <e v="#REF!"/>
    <s v="\\192.168.1.50\3勝一\SE-37(彰濱)\01.工程圖面\01.ISO\ISO\32.(UG)WW-18042-S1P4U-01.pdf"/>
    <s v="未完成"/>
    <n v="1"/>
  </r>
  <r>
    <n v="32"/>
    <s v="(UG)WW-18042-S1P4U-01"/>
    <s v="1/1"/>
    <n v="4"/>
    <x v="7"/>
    <n v="2"/>
    <x v="1"/>
    <x v="0"/>
    <x v="0"/>
    <s v="S"/>
    <x v="0"/>
    <s v="VV"/>
    <x v="0"/>
    <x v="0"/>
    <m/>
    <m/>
    <s v="\\192.168.1.50\3勝一\SE-37(彰濱)\01.工程圖面\01.ISO\ISO\32.(UG)WW-18042-S1P4U-01.pdf"/>
    <m/>
    <n v="1"/>
  </r>
  <r>
    <n v="32"/>
    <s v="(UG)WW-18042-S1P4U-01"/>
    <s v="1/1"/>
    <n v="5"/>
    <x v="7"/>
    <n v="2"/>
    <x v="1"/>
    <x v="0"/>
    <x v="0"/>
    <s v="S"/>
    <x v="0"/>
    <s v="VV"/>
    <x v="0"/>
    <x v="0"/>
    <m/>
    <m/>
    <s v="\\192.168.1.50\3勝一\SE-37(彰濱)\01.工程圖面\01.ISO\ISO\32.(UG)WW-18042-S1P4U-01.pdf"/>
    <m/>
    <n v="1"/>
  </r>
  <r>
    <n v="32"/>
    <s v="(UG)WW-18042-S1P4U-01"/>
    <s v="1/1"/>
    <n v="6"/>
    <x v="7"/>
    <n v="2"/>
    <x v="1"/>
    <x v="0"/>
    <x v="0"/>
    <s v="S"/>
    <x v="0"/>
    <s v="VV"/>
    <x v="0"/>
    <x v="0"/>
    <m/>
    <m/>
    <s v="\\192.168.1.50\3勝一\SE-37(彰濱)\01.工程圖面\01.ISO\ISO\32.(UG)WW-18042-S1P4U-01.pdf"/>
    <m/>
    <n v="1"/>
  </r>
  <r>
    <n v="33"/>
    <s v="(UG)WW-18044-S1P4U-01"/>
    <s v="1/1"/>
    <n v="1"/>
    <x v="1"/>
    <n v="4"/>
    <x v="1"/>
    <x v="0"/>
    <x v="0"/>
    <s v="S"/>
    <x v="1"/>
    <s v="VV"/>
    <x v="1"/>
    <x v="0"/>
    <m/>
    <m/>
    <s v="\\192.168.1.50\3勝一\SE-37(彰濱)\01.工程圖面\01.ISO\ISO\33.(UG)WW-18044-S1P4U-01.pdf"/>
    <m/>
    <n v="1"/>
  </r>
  <r>
    <n v="33"/>
    <s v="(UG)WW-18044-S1P4U-01"/>
    <s v="1/1"/>
    <n v="2"/>
    <x v="1"/>
    <n v="4"/>
    <x v="1"/>
    <x v="0"/>
    <x v="0"/>
    <s v="S"/>
    <x v="0"/>
    <s v="VV"/>
    <x v="0"/>
    <x v="0"/>
    <m/>
    <m/>
    <s v="\\192.168.1.50\3勝一\SE-37(彰濱)\01.工程圖面\01.ISO\ISO\33.(UG)WW-18044-S1P4U-01.pdf"/>
    <m/>
    <n v="1"/>
  </r>
  <r>
    <n v="33"/>
    <s v="(UG)WW-18044-S1P4U-01"/>
    <s v="1/1"/>
    <s v="2V"/>
    <x v="1"/>
    <n v="4"/>
    <x v="1"/>
    <x v="0"/>
    <x v="2"/>
    <s v="F"/>
    <x v="3"/>
    <m/>
    <x v="3"/>
    <x v="0"/>
    <m/>
    <e v="#REF!"/>
    <s v="\\192.168.1.50\3勝一\SE-37(彰濱)\01.工程圖面\01.ISO\ISO\33.(UG)WW-18044-S1P4U-01.pdf"/>
    <s v="未完成"/>
    <n v="1"/>
  </r>
  <r>
    <n v="33"/>
    <s v="(UG)WW-18044-S1P4U-01"/>
    <s v="1/1"/>
    <n v="3"/>
    <x v="1"/>
    <n v="4"/>
    <x v="1"/>
    <x v="0"/>
    <x v="0"/>
    <s v="S"/>
    <x v="1"/>
    <s v="VV"/>
    <x v="1"/>
    <x v="0"/>
    <m/>
    <m/>
    <s v="\\192.168.1.50\3勝一\SE-37(彰濱)\01.工程圖面\01.ISO\ISO\33.(UG)WW-18044-S1P4U-01.pdf"/>
    <m/>
    <n v="1"/>
  </r>
  <r>
    <n v="33"/>
    <s v="(UG)WW-18044-S1P4U-01"/>
    <s v="1/1"/>
    <n v="4"/>
    <x v="1"/>
    <n v="4"/>
    <x v="1"/>
    <x v="0"/>
    <x v="0"/>
    <s v="S"/>
    <x v="1"/>
    <s v="VV"/>
    <x v="1"/>
    <x v="0"/>
    <m/>
    <m/>
    <s v="\\192.168.1.50\3勝一\SE-37(彰濱)\01.工程圖面\01.ISO\ISO\33.(UG)WW-18044-S1P4U-01.pdf"/>
    <m/>
    <n v="1"/>
  </r>
  <r>
    <n v="33"/>
    <s v="(UG)WW-18044-S1P4U-01"/>
    <s v="1/1"/>
    <n v="5"/>
    <x v="1"/>
    <n v="4"/>
    <x v="1"/>
    <x v="0"/>
    <x v="0"/>
    <s v="S"/>
    <x v="0"/>
    <s v="VV"/>
    <x v="0"/>
    <x v="0"/>
    <m/>
    <m/>
    <s v="\\192.168.1.50\3勝一\SE-37(彰濱)\01.工程圖面\01.ISO\ISO\33.(UG)WW-18044-S1P4U-01.pdf"/>
    <m/>
    <n v="1"/>
  </r>
  <r>
    <n v="33"/>
    <s v="(UG)WW-18044-S1P4U-01"/>
    <s v="1/1"/>
    <n v="6"/>
    <x v="1"/>
    <n v="4"/>
    <x v="1"/>
    <x v="0"/>
    <x v="0"/>
    <s v="S"/>
    <x v="0"/>
    <s v="VV"/>
    <x v="0"/>
    <x v="0"/>
    <m/>
    <m/>
    <s v="\\192.168.1.50\3勝一\SE-37(彰濱)\01.工程圖面\01.ISO\ISO\33.(UG)WW-18044-S1P4U-01.pdf"/>
    <m/>
    <n v="1"/>
  </r>
  <r>
    <n v="33"/>
    <s v="(UG)WW-18044-S1P4U-01"/>
    <s v="1/1"/>
    <n v="7"/>
    <x v="1"/>
    <n v="4"/>
    <x v="1"/>
    <x v="0"/>
    <x v="0"/>
    <s v="S"/>
    <x v="0"/>
    <s v="VV"/>
    <x v="0"/>
    <x v="0"/>
    <m/>
    <m/>
    <s v="\\192.168.1.50\3勝一\SE-37(彰濱)\01.工程圖面\01.ISO\ISO\33.(UG)WW-18044-S1P4U-01.pdf"/>
    <m/>
    <n v="1"/>
  </r>
  <r>
    <n v="34"/>
    <s v="(UG)WW-18048-S1P4U-01"/>
    <s v="1/1"/>
    <n v="1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2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3"/>
    <x v="8"/>
    <n v="1"/>
    <x v="1"/>
    <x v="0"/>
    <x v="0"/>
    <s v="S"/>
    <x v="3"/>
    <s v="VV"/>
    <x v="3"/>
    <x v="0"/>
    <m/>
    <m/>
    <s v="\\192.168.1.50\3勝一\SE-37(彰濱)\01.工程圖面\01.ISO\ISO\34.(UG)WW-18048-S1P4U-01.pdf"/>
    <m/>
    <n v="1"/>
  </r>
  <r>
    <n v="34"/>
    <s v="(UG)WW-18048-S1P4U-01"/>
    <s v="1/1"/>
    <n v="4"/>
    <x v="8"/>
    <n v="1"/>
    <x v="1"/>
    <x v="0"/>
    <x v="3"/>
    <s v="S"/>
    <x v="0"/>
    <s v="V"/>
    <x v="0"/>
    <x v="0"/>
    <m/>
    <m/>
    <s v="\\192.168.1.50\3勝一\SE-37(彰濱)\01.工程圖面\01.ISO\ISO\34.(UG)WW-18048-S1P4U-01.pdf"/>
    <m/>
    <n v="1"/>
  </r>
  <r>
    <n v="34"/>
    <s v="(UG)WW-18048-S1P4U-01"/>
    <s v="1/1"/>
    <n v="5"/>
    <x v="8"/>
    <n v="1"/>
    <x v="1"/>
    <x v="0"/>
    <x v="3"/>
    <s v="S"/>
    <x v="0"/>
    <s v="V"/>
    <x v="0"/>
    <x v="0"/>
    <m/>
    <m/>
    <s v="\\192.168.1.50\3勝一\SE-37(彰濱)\01.工程圖面\01.ISO\ISO\34.(UG)WW-18048-S1P4U-01.pdf"/>
    <m/>
    <n v="1"/>
  </r>
  <r>
    <n v="34"/>
    <s v="(UG)WW-18048-S1P4U-01"/>
    <s v="1/1"/>
    <n v="6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7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8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9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10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s v="10V"/>
    <x v="7"/>
    <n v="2"/>
    <x v="1"/>
    <x v="0"/>
    <x v="2"/>
    <s v="F"/>
    <x v="3"/>
    <m/>
    <x v="3"/>
    <x v="0"/>
    <m/>
    <e v="#REF!"/>
    <s v="\\192.168.1.50\3勝一\SE-37(彰濱)\01.工程圖面\01.ISO\ISO\34.(UG)WW-18048-S1P4U-01.pdf"/>
    <s v="未完成"/>
    <n v="1"/>
  </r>
  <r>
    <n v="34"/>
    <s v="(UG)WW-18048-S1P4U-01"/>
    <s v="1/1"/>
    <n v="11"/>
    <x v="8"/>
    <n v="1"/>
    <x v="1"/>
    <x v="0"/>
    <x v="0"/>
    <s v="S"/>
    <x v="3"/>
    <s v="VV"/>
    <x v="3"/>
    <x v="0"/>
    <m/>
    <m/>
    <s v="\\192.168.1.50\3勝一\SE-37(彰濱)\01.工程圖面\01.ISO\ISO\34.(UG)WW-18048-S1P4U-01.pdf"/>
    <m/>
    <n v="1"/>
  </r>
  <r>
    <n v="34"/>
    <s v="(UG)WW-18048-S1P4U-01"/>
    <s v="1/1"/>
    <n v="12"/>
    <x v="8"/>
    <n v="1"/>
    <x v="1"/>
    <x v="0"/>
    <x v="3"/>
    <s v="S"/>
    <x v="0"/>
    <s v="V"/>
    <x v="0"/>
    <x v="0"/>
    <m/>
    <m/>
    <s v="\\192.168.1.50\3勝一\SE-37(彰濱)\01.工程圖面\01.ISO\ISO\34.(UG)WW-18048-S1P4U-01.pdf"/>
    <m/>
    <n v="1"/>
  </r>
  <r>
    <n v="34"/>
    <s v="(UG)WW-18048-S1P4U-01"/>
    <s v="1/1"/>
    <n v="13"/>
    <x v="8"/>
    <n v="1"/>
    <x v="1"/>
    <x v="0"/>
    <x v="3"/>
    <s v="S"/>
    <x v="0"/>
    <s v="V"/>
    <x v="0"/>
    <x v="0"/>
    <m/>
    <m/>
    <s v="\\192.168.1.50\3勝一\SE-37(彰濱)\01.工程圖面\01.ISO\ISO\34.(UG)WW-18048-S1P4U-01.pdf"/>
    <m/>
    <n v="1"/>
  </r>
  <r>
    <n v="34"/>
    <s v="(UG)WW-18048-S1P4U-01"/>
    <s v="1/1"/>
    <n v="14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15"/>
    <x v="8"/>
    <n v="1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16"/>
    <x v="8"/>
    <n v="1"/>
    <x v="1"/>
    <x v="0"/>
    <x v="3"/>
    <s v="S"/>
    <x v="0"/>
    <s v="V"/>
    <x v="0"/>
    <x v="0"/>
    <m/>
    <m/>
    <s v="\\192.168.1.50\3勝一\SE-37(彰濱)\01.工程圖面\01.ISO\ISO\34.(UG)WW-18048-S1P4U-01.pdf"/>
    <m/>
    <n v="1"/>
  </r>
  <r>
    <n v="34"/>
    <s v="(UG)WW-18048-S1P4U-01"/>
    <s v="1/1"/>
    <n v="17"/>
    <x v="8"/>
    <n v="1"/>
    <x v="1"/>
    <x v="0"/>
    <x v="3"/>
    <s v="S"/>
    <x v="0"/>
    <s v="V"/>
    <x v="0"/>
    <x v="0"/>
    <m/>
    <m/>
    <s v="\\192.168.1.50\3勝一\SE-37(彰濱)\01.工程圖面\01.ISO\ISO\34.(UG)WW-18048-S1P4U-01.pdf"/>
    <m/>
    <n v="1"/>
  </r>
  <r>
    <n v="34"/>
    <s v="(UG)WW-18048-S1P4U-01"/>
    <s v="1/1"/>
    <n v="18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19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s v="19V"/>
    <x v="7"/>
    <n v="2"/>
    <x v="1"/>
    <x v="0"/>
    <x v="2"/>
    <s v="F"/>
    <x v="3"/>
    <m/>
    <x v="3"/>
    <x v="0"/>
    <m/>
    <e v="#REF!"/>
    <s v="\\192.168.1.50\3勝一\SE-37(彰濱)\01.工程圖面\01.ISO\ISO\34.(UG)WW-18048-S1P4U-01.pdf"/>
    <s v="未完成"/>
    <n v="1"/>
  </r>
  <r>
    <n v="34"/>
    <s v="(UG)WW-18048-S1P4U-01"/>
    <s v="1/1"/>
    <n v="20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4"/>
    <s v="(UG)WW-18048-S1P4U-01"/>
    <s v="1/1"/>
    <n v="21"/>
    <x v="7"/>
    <n v="2"/>
    <x v="1"/>
    <x v="0"/>
    <x v="0"/>
    <s v="S"/>
    <x v="3"/>
    <s v="VV"/>
    <x v="3"/>
    <x v="0"/>
    <m/>
    <m/>
    <s v="\\192.168.1.50\3勝一\SE-37(彰濱)\01.工程圖面\01.ISO\ISO\34.(UG)WW-18048-S1P4U-01.pdf"/>
    <m/>
    <n v="1"/>
  </r>
  <r>
    <n v="34"/>
    <s v="(UG)WW-18048-S1P4U-01"/>
    <s v="1/1"/>
    <n v="22"/>
    <x v="7"/>
    <n v="2"/>
    <x v="1"/>
    <x v="0"/>
    <x v="0"/>
    <s v="S"/>
    <x v="0"/>
    <s v="VV"/>
    <x v="0"/>
    <x v="0"/>
    <m/>
    <m/>
    <s v="\\192.168.1.50\3勝一\SE-37(彰濱)\01.工程圖面\01.ISO\ISO\34.(UG)WW-18048-S1P4U-01.pdf"/>
    <m/>
    <n v="1"/>
  </r>
  <r>
    <n v="35"/>
    <s v="(UG)WW-18052-S1P4U-01"/>
    <s v="1/1"/>
    <n v="1"/>
    <x v="3"/>
    <n v="8"/>
    <x v="1"/>
    <x v="0"/>
    <x v="0"/>
    <s v="S"/>
    <x v="1"/>
    <s v="VV"/>
    <x v="1"/>
    <x v="0"/>
    <m/>
    <m/>
    <s v="\\192.168.1.50\3勝一\SE-37(彰濱)\01.工程圖面\01.ISO\ISO\35.(UG)WW-18052-S1P4U-01.pdf"/>
    <m/>
    <n v="1"/>
  </r>
  <r>
    <n v="35"/>
    <s v="(UG)WW-18052-S1P4U-01"/>
    <s v="1/1"/>
    <n v="2"/>
    <x v="3"/>
    <n v="8"/>
    <x v="1"/>
    <x v="0"/>
    <x v="0"/>
    <s v="S"/>
    <x v="0"/>
    <s v="VV"/>
    <x v="0"/>
    <x v="0"/>
    <m/>
    <m/>
    <s v="\\192.168.1.50\3勝一\SE-37(彰濱)\01.工程圖面\01.ISO\ISO\35.(UG)WW-18052-S1P4U-01.pdf"/>
    <m/>
    <n v="1"/>
  </r>
  <r>
    <n v="35"/>
    <s v="(UG)WW-18052-S1P4U-01"/>
    <s v="1/1"/>
    <s v="2V"/>
    <x v="3"/>
    <n v="8"/>
    <x v="1"/>
    <x v="0"/>
    <x v="2"/>
    <s v="F"/>
    <x v="3"/>
    <m/>
    <x v="3"/>
    <x v="0"/>
    <m/>
    <e v="#REF!"/>
    <s v="\\192.168.1.50\3勝一\SE-37(彰濱)\01.工程圖面\01.ISO\ISO\35.(UG)WW-18052-S1P4U-01.pdf"/>
    <s v="未完成"/>
    <n v="1"/>
  </r>
  <r>
    <n v="35"/>
    <s v="(UG)WW-18052-S1P4U-01"/>
    <s v="1/1"/>
    <n v="3"/>
    <x v="3"/>
    <n v="8"/>
    <x v="1"/>
    <x v="0"/>
    <x v="0"/>
    <s v="S"/>
    <x v="1"/>
    <s v="VV"/>
    <x v="1"/>
    <x v="0"/>
    <m/>
    <m/>
    <s v="\\192.168.1.50\3勝一\SE-37(彰濱)\01.工程圖面\01.ISO\ISO\35.(UG)WW-18052-S1P4U-01.pdf"/>
    <m/>
    <n v="1"/>
  </r>
  <r>
    <n v="35"/>
    <s v="(UG)WW-18052-S1P4U-01"/>
    <s v="1/1"/>
    <n v="4"/>
    <x v="3"/>
    <n v="8"/>
    <x v="1"/>
    <x v="0"/>
    <x v="0"/>
    <s v="S"/>
    <x v="1"/>
    <s v="VV"/>
    <x v="1"/>
    <x v="0"/>
    <m/>
    <m/>
    <s v="\\192.168.1.50\3勝一\SE-37(彰濱)\01.工程圖面\01.ISO\ISO\35.(UG)WW-18052-S1P4U-01.pdf"/>
    <m/>
    <n v="1"/>
  </r>
  <r>
    <n v="35"/>
    <s v="(UG)WW-18052-S1P4U-01"/>
    <s v="1/1"/>
    <n v="5"/>
    <x v="3"/>
    <n v="8"/>
    <x v="1"/>
    <x v="0"/>
    <x v="0"/>
    <s v="S"/>
    <x v="0"/>
    <s v="VV"/>
    <x v="0"/>
    <x v="0"/>
    <m/>
    <m/>
    <s v="\\192.168.1.50\3勝一\SE-37(彰濱)\01.工程圖面\01.ISO\ISO\35.(UG)WW-18052-S1P4U-01.pdf"/>
    <m/>
    <n v="1"/>
  </r>
  <r>
    <n v="35"/>
    <s v="(UG)WW-18052-S1P4U-01"/>
    <s v="1/1"/>
    <n v="6"/>
    <x v="3"/>
    <n v="8"/>
    <x v="1"/>
    <x v="0"/>
    <x v="0"/>
    <s v="S"/>
    <x v="0"/>
    <s v="VV"/>
    <x v="0"/>
    <x v="0"/>
    <m/>
    <m/>
    <s v="\\192.168.1.50\3勝一\SE-37(彰濱)\01.工程圖面\01.ISO\ISO\35.(UG)WW-18052-S1P4U-01.pdf"/>
    <m/>
    <n v="1"/>
  </r>
  <r>
    <n v="36"/>
    <s v="(UG)WW-18091-S1P4U-01"/>
    <s v="1/1"/>
    <n v="1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2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3"/>
    <x v="6"/>
    <n v="3"/>
    <x v="1"/>
    <x v="0"/>
    <x v="0"/>
    <s v="S"/>
    <x v="3"/>
    <s v="VV"/>
    <x v="3"/>
    <x v="0"/>
    <m/>
    <m/>
    <s v="\\192.168.1.50\3勝一\SE-37(彰濱)\01.工程圖面\01.ISO\ISO\36.(UG)WW-18091-S1P4U-01.pdf"/>
    <m/>
    <n v="1"/>
  </r>
  <r>
    <n v="36"/>
    <s v="(UG)WW-18091-S1P4U-01"/>
    <s v="1/1"/>
    <n v="4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5"/>
    <x v="6"/>
    <n v="3"/>
    <x v="1"/>
    <x v="0"/>
    <x v="0"/>
    <s v="S"/>
    <x v="3"/>
    <s v="VV"/>
    <x v="3"/>
    <x v="0"/>
    <m/>
    <m/>
    <s v="\\192.168.1.50\3勝一\SE-37(彰濱)\01.工程圖面\01.ISO\ISO\36.(UG)WW-18091-S1P4U-01.pdf"/>
    <m/>
    <n v="1"/>
  </r>
  <r>
    <n v="36"/>
    <s v="(UG)WW-18091-S1P4U-01"/>
    <s v="1/1"/>
    <n v="6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7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8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9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s v="9V"/>
    <x v="6"/>
    <n v="3"/>
    <x v="1"/>
    <x v="0"/>
    <x v="2"/>
    <s v="F"/>
    <x v="3"/>
    <m/>
    <x v="3"/>
    <x v="0"/>
    <m/>
    <e v="#REF!"/>
    <s v="\\192.168.1.50\3勝一\SE-37(彰濱)\01.工程圖面\01.ISO\ISO\36.(UG)WW-18091-S1P4U-01.pdf"/>
    <s v="未完成"/>
    <n v="1"/>
  </r>
  <r>
    <n v="36"/>
    <s v="(UG)WW-18091-S1P4U-01"/>
    <s v="1/1"/>
    <n v="10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11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12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13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n v="14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6"/>
    <s v="(UG)WW-18091-S1P4U-01"/>
    <s v="1/1"/>
    <s v="14V"/>
    <x v="6"/>
    <n v="3"/>
    <x v="1"/>
    <x v="0"/>
    <x v="2"/>
    <s v="F"/>
    <x v="3"/>
    <m/>
    <x v="3"/>
    <x v="0"/>
    <m/>
    <e v="#REF!"/>
    <s v="\\192.168.1.50\3勝一\SE-37(彰濱)\01.工程圖面\01.ISO\ISO\36.(UG)WW-18091-S1P4U-01.pdf"/>
    <s v="未完成"/>
    <n v="1"/>
  </r>
  <r>
    <n v="36"/>
    <s v="(UG)WW-18091-S1P4U-01"/>
    <s v="1/1"/>
    <n v="15"/>
    <x v="6"/>
    <n v="3"/>
    <x v="1"/>
    <x v="0"/>
    <x v="0"/>
    <s v="S"/>
    <x v="0"/>
    <s v="VV"/>
    <x v="0"/>
    <x v="0"/>
    <m/>
    <m/>
    <s v="\\192.168.1.50\3勝一\SE-37(彰濱)\01.工程圖面\01.ISO\ISO\36.(UG)WW-18091-S1P4U-01.pdf"/>
    <m/>
    <n v="1"/>
  </r>
  <r>
    <n v="37"/>
    <s v="(UG)WW-18092-S1P4U-01"/>
    <s v="1/1"/>
    <n v="1"/>
    <x v="0"/>
    <n v="6"/>
    <x v="1"/>
    <x v="0"/>
    <x v="0"/>
    <s v="S"/>
    <x v="3"/>
    <s v="VV"/>
    <x v="3"/>
    <x v="0"/>
    <m/>
    <m/>
    <s v="\\192.168.1.50\3勝一\SE-37(彰濱)\01.工程圖面\01.ISO\ISO\37.(UG)WW-18092-S1P4U-01.pdf"/>
    <m/>
    <n v="1"/>
  </r>
  <r>
    <n v="37"/>
    <s v="(UG)WW-18092-S1P4U-01"/>
    <s v="1/1"/>
    <n v="2"/>
    <x v="0"/>
    <n v="6"/>
    <x v="1"/>
    <x v="0"/>
    <x v="0"/>
    <s v="S"/>
    <x v="0"/>
    <s v="VV"/>
    <x v="0"/>
    <x v="0"/>
    <m/>
    <m/>
    <s v="\\192.168.1.50\3勝一\SE-37(彰濱)\01.工程圖面\01.ISO\ISO\37.(UG)WW-18092-S1P4U-01.pdf"/>
    <m/>
    <n v="1"/>
  </r>
  <r>
    <n v="39"/>
    <s v="(UG)WW-16001-S1P4U-01"/>
    <s v="1/1"/>
    <n v="1"/>
    <x v="7"/>
    <n v="2"/>
    <x v="1"/>
    <x v="0"/>
    <x v="0"/>
    <s v="S"/>
    <x v="0"/>
    <s v="VV"/>
    <x v="0"/>
    <x v="0"/>
    <m/>
    <m/>
    <s v="\\192.168.1.50\3勝一\SE-37(彰濱)\01.工程圖面\01.ISO\ISO\39.(UG)WW-16001-S1P4U-01.pdf"/>
    <m/>
    <n v="1"/>
  </r>
  <r>
    <n v="39"/>
    <s v="(UG)WW-16001-S1P4U-01"/>
    <s v="1/1"/>
    <n v="2"/>
    <x v="7"/>
    <n v="2"/>
    <x v="1"/>
    <x v="0"/>
    <x v="0"/>
    <s v="S"/>
    <x v="0"/>
    <s v="VV"/>
    <x v="0"/>
    <x v="0"/>
    <m/>
    <m/>
    <s v="\\192.168.1.50\3勝一\SE-37(彰濱)\01.工程圖面\01.ISO\ISO\39.(UG)WW-16001-S1P4U-01.pdf"/>
    <m/>
    <n v="1"/>
  </r>
  <r>
    <n v="39"/>
    <s v="(UG)WW-16001-S1P4U-01"/>
    <s v="1/1"/>
    <n v="3"/>
    <x v="7"/>
    <n v="2"/>
    <x v="1"/>
    <x v="0"/>
    <x v="0"/>
    <s v="S"/>
    <x v="3"/>
    <s v="VV"/>
    <x v="3"/>
    <x v="0"/>
    <m/>
    <m/>
    <s v="\\192.168.1.50\3勝一\SE-37(彰濱)\01.工程圖面\01.ISO\ISO\39.(UG)WW-16001-S1P4U-01.pdf"/>
    <m/>
    <n v="1"/>
  </r>
  <r>
    <n v="27"/>
    <s v="(UG)WW-18032-S1P4U-01"/>
    <s v="1/1"/>
    <s v="5A"/>
    <x v="1"/>
    <n v="4"/>
    <x v="1"/>
    <x v="0"/>
    <x v="0"/>
    <s v="F"/>
    <x v="1"/>
    <m/>
    <x v="1"/>
    <x v="0"/>
    <m/>
    <m/>
    <m/>
    <m/>
    <n v="1"/>
  </r>
  <r>
    <n v="33"/>
    <s v="(UG)WW-18044-S1P4U-01"/>
    <s v="1/1"/>
    <s v="1A"/>
    <x v="1"/>
    <n v="4"/>
    <x v="1"/>
    <x v="0"/>
    <x v="0"/>
    <s v="F"/>
    <x v="1"/>
    <m/>
    <x v="1"/>
    <x v="0"/>
    <m/>
    <m/>
    <m/>
    <m/>
    <n v="1"/>
  </r>
  <r>
    <n v="24"/>
    <s v="(UG)WW-18023-S1P4U-01"/>
    <s v="1/1"/>
    <s v="1A"/>
    <x v="1"/>
    <n v="4"/>
    <x v="1"/>
    <x v="0"/>
    <x v="0"/>
    <s v="F"/>
    <x v="1"/>
    <m/>
    <x v="1"/>
    <x v="0"/>
    <m/>
    <m/>
    <m/>
    <m/>
    <n v="1"/>
  </r>
  <r>
    <n v="1"/>
    <s v="(UG)FO-90401-S1P1FU-01"/>
    <s v="1/2"/>
    <s v="11A"/>
    <x v="0"/>
    <n v="6"/>
    <x v="0"/>
    <x v="0"/>
    <x v="0"/>
    <s v="F"/>
    <x v="1"/>
    <m/>
    <x v="1"/>
    <x v="0"/>
    <m/>
    <m/>
    <m/>
    <m/>
    <n v="1"/>
  </r>
  <r>
    <n v="1"/>
    <s v="(UG)FO-90401-S1P1FU-01"/>
    <s v="1/2"/>
    <s v="9A"/>
    <x v="0"/>
    <n v="6"/>
    <x v="0"/>
    <x v="0"/>
    <x v="0"/>
    <s v="F"/>
    <x v="1"/>
    <m/>
    <x v="1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  <r>
    <m/>
    <m/>
    <m/>
    <m/>
    <x v="9"/>
    <m/>
    <x v="3"/>
    <x v="2"/>
    <x v="5"/>
    <m/>
    <x v="8"/>
    <m/>
    <x v="5"/>
    <x v="0"/>
    <m/>
    <m/>
    <m/>
    <m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135D9D-721F-49D0-8AD3-BC1D6079ABAD}" name="樞紐分析表1" cacheId="1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3:E33" firstHeaderRow="1" firstDataRow="2" firstDataCol="3"/>
  <pivotFields count="19"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0">
        <item x="5"/>
        <item x="8"/>
        <item x="7"/>
        <item x="4"/>
        <item x="6"/>
        <item x="1"/>
        <item x="3"/>
        <item x="0"/>
        <item x="9"/>
        <item x="2"/>
      </items>
    </pivotField>
    <pivotField dataField="1" compact="0" outline="0" showAll="0" defaultSubtotal="0"/>
    <pivotField compact="0" outline="0" showAll="0" defaultSubtota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6">
        <item x="0"/>
        <item x="1"/>
        <item x="3"/>
        <item x="2"/>
        <item x="5"/>
        <item x="4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</pivotFields>
  <rowFields count="3">
    <field x="7"/>
    <field x="8"/>
    <field x="4"/>
  </rowFields>
  <rowItems count="29">
    <i>
      <x/>
      <x/>
      <x v="1"/>
    </i>
    <i r="2">
      <x v="2"/>
    </i>
    <i r="2">
      <x v="4"/>
    </i>
    <i r="2">
      <x v="5"/>
    </i>
    <i r="2">
      <x v="6"/>
    </i>
    <i r="2">
      <x v="7"/>
    </i>
    <i r="1">
      <x v="1"/>
      <x v="9"/>
    </i>
    <i r="1">
      <x v="2"/>
      <x v="1"/>
    </i>
    <i r="2">
      <x v="9"/>
    </i>
    <i r="1">
      <x v="3"/>
      <x v="2"/>
    </i>
    <i r="2">
      <x v="4"/>
    </i>
    <i r="2">
      <x v="5"/>
    </i>
    <i r="2">
      <x v="6"/>
    </i>
    <i r="2">
      <x v="7"/>
    </i>
    <i r="1">
      <x v="5"/>
      <x v="9"/>
    </i>
    <i t="default">
      <x/>
    </i>
    <i>
      <x v="1"/>
      <x/>
      <x v="3"/>
    </i>
    <i r="2">
      <x v="5"/>
    </i>
    <i r="2">
      <x v="6"/>
    </i>
    <i r="2">
      <x v="7"/>
    </i>
    <i r="1">
      <x v="1"/>
      <x/>
    </i>
    <i r="2">
      <x v="3"/>
    </i>
    <i r="1">
      <x v="2"/>
      <x/>
    </i>
    <i r="1">
      <x v="3"/>
      <x v="3"/>
    </i>
    <i r="2">
      <x v="7"/>
    </i>
    <i t="default">
      <x v="1"/>
    </i>
    <i>
      <x v="2"/>
      <x v="4"/>
      <x v="8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計數 - 銲口編號" fld="3" subtotal="count" baseField="0" baseItem="0"/>
    <dataField name="加總 - DB數" fld="5" baseField="8" baseItem="0"/>
  </dataFields>
  <formats count="19"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-2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7" type="button" dataOnly="0" labelOnly="1" outline="0" axis="axisRow" fieldPosition="0"/>
    </format>
    <format dxfId="51">
      <pivotArea field="8" type="button" dataOnly="0" labelOnly="1" outline="0" axis="axisRow" fieldPosition="1"/>
    </format>
    <format dxfId="50">
      <pivotArea field="4" type="button" dataOnly="0" labelOnly="1" outline="0" axis="axisRow" fieldPosition="2"/>
    </format>
    <format dxfId="49">
      <pivotArea dataOnly="0" labelOnly="1" outline="0" fieldPosition="0">
        <references count="1">
          <reference field="7" count="0"/>
        </references>
      </pivotArea>
    </format>
    <format dxfId="48">
      <pivotArea dataOnly="0" labelOnly="1" grandRow="1" outline="0" fieldPosition="0"/>
    </format>
    <format dxfId="47">
      <pivotArea dataOnly="0" labelOnly="1" outline="0" fieldPosition="0">
        <references count="2">
          <reference field="7" count="1" selected="0">
            <x v="0"/>
          </reference>
          <reference field="8" count="3">
            <x v="0"/>
            <x v="1"/>
            <x v="2"/>
          </reference>
        </references>
      </pivotArea>
    </format>
    <format dxfId="46">
      <pivotArea dataOnly="0" labelOnly="1" outline="0" fieldPosition="0">
        <references count="3">
          <reference field="4" count="6">
            <x v="1"/>
            <x v="2"/>
            <x v="3"/>
            <x v="4"/>
            <x v="5"/>
            <x v="6"/>
          </reference>
          <reference field="7" count="1" selected="0">
            <x v="0"/>
          </reference>
          <reference field="8" count="1" selected="0">
            <x v="0"/>
          </reference>
        </references>
      </pivotArea>
    </format>
    <format dxfId="45">
      <pivotArea dataOnly="0" labelOnly="1" outline="0" fieldPosition="0">
        <references count="3">
          <reference field="4" count="3">
            <x v="0"/>
            <x v="1"/>
            <x v="2"/>
          </reference>
          <reference field="7" count="1" selected="0">
            <x v="0"/>
          </reference>
          <reference field="8" count="1" selected="0">
            <x v="1"/>
          </reference>
        </references>
      </pivotArea>
    </format>
    <format dxfId="44">
      <pivotArea dataOnly="0" labelOnly="1" outline="0" fieldPosition="0">
        <references count="3">
          <reference field="4" count="2">
            <x v="0"/>
            <x v="1"/>
          </reference>
          <reference field="7" count="1" selected="0">
            <x v="0"/>
          </reference>
          <reference field="8" count="1" selected="0">
            <x v="2"/>
          </reference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dataOnly="0" outline="0" fieldPosition="0">
        <references count="1">
          <reference field="4294967294" count="1">
            <x v="0"/>
          </reference>
        </references>
      </pivotArea>
    </format>
    <format dxfId="41">
      <pivotArea dataOnly="0" outline="0" fieldPosition="0">
        <references count="1">
          <reference field="4294967294" count="1">
            <x v="1"/>
          </reference>
        </references>
      </pivotArea>
    </format>
    <format dxfId="40">
      <pivotArea dataOnly="0" outline="0" fieldPosition="0">
        <references count="1">
          <reference field="7" count="0" defaultSubtotal="1"/>
        </references>
      </pivotArea>
    </format>
    <format dxfId="39">
      <pivotArea dataOnly="0" labelOnly="1" outline="0" fieldPosition="0">
        <references count="1">
          <reference field="7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7947C1-80BC-4E2C-A2C5-5496304FFB0B}" name="樞紐分析表1" cacheId="1" applyNumberFormats="0" applyBorderFormats="0" applyFontFormats="0" applyPatternFormats="0" applyAlignmentFormats="0" applyWidthHeightFormats="1" dataCaption="值" updatedVersion="8" minRefreshableVersion="3" showDrill="0" useAutoFormatting="1" colGrandTotals="0" itemPrintTitles="1" createdVersion="8" indent="0" compact="0" compactData="0" gridDropZones="1" multipleFieldFilters="0">
  <location ref="A4:F21" firstHeaderRow="1" firstDataRow="3" firstDataCol="4"/>
  <pivotFields count="19"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0">
        <item x="5"/>
        <item x="8"/>
        <item x="7"/>
        <item x="4"/>
        <item x="6"/>
        <item x="1"/>
        <item x="3"/>
        <item x="0"/>
        <item x="9"/>
        <item x="2"/>
      </items>
    </pivotField>
    <pivotField dataField="1" compact="0" outline="0" showAll="0" defaultSubtotal="0"/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 defaultSubtotal="0">
      <items count="6">
        <item x="0"/>
        <item x="1"/>
        <item x="3"/>
        <item x="2"/>
        <item x="5"/>
        <item x="4"/>
      </items>
    </pivotField>
    <pivotField compact="0" outline="0" showAll="0" defaultSubtotal="0"/>
    <pivotField axis="axisCol" compact="0" outline="0" multipleItemSelectionAllowed="1" showAll="0" defaultSubtotal="0">
      <items count="9">
        <item x="3"/>
        <item h="1" x="8"/>
        <item h="1" x="5"/>
        <item h="1" x="0"/>
        <item h="1" x="1"/>
        <item h="1" x="2"/>
        <item h="1" x="4"/>
        <item h="1" x="6"/>
        <item h="1" x="7"/>
      </items>
    </pivotField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">
        <item x="0"/>
      </items>
    </pivotField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</pivotFields>
  <rowFields count="4">
    <field x="7"/>
    <field x="4"/>
    <field x="6"/>
    <field x="13"/>
  </rowFields>
  <rowItems count="15">
    <i>
      <x/>
      <x v="1"/>
      <x v="1"/>
      <x/>
    </i>
    <i r="1">
      <x v="2"/>
      <x v="1"/>
      <x/>
    </i>
    <i r="1">
      <x v="4"/>
      <x v="1"/>
      <x/>
    </i>
    <i r="1">
      <x v="5"/>
      <x/>
      <x/>
    </i>
    <i r="2">
      <x v="1"/>
      <x/>
    </i>
    <i r="1">
      <x v="6"/>
      <x v="1"/>
      <x/>
    </i>
    <i r="1">
      <x v="7"/>
      <x/>
      <x/>
    </i>
    <i r="2">
      <x v="1"/>
      <x/>
    </i>
    <i r="1">
      <x v="9"/>
      <x v="1"/>
      <x/>
    </i>
    <i t="default">
      <x/>
    </i>
    <i>
      <x v="1"/>
      <x v="3"/>
      <x v="1"/>
      <x/>
    </i>
    <i r="2">
      <x v="2"/>
      <x/>
    </i>
    <i r="1">
      <x v="7"/>
      <x v="1"/>
      <x/>
    </i>
    <i t="default">
      <x v="1"/>
    </i>
    <i t="grand">
      <x/>
    </i>
  </rowItems>
  <colFields count="2">
    <field x="10"/>
    <field x="-2"/>
  </colFields>
  <colItems count="2">
    <i>
      <x/>
      <x/>
    </i>
    <i r="1" i="1">
      <x v="1"/>
    </i>
  </colItems>
  <dataFields count="2">
    <dataField name="計數 - 銲口編號" fld="3" subtotal="count" baseField="0" baseItem="0"/>
    <dataField name="加總 - DB數" fld="5" baseField="8" baseItem="0"/>
  </dataFields>
  <formats count="16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-2" type="button" dataOnly="0" labelOnly="1" outline="0" axis="axisCol" fieldPosition="1"/>
    </format>
    <format dxfId="34">
      <pivotArea type="topRight" dataOnly="0" labelOnly="1" outline="0" fieldPosition="0"/>
    </format>
    <format dxfId="33">
      <pivotArea field="7" type="button" dataOnly="0" labelOnly="1" outline="0" axis="axisRow" fieldPosition="0"/>
    </format>
    <format dxfId="32">
      <pivotArea field="8" type="button" dataOnly="0" labelOnly="1" outline="0"/>
    </format>
    <format dxfId="31">
      <pivotArea field="4" type="button" dataOnly="0" labelOnly="1" outline="0" axis="axisRow" fieldPosition="1"/>
    </format>
    <format dxfId="30">
      <pivotArea dataOnly="0" labelOnly="1" outline="0" fieldPosition="0">
        <references count="1">
          <reference field="7" count="0"/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dataOnly="0" outline="0" fieldPosition="0">
        <references count="1">
          <reference field="4294967294" count="1">
            <x v="0"/>
          </reference>
        </references>
      </pivotArea>
    </format>
    <format dxfId="26">
      <pivotArea dataOnly="0" outline="0" fieldPosition="0">
        <references count="1">
          <reference field="4294967294" count="1">
            <x v="1"/>
          </reference>
        </references>
      </pivotArea>
    </format>
    <format dxfId="25">
      <pivotArea dataOnly="0" outline="0" fieldPosition="0">
        <references count="1">
          <reference field="7" count="0" defaultSubtotal="1"/>
        </references>
      </pivotArea>
    </format>
    <format dxfId="24">
      <pivotArea dataOnly="0" labelOnly="1" outline="0" fieldPosition="0">
        <references count="1">
          <reference field="7" count="0"/>
        </references>
      </pivotArea>
    </format>
    <format dxfId="23">
      <pivotArea field="13" type="button" dataOnly="0" labelOnly="1" outline="0" axis="axisRow" fieldPosition="3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C601C8-A686-4278-A299-D7B9A4B70868}" name="樞紐分析表4" cacheId="0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4:G36" firstHeaderRow="2" firstDataRow="2" firstDataCol="6" rowPageCount="2" colPageCount="1"/>
  <pivotFields count="13">
    <pivotField axis="axisRow" compact="0" outline="0" showAll="0" defaultSubtotal="0">
      <items count="40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1"/>
        <item x="39"/>
      </items>
    </pivotField>
    <pivotField axis="axisRow" compact="0" outline="0" showAll="0" defaultSubtotal="0">
      <items count="40">
        <item x="2"/>
        <item x="3"/>
        <item x="0"/>
        <item x="1"/>
        <item x="10"/>
        <item x="11"/>
        <item x="8"/>
        <item x="9"/>
        <item x="5"/>
        <item x="6"/>
        <item x="7"/>
        <item x="4"/>
        <item x="12"/>
        <item x="13"/>
        <item x="14"/>
        <item x="15"/>
        <item x="16"/>
        <item x="17"/>
        <item x="38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</items>
    </pivotField>
    <pivotField compact="0" outline="0" showAll="0"/>
    <pivotField axis="axisRow" dataField="1" compact="0" outline="0" showAll="0" defaultSubtota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31"/>
        <item x="32"/>
        <item x="33"/>
        <item x="34"/>
        <item x="35"/>
        <item x="28"/>
        <item x="29"/>
        <item x="16"/>
        <item x="36"/>
        <item x="37"/>
        <item x="38"/>
        <item x="39"/>
        <item x="41"/>
        <item x="42"/>
        <item x="43"/>
        <item x="44"/>
        <item x="47"/>
        <item x="13"/>
        <item x="14"/>
        <item x="15"/>
        <item x="17"/>
        <item x="18"/>
        <item x="19"/>
        <item x="20"/>
        <item x="21"/>
        <item x="22"/>
        <item x="24"/>
        <item x="25"/>
        <item x="26"/>
        <item x="27"/>
        <item x="63"/>
        <item x="45"/>
        <item x="53"/>
        <item x="54"/>
        <item x="60"/>
        <item x="50"/>
        <item x="55"/>
        <item x="30"/>
        <item x="51"/>
        <item x="40"/>
        <item x="52"/>
        <item x="58"/>
        <item x="48"/>
        <item x="62"/>
        <item x="23"/>
        <item x="56"/>
        <item x="49"/>
        <item x="57"/>
        <item x="59"/>
        <item x="46"/>
        <item x="64"/>
        <item x="61"/>
      </items>
    </pivotField>
    <pivotField axis="axisRow" compact="0" outline="0" showAll="0" defaultSubtotal="0">
      <items count="10">
        <item x="5"/>
        <item x="8"/>
        <item x="2"/>
        <item x="7"/>
        <item x="4"/>
        <item x="6"/>
        <item x="1"/>
        <item x="0"/>
        <item x="3"/>
        <item x="9"/>
      </items>
    </pivotField>
    <pivotField compact="0" outline="0" showAll="0"/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5">
        <item x="3"/>
        <item x="2"/>
        <item x="0"/>
        <item x="1"/>
        <item t="default"/>
      </items>
    </pivotField>
  </pivotFields>
  <rowFields count="6">
    <field x="7"/>
    <field x="4"/>
    <field x="6"/>
    <field x="0"/>
    <field x="1"/>
    <field x="3"/>
  </rowFields>
  <rowItems count="31">
    <i>
      <x/>
      <x v="1"/>
      <x v="1"/>
      <x v="29"/>
      <x v="31"/>
      <x v="9"/>
    </i>
    <i r="5">
      <x v="10"/>
    </i>
    <i r="5">
      <x v="11"/>
    </i>
    <i r="5">
      <x v="14"/>
    </i>
    <i r="5">
      <x v="15"/>
    </i>
    <i r="5">
      <x v="64"/>
    </i>
    <i r="3">
      <x v="33"/>
      <x v="35"/>
      <x v="3"/>
    </i>
    <i r="5">
      <x v="4"/>
    </i>
    <i r="5">
      <x v="11"/>
    </i>
    <i r="5">
      <x v="12"/>
    </i>
    <i r="5">
      <x v="15"/>
    </i>
    <i r="5">
      <x v="16"/>
    </i>
    <i r="1">
      <x v="2"/>
      <x v="1"/>
      <x v="2"/>
      <x v="1"/>
      <x v="23"/>
    </i>
    <i r="5">
      <x v="25"/>
    </i>
    <i r="5">
      <x v="26"/>
    </i>
    <i r="5">
      <x v="27"/>
    </i>
    <i r="3">
      <x v="38"/>
      <x v="3"/>
      <x v="37"/>
    </i>
    <i r="5">
      <x v="39"/>
    </i>
    <i r="5">
      <x v="40"/>
    </i>
    <i r="5">
      <x v="41"/>
    </i>
    <i>
      <x v="1"/>
      <x/>
      <x v="1"/>
      <x v="5"/>
      <x v="9"/>
      <x v="25"/>
    </i>
    <i r="2">
      <x v="2"/>
      <x v="5"/>
      <x v="9"/>
      <x v="26"/>
    </i>
    <i r="5">
      <x v="27"/>
    </i>
    <i r="3">
      <x v="8"/>
      <x v="7"/>
      <x v="24"/>
    </i>
    <i r="5">
      <x v="25"/>
    </i>
    <i r="5">
      <x v="26"/>
    </i>
    <i r="3">
      <x v="10"/>
      <x v="5"/>
      <x v="14"/>
    </i>
    <i r="5">
      <x v="15"/>
    </i>
    <i r="5">
      <x v="16"/>
    </i>
    <i r="1">
      <x v="4"/>
      <x v="1"/>
      <x v="9"/>
      <x v="4"/>
      <x v="5"/>
    </i>
    <i t="grand">
      <x/>
    </i>
  </rowItems>
  <colItems count="1">
    <i/>
  </colItems>
  <pageFields count="2">
    <pageField fld="12" item="2" hier="-1"/>
    <pageField fld="11" item="0" hier="-1"/>
  </pageFields>
  <dataFields count="1">
    <dataField name="計數 - 銲口編號" fld="3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59C61-03C6-4ED7-8246-DE423D165C83}" name="樞紐分析表1" cacheId="1" applyNumberFormats="0" applyBorderFormats="0" applyFontFormats="0" applyPatternFormats="0" applyAlignmentFormats="0" applyWidthHeightFormats="1" dataCaption="值" updatedVersion="8" minRefreshableVersion="3" showDrill="0" useAutoFormatting="1" rowGrandTotals="0" colGrandTotals="0" itemPrintTitles="1" createdVersion="8" indent="0" compact="0" compactData="0" multipleFieldFilters="0">
  <location ref="A3:B8" firstHeaderRow="1" firstDataRow="1" firstDataCol="1" rowPageCount="1" colPageCount="1"/>
  <pivotFields count="19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10">
        <item x="9"/>
        <item x="3"/>
        <item x="0"/>
        <item x="1"/>
        <item x="6"/>
        <item x="4"/>
        <item x="7"/>
        <item x="2"/>
        <item x="8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9">
        <item h="1" x="3"/>
        <item h="1" x="6"/>
        <item h="1" x="0"/>
        <item h="1" x="5"/>
        <item h="1" x="1"/>
        <item x="2"/>
        <item x="4"/>
        <item x="7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ubtotalTop="0" showAll="0" defaultSubtotal="0"/>
  </pivotFields>
  <rowFields count="1">
    <field x="4"/>
  </rowFields>
  <rowItems count="5">
    <i>
      <x v="2"/>
    </i>
    <i>
      <x v="3"/>
    </i>
    <i>
      <x v="4"/>
    </i>
    <i>
      <x v="5"/>
    </i>
    <i>
      <x v="6"/>
    </i>
  </rowItems>
  <colItems count="1">
    <i/>
  </colItems>
  <pageFields count="1">
    <pageField fld="12" hier="-1"/>
  </pageFields>
  <dataFields count="1">
    <dataField name="加總 - 計數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9F902F-A911-462E-B3AE-1482074D05F2}" name="表格1" displayName="表格1" ref="A1:M41" totalsRowShown="0" headerRowDxfId="67" headerRowBorderDxfId="66" tableBorderDxfId="65">
  <autoFilter ref="A1:M41" xr:uid="{5E1BE8D3-0782-4D50-B221-D4BC67944B8F}"/>
  <tableColumns count="13">
    <tableColumn id="1" xr3:uid="{CA9CEE47-D49F-483A-BBD1-37DEF5047CC7}" name="Series NO" dataDxfId="64">
      <calculatedColumnFormula>A1+1</calculatedColumnFormula>
    </tableColumn>
    <tableColumn id="2" xr3:uid="{7C18AF80-0ACA-4E66-8EFC-C1F1A8127170}" name="DWG NO" dataDxfId="63"/>
    <tableColumn id="3" xr3:uid="{F4CD728B-9DD6-4504-9F35-E9AE85AA4C90}" name="SH'T NO" dataDxfId="62"/>
    <tableColumn id="4" xr3:uid="{356587DC-D93F-4F21-8AE8-C859BED43FD0}" name="LINE   NUMBER" dataDxfId="61"/>
    <tableColumn id="5" xr3:uid="{3969D28B-817F-4569-BD9D-97D3BFC4F86A}" name="REV.A" dataDxfId="60"/>
    <tableColumn id="6" xr3:uid="{99D32B8D-AC61-4892-BFA4-B57F1A43F9F0}" name="REV.0" dataDxfId="59"/>
    <tableColumn id="7" xr3:uid="{22B6907F-9A57-4884-B806-5096B2E3C436}" name="REV.1"/>
    <tableColumn id="8" xr3:uid="{21B2718A-13D6-4616-B6AE-3A8A0CA3C753}" name="REV.2"/>
    <tableColumn id="9" xr3:uid="{283EAAA8-79A9-492B-B998-4624A885F621}" name="REV.3" dataDxfId="58"/>
    <tableColumn id="10" xr3:uid="{6F6F8C8D-5893-4F91-BFC5-F9D7EDC83585}" name="最終版版次">
      <calculatedColumnFormula array="1">INDEX(E$1:I$1,1,MATCH(1,1/($E2:I2&lt;&gt;"")))</calculatedColumnFormula>
    </tableColumn>
    <tableColumn id="11" xr3:uid="{4015E3D9-BF1B-4AEC-8140-243FB2E8E4DA}" name="最終版日期">
      <calculatedColumnFormula array="1">TEXT(LOOKUP(2,1/($E2:I2&lt;&gt;""),$E2:I2),"yyyy/mm/dd")</calculatedColumnFormula>
    </tableColumn>
    <tableColumn id="14" xr3:uid="{0987AE2C-EF72-428C-8E4A-8F7E587B30D5}" name="針對PDF格式"/>
    <tableColumn id="12" xr3:uid="{FC4F148C-21BC-4F62-9510-E0782F8AB6AC}" name="圖面狀態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BB33F-EC60-434C-8345-86F487A8D48C}" name="Weld_list" displayName="Weld_list" ref="A1:S5785" totalsRowShown="0" headerRowDxfId="22" dataDxfId="21">
  <autoFilter ref="A1:S5785" xr:uid="{D0D9AA8D-BD88-4669-8AE7-8D81263F7534}">
    <filterColumn colId="12">
      <filters>
        <filter val="2025/12/28"/>
      </filters>
    </filterColumn>
  </autoFilter>
  <tableColumns count="19">
    <tableColumn id="1" xr3:uid="{A3A2AEC1-DD46-469A-A42F-BB58D4238042}" name="流水號" dataDxfId="20"/>
    <tableColumn id="2" xr3:uid="{3A14B55F-8A52-45F0-9926-C8F438D96F29}" name="DWG NO" dataDxfId="19">
      <calculatedColumnFormula>_xlfn.XLOOKUP(Weld_list[[#This Row],[流水號]],#REF!,#REF!,,0)</calculatedColumnFormula>
    </tableColumn>
    <tableColumn id="3" xr3:uid="{2684BEE4-999C-4508-A3BB-4BF6A0F9FB32}" name="SHEET _x000a_ NO" dataDxfId="18">
      <calculatedColumnFormula>_xlfn.XLOOKUP(Weld_list[[#This Row],[流水號]],#REF!,#REF!,,0)</calculatedColumnFormula>
    </tableColumn>
    <tableColumn id="4" xr3:uid="{2BD09D7B-D7A4-4E23-B4C5-0C07DE2AD548}" name="銲口編號" dataDxfId="17"/>
    <tableColumn id="5" xr3:uid="{D1DF92D2-7A94-4B15-9BB6-C22C5DD7F099}" name="尺寸" dataDxfId="16"/>
    <tableColumn id="14" xr3:uid="{37F8A3AF-E256-4D45-80CA-53C9F0F494F4}" name="DB數" dataDxfId="15">
      <calculatedColumnFormula>IF(E2&lt;&gt;"",IF(Weld_list[[#This Row],[尺寸]]&lt;1,1,E2),"")</calculatedColumnFormula>
    </tableColumn>
    <tableColumn id="6" xr3:uid="{C29660BF-28CE-498A-A2B2-058098F6540B}" name="厚度" dataDxfId="14"/>
    <tableColumn id="7" xr3:uid="{DF116AB8-7EBA-46E5-A710-B464D5B4FDF9}" name="材質" dataDxfId="13"/>
    <tableColumn id="8" xr3:uid="{9732D7BF-DC4A-48E1-A922-C8088FE8701A}" name="銲接型式" dataDxfId="12"/>
    <tableColumn id="9" xr3:uid="{9236ACF0-E147-4C32-A809-9CC23DF47807}" name="預製S/_x000a_現場F" dataDxfId="11"/>
    <tableColumn id="10" xr3:uid="{C5D621C4-F50C-4332-B30A-033F354D65CF}" name="組銲完成日期" dataDxfId="10">
      <calculatedColumnFormula>IFERROR(TEXT(_xlfn.XLOOKUP(_xlfn.CONCAT(Weld_list[[#This Row],[流水號]],"_",Weld_list[[#This Row],[銲口編號]]),焊口登報表!D:D,焊口登報表!C:C,,0),"yyyy/mm/dd"),"")</calculatedColumnFormula>
    </tableColumn>
    <tableColumn id="19" xr3:uid="{D94F7554-0F6A-4061-97C2-64A3419E0D7C}" name="RT.PT檢驗焊口" dataDxfId="9"/>
    <tableColumn id="11" xr3:uid="{B820DFE7-2E50-4538-A126-1E8174AFB59F}" name="RT.PT檢驗日期" dataDxfId="8">
      <calculatedColumnFormula>IFERROR(TEXT(_xlfn.XLOOKUP(_xlfn.CONCAT(Weld_list[[#This Row],[流水號]],"_",Weld_list[[#This Row],[銲口編號]]),焊口登報表!F:F,焊口登報表!E:E,,0),"yyyy/mm/dd"),"")</calculatedColumnFormula>
    </tableColumn>
    <tableColumn id="15" xr3:uid="{9D4E2728-B83B-4798-9BD1-4F484EC0545E}" name="品項" dataDxfId="7"/>
    <tableColumn id="12" xr3:uid="{57DF34D9-25EE-48C9-9B89-1CD86459EE1F}" name="備註" dataDxfId="6"/>
    <tableColumn id="16" xr3:uid="{D02A37FC-0FDC-4261-87F4-BB105E91418E}" name="Line_num" dataDxfId="5">
      <calculatedColumnFormula>_xlfn.TEXTJOIN("-",TRUE,INDEX(_xlfn.TEXTSPLIT(B2,"-"),1),INDEX(_xlfn.TEXTSPLIT(B2,"-"),2),INDEX(_xlfn.TEXTSPLIT(B2,"-"),3),INDEX(_xlfn.TEXTSPLIT(B2,"-"),4),INDEX(_xlfn.TEXTSPLIT(B2,"-"),5))</calculatedColumnFormula>
    </tableColumn>
    <tableColumn id="13" xr3:uid="{118A9CFF-8DA1-41B2-9F3C-93C6C8C9912D}" name="hyper" dataDxfId="4">
      <calculatedColumnFormula>HYPERLINK(_xlfn.CONCAT("\\192.168.1.50\3勝一\SE-37(彰濱)\01.工程圖面\01.ISO\ISO\",Weld_list[[#This Row],[流水號]],".",Weld_list[[#This Row],[DWG NO]],".pdf"))</calculatedColumnFormula>
    </tableColumn>
    <tableColumn id="17" xr3:uid="{09BC0625-95E1-4502-BFA0-DC91D0B5E0F3}" name="NOTE" dataDxfId="3">
      <calculatedColumnFormula>IF(Weld_list[[#This Row],[組銲完成日期]]&lt;&gt;"","已完成","未完成")</calculatedColumnFormula>
    </tableColumn>
    <tableColumn id="18" xr3:uid="{E4B0BCBF-FA96-40CF-BEF7-4F5BFA8D94D1}" name="計數" dataDxfId="2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DDF055-7A18-4C5E-93EC-F64FD3659C1B}" name="表格1_3" displayName="表格1_3" ref="A1:D34" totalsRowShown="0">
  <autoFilter ref="A1:D34" xr:uid="{1EB9B2AD-CED1-421F-A8DA-14ABBB98D48D}"/>
  <tableColumns count="4">
    <tableColumn id="1" xr3:uid="{69DA46A2-E862-4375-B024-553B245A22A4}" name="流水號" dataDxfId="1"/>
    <tableColumn id="2" xr3:uid="{4E0D412B-583C-4E6C-A120-0CCC3CA185BE}" name="需購買管接頭數量"/>
    <tableColumn id="3" xr3:uid="{544C778E-4677-4226-8FA8-E9629D5793EA}" name="尺寸"/>
    <tableColumn id="4" xr3:uid="{AE37D987-1798-4511-95FF-68A3C78C10AE}" name="材質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FF00"/>
    <pageSetUpPr fitToPage="1"/>
  </sheetPr>
  <dimension ref="A1:D23"/>
  <sheetViews>
    <sheetView zoomScale="90" zoomScaleNormal="90" workbookViewId="0">
      <pane ySplit="1" topLeftCell="A2" activePane="bottomLeft" state="frozen"/>
      <selection pane="bottomLeft" activeCell="F15" sqref="F15"/>
    </sheetView>
  </sheetViews>
  <sheetFormatPr defaultColWidth="9" defaultRowHeight="20.25" customHeight="1"/>
  <cols>
    <col min="1" max="1" width="17.21875" style="3" bestFit="1" customWidth="1"/>
    <col min="2" max="2" width="62.21875" style="3" customWidth="1"/>
    <col min="3" max="3" width="10.77734375" style="3" hidden="1" customWidth="1"/>
    <col min="4" max="4" width="12.21875" style="3" hidden="1" customWidth="1"/>
    <col min="5" max="16384" width="9" style="3"/>
  </cols>
  <sheetData>
    <row r="1" spans="1:4" ht="20.25" customHeight="1">
      <c r="A1" s="11" t="s">
        <v>44</v>
      </c>
      <c r="B1" s="1" t="s">
        <v>7</v>
      </c>
      <c r="C1" s="1" t="s">
        <v>8</v>
      </c>
      <c r="D1" s="2" t="s">
        <v>9</v>
      </c>
    </row>
    <row r="2" spans="1:4" ht="20.25" customHeight="1">
      <c r="A2" s="1" t="s">
        <v>10</v>
      </c>
      <c r="B2" s="1" t="s">
        <v>11</v>
      </c>
      <c r="C2" s="1">
        <v>1</v>
      </c>
      <c r="D2" s="3">
        <v>1</v>
      </c>
    </row>
    <row r="3" spans="1:4" ht="20.25" customHeight="1">
      <c r="A3" s="1" t="s">
        <v>12</v>
      </c>
      <c r="B3" s="1" t="s">
        <v>13</v>
      </c>
      <c r="C3" s="1">
        <v>1</v>
      </c>
      <c r="D3" s="3">
        <v>1</v>
      </c>
    </row>
    <row r="4" spans="1:4" ht="20.25" customHeight="1">
      <c r="A4" s="4" t="s">
        <v>14</v>
      </c>
      <c r="B4" s="4" t="s">
        <v>15</v>
      </c>
      <c r="C4" s="5">
        <v>1.5</v>
      </c>
      <c r="D4" s="3">
        <v>1</v>
      </c>
    </row>
    <row r="5" spans="1:4" ht="20.25" customHeight="1">
      <c r="A5" s="1" t="s">
        <v>16</v>
      </c>
      <c r="B5" s="6" t="s">
        <v>17</v>
      </c>
      <c r="C5" s="5">
        <v>1.5</v>
      </c>
      <c r="D5" s="3">
        <v>1</v>
      </c>
    </row>
    <row r="6" spans="1:4" ht="20.25" customHeight="1">
      <c r="A6" s="1" t="s">
        <v>18</v>
      </c>
      <c r="B6" s="6" t="s">
        <v>19</v>
      </c>
      <c r="C6" s="5">
        <v>2</v>
      </c>
      <c r="D6" s="3">
        <v>1</v>
      </c>
    </row>
    <row r="7" spans="1:4" ht="20.25" customHeight="1">
      <c r="A7" s="6" t="s">
        <v>20</v>
      </c>
      <c r="B7" s="6" t="s">
        <v>21</v>
      </c>
      <c r="C7" s="5">
        <v>4</v>
      </c>
      <c r="D7" s="3">
        <v>1.5</v>
      </c>
    </row>
    <row r="8" spans="1:4" ht="20.25" customHeight="1">
      <c r="A8" s="1" t="s">
        <v>22</v>
      </c>
      <c r="B8" s="1" t="s">
        <v>23</v>
      </c>
      <c r="C8" s="1">
        <v>1</v>
      </c>
      <c r="D8" s="3">
        <v>1</v>
      </c>
    </row>
    <row r="9" spans="1:4" ht="20.25" customHeight="1">
      <c r="A9" s="1" t="s">
        <v>24</v>
      </c>
      <c r="B9" s="1"/>
      <c r="C9" s="1">
        <v>1</v>
      </c>
      <c r="D9" s="3">
        <v>1</v>
      </c>
    </row>
    <row r="10" spans="1:4" ht="20.25" customHeight="1">
      <c r="A10" s="1" t="s">
        <v>25</v>
      </c>
      <c r="B10" s="1"/>
      <c r="C10" s="1">
        <v>1.5</v>
      </c>
      <c r="D10" s="3">
        <v>1</v>
      </c>
    </row>
    <row r="11" spans="1:4" ht="20.25" customHeight="1">
      <c r="A11" s="1" t="s">
        <v>26</v>
      </c>
      <c r="B11" s="1"/>
      <c r="C11" s="1">
        <v>1.5</v>
      </c>
      <c r="D11" s="3">
        <v>1</v>
      </c>
    </row>
    <row r="12" spans="1:4" ht="20.25" customHeight="1">
      <c r="A12" s="1" t="s">
        <v>27</v>
      </c>
      <c r="B12" s="1" t="s">
        <v>28</v>
      </c>
      <c r="C12" s="1"/>
      <c r="D12" s="3">
        <v>1</v>
      </c>
    </row>
    <row r="13" spans="1:4" ht="20.25" customHeight="1">
      <c r="A13" s="1"/>
      <c r="B13" s="1"/>
      <c r="C13" s="1"/>
    </row>
    <row r="14" spans="1:4" ht="20.25" customHeight="1">
      <c r="A14" s="1" t="s">
        <v>29</v>
      </c>
      <c r="B14" s="1" t="s">
        <v>7</v>
      </c>
      <c r="C14" s="1" t="s">
        <v>8</v>
      </c>
    </row>
    <row r="15" spans="1:4" ht="20.25" customHeight="1">
      <c r="A15" s="1" t="s">
        <v>30</v>
      </c>
      <c r="B15" s="6" t="s">
        <v>31</v>
      </c>
      <c r="C15" s="1">
        <v>1</v>
      </c>
      <c r="D15" s="3">
        <v>1</v>
      </c>
    </row>
    <row r="16" spans="1:4" ht="20.25" customHeight="1">
      <c r="A16" s="1" t="s">
        <v>32</v>
      </c>
      <c r="B16" s="6" t="s">
        <v>33</v>
      </c>
      <c r="C16" s="1">
        <v>1</v>
      </c>
      <c r="D16" s="3">
        <v>1</v>
      </c>
    </row>
    <row r="17" spans="1:4" ht="20.25" customHeight="1">
      <c r="A17" s="7" t="s">
        <v>34</v>
      </c>
      <c r="B17" s="6" t="s">
        <v>35</v>
      </c>
      <c r="C17" s="1">
        <v>1.5</v>
      </c>
      <c r="D17" s="3">
        <v>1</v>
      </c>
    </row>
    <row r="18" spans="1:4" ht="20.25" customHeight="1">
      <c r="A18" s="1" t="s">
        <v>36</v>
      </c>
      <c r="B18" s="6" t="s">
        <v>37</v>
      </c>
      <c r="C18" s="1">
        <v>1.5</v>
      </c>
      <c r="D18" s="3">
        <v>1</v>
      </c>
    </row>
    <row r="19" spans="1:4" ht="20.25" customHeight="1">
      <c r="A19" s="6" t="s">
        <v>38</v>
      </c>
      <c r="B19" s="6" t="s">
        <v>39</v>
      </c>
      <c r="C19" s="1">
        <v>2</v>
      </c>
      <c r="D19" s="3">
        <v>1</v>
      </c>
    </row>
    <row r="20" spans="1:4" ht="20.25" customHeight="1">
      <c r="A20" s="8"/>
      <c r="B20" s="8"/>
    </row>
    <row r="21" spans="1:4" ht="20.25" customHeight="1">
      <c r="A21" s="8" t="s">
        <v>40</v>
      </c>
      <c r="B21" s="9" t="s">
        <v>41</v>
      </c>
    </row>
    <row r="22" spans="1:4" ht="20.25" customHeight="1">
      <c r="B22" s="9" t="s">
        <v>42</v>
      </c>
    </row>
    <row r="23" spans="1:4" ht="20.25" customHeight="1">
      <c r="B23" s="10" t="s">
        <v>43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E3607-480A-4B73-8C70-72E4457201A0}">
  <sheetPr>
    <tabColor rgb="FFFF0000"/>
  </sheetPr>
  <dimension ref="A1:M41"/>
  <sheetViews>
    <sheetView workbookViewId="0">
      <selection activeCell="A7" sqref="A7"/>
    </sheetView>
  </sheetViews>
  <sheetFormatPr defaultRowHeight="16.2"/>
  <cols>
    <col min="1" max="1" width="11.6640625" style="55" customWidth="1"/>
    <col min="2" max="2" width="31.21875" style="55" bestFit="1" customWidth="1"/>
    <col min="3" max="3" width="10.21875" style="55" customWidth="1"/>
    <col min="4" max="4" width="31.21875" style="55" customWidth="1"/>
    <col min="5" max="6" width="9.33203125" style="55" bestFit="1" customWidth="1"/>
    <col min="7" max="8" width="9.6640625" style="55" bestFit="1" customWidth="1"/>
    <col min="9" max="9" width="10.44140625" style="55" customWidth="1"/>
    <col min="10" max="10" width="13.77734375" style="54" customWidth="1"/>
    <col min="11" max="11" width="31.21875" style="54" bestFit="1" customWidth="1"/>
    <col min="12" max="12" width="31.21875" style="54" customWidth="1"/>
    <col min="13" max="16384" width="8.88671875" style="54"/>
  </cols>
  <sheetData>
    <row r="1" spans="1:13" ht="31.2">
      <c r="A1" s="51" t="s">
        <v>161</v>
      </c>
      <c r="B1" s="51" t="s">
        <v>162</v>
      </c>
      <c r="C1" s="51" t="s">
        <v>163</v>
      </c>
      <c r="D1" s="51" t="s">
        <v>164</v>
      </c>
      <c r="E1" s="51" t="s">
        <v>165</v>
      </c>
      <c r="F1" s="51" t="s">
        <v>166</v>
      </c>
      <c r="G1" s="51" t="s">
        <v>167</v>
      </c>
      <c r="H1" s="51" t="s">
        <v>168</v>
      </c>
      <c r="I1" s="51" t="s">
        <v>169</v>
      </c>
      <c r="J1" s="51" t="s">
        <v>170</v>
      </c>
      <c r="K1" s="51" t="s">
        <v>171</v>
      </c>
      <c r="L1" s="52" t="s">
        <v>172</v>
      </c>
      <c r="M1" s="53" t="s">
        <v>173</v>
      </c>
    </row>
    <row r="2" spans="1:13">
      <c r="A2" s="55">
        <v>1</v>
      </c>
      <c r="B2" s="55" t="s">
        <v>174</v>
      </c>
      <c r="C2" s="56" t="s">
        <v>179</v>
      </c>
      <c r="D2" s="55" t="s">
        <v>176</v>
      </c>
      <c r="E2" s="57">
        <v>45702</v>
      </c>
      <c r="F2" s="57">
        <v>45747</v>
      </c>
      <c r="G2" s="57">
        <v>45765</v>
      </c>
      <c r="H2" s="57">
        <v>45789</v>
      </c>
      <c r="I2" s="58">
        <v>45856</v>
      </c>
      <c r="J2" s="54" t="str" cm="1">
        <f t="array" ref="J2">INDEX(E$1:I$1,1,MATCH(1,1/($E2:I2&lt;&gt;"")))</f>
        <v>REV.3</v>
      </c>
      <c r="K2" s="54" t="str" cm="1">
        <f t="array" ref="K2">TEXT(LOOKUP(2,1/($E2:I2&lt;&gt;""),$E2:I2),"yyyy/mm/dd")</f>
        <v>2025/07/18</v>
      </c>
      <c r="M2" s="54" t="s">
        <v>177</v>
      </c>
    </row>
    <row r="3" spans="1:13">
      <c r="A3" s="56" t="s">
        <v>254</v>
      </c>
      <c r="B3" s="55" t="s">
        <v>253</v>
      </c>
      <c r="C3" s="56" t="s">
        <v>182</v>
      </c>
      <c r="D3" s="55" t="s">
        <v>176</v>
      </c>
      <c r="E3" s="57"/>
      <c r="F3" s="57"/>
      <c r="G3" s="57"/>
      <c r="H3" s="57"/>
      <c r="I3" s="58">
        <v>45856</v>
      </c>
      <c r="J3" s="54" t="str" cm="1">
        <f t="array" ref="J3">INDEX(E$1:I$1,1,MATCH(1,1/($E3:I3&lt;&gt;"")))</f>
        <v>REV.3</v>
      </c>
      <c r="K3" s="54" t="str" cm="1">
        <f t="array" ref="K3">TEXT(LOOKUP(2,1/($E3:I3&lt;&gt;""),$E3:I3),"yyyy/mm/dd")</f>
        <v>2025/07/18</v>
      </c>
    </row>
    <row r="4" spans="1:13">
      <c r="A4" s="55">
        <f>A2+1</f>
        <v>2</v>
      </c>
      <c r="B4" s="55" t="s">
        <v>178</v>
      </c>
      <c r="C4" s="56" t="s">
        <v>179</v>
      </c>
      <c r="D4" s="55" t="s">
        <v>180</v>
      </c>
      <c r="E4" s="57">
        <v>45702</v>
      </c>
      <c r="F4" s="57">
        <v>45747</v>
      </c>
      <c r="G4" s="57">
        <v>45789</v>
      </c>
      <c r="H4" s="57">
        <v>45856</v>
      </c>
      <c r="J4" s="54" t="str" cm="1">
        <f t="array" ref="J4">INDEX(E$1:I$1,1,MATCH(1,1/($E4:I4&lt;&gt;"")))</f>
        <v>REV.2</v>
      </c>
      <c r="K4" s="54" t="str" cm="1">
        <f t="array" ref="K4">TEXT(LOOKUP(2,1/($E4:I4&lt;&gt;""),$E4:I4),"yyyy/mm/dd")</f>
        <v>2025/07/18</v>
      </c>
      <c r="M4" s="54" t="s">
        <v>177</v>
      </c>
    </row>
    <row r="5" spans="1:13">
      <c r="A5" s="55">
        <f t="shared" ref="A5:A41" si="0">A4+1</f>
        <v>3</v>
      </c>
      <c r="B5" s="55" t="s">
        <v>181</v>
      </c>
      <c r="C5" s="56" t="s">
        <v>182</v>
      </c>
      <c r="D5" s="55" t="s">
        <v>180</v>
      </c>
      <c r="E5" s="57">
        <v>45702</v>
      </c>
      <c r="F5" s="57">
        <v>45747</v>
      </c>
      <c r="G5" s="57">
        <v>45789</v>
      </c>
      <c r="H5" s="57">
        <v>45856</v>
      </c>
      <c r="J5" s="54" t="str" cm="1">
        <f t="array" ref="J5">INDEX(E$1:I$1,1,MATCH(1,1/($E5:I5&lt;&gt;"")))</f>
        <v>REV.2</v>
      </c>
      <c r="K5" s="54" t="str" cm="1">
        <f t="array" ref="K5">TEXT(LOOKUP(2,1/($E5:I5&lt;&gt;""),$E5:I5),"yyyy/mm/dd")</f>
        <v>2025/07/18</v>
      </c>
      <c r="M5" s="54" t="s">
        <v>177</v>
      </c>
    </row>
    <row r="6" spans="1:13">
      <c r="A6" s="55">
        <f t="shared" si="0"/>
        <v>4</v>
      </c>
      <c r="B6" s="55" t="s">
        <v>183</v>
      </c>
      <c r="C6" s="56" t="s">
        <v>175</v>
      </c>
      <c r="D6" s="55" t="s">
        <v>184</v>
      </c>
      <c r="E6" s="57">
        <v>45702</v>
      </c>
      <c r="F6" s="57">
        <v>45747</v>
      </c>
      <c r="G6" s="57">
        <v>45789</v>
      </c>
      <c r="H6" s="54"/>
      <c r="J6" s="54" t="str" cm="1">
        <f t="array" ref="J6">INDEX(E$1:I$1,1,MATCH(1,1/($E6:I6&lt;&gt;"")))</f>
        <v>REV.1</v>
      </c>
      <c r="K6" s="54" t="str" cm="1">
        <f t="array" ref="K6">TEXT(LOOKUP(2,1/($E6:I6&lt;&gt;""),$E6:I6),"yyyy/mm/dd")</f>
        <v>2025/05/12</v>
      </c>
      <c r="M6" s="54" t="s">
        <v>177</v>
      </c>
    </row>
    <row r="7" spans="1:13">
      <c r="A7" s="55">
        <f t="shared" si="0"/>
        <v>5</v>
      </c>
      <c r="B7" s="55" t="s">
        <v>185</v>
      </c>
      <c r="C7" s="56" t="s">
        <v>186</v>
      </c>
      <c r="D7" s="55" t="s">
        <v>187</v>
      </c>
      <c r="E7" s="57">
        <v>45702</v>
      </c>
      <c r="F7" s="57">
        <v>45747</v>
      </c>
      <c r="G7" s="57">
        <v>45789</v>
      </c>
      <c r="H7" s="54"/>
      <c r="J7" s="54" t="str" cm="1">
        <f t="array" ref="J7">INDEX(E$1:I$1,1,MATCH(1,1/($E7:I7&lt;&gt;"")))</f>
        <v>REV.1</v>
      </c>
      <c r="K7" s="54" t="str" cm="1">
        <f t="array" ref="K7">TEXT(LOOKUP(2,1/($E7:I7&lt;&gt;""),$E7:I7),"yyyy/mm/dd")</f>
        <v>2025/05/12</v>
      </c>
      <c r="M7" s="54" t="s">
        <v>177</v>
      </c>
    </row>
    <row r="8" spans="1:13">
      <c r="A8" s="55">
        <f t="shared" si="0"/>
        <v>6</v>
      </c>
      <c r="B8" s="55" t="s">
        <v>188</v>
      </c>
      <c r="C8" s="56" t="s">
        <v>189</v>
      </c>
      <c r="D8" s="55" t="s">
        <v>187</v>
      </c>
      <c r="E8" s="57">
        <v>45702</v>
      </c>
      <c r="F8" s="57">
        <v>45747</v>
      </c>
      <c r="G8" s="57">
        <v>45789</v>
      </c>
      <c r="H8" s="54"/>
      <c r="J8" s="54" t="str" cm="1">
        <f t="array" ref="J8">INDEX(E$1:I$1,1,MATCH(1,1/($E8:I8&lt;&gt;"")))</f>
        <v>REV.1</v>
      </c>
      <c r="K8" s="54" t="str" cm="1">
        <f t="array" ref="K8">TEXT(LOOKUP(2,1/($E8:I8&lt;&gt;""),$E8:I8),"yyyy/mm/dd")</f>
        <v>2025/05/12</v>
      </c>
      <c r="M8" s="54" t="s">
        <v>177</v>
      </c>
    </row>
    <row r="9" spans="1:13">
      <c r="A9" s="55">
        <f t="shared" si="0"/>
        <v>7</v>
      </c>
      <c r="B9" s="55" t="s">
        <v>190</v>
      </c>
      <c r="C9" s="56" t="s">
        <v>191</v>
      </c>
      <c r="D9" s="55" t="s">
        <v>187</v>
      </c>
      <c r="E9" s="57">
        <v>45702</v>
      </c>
      <c r="F9" s="57">
        <v>45747</v>
      </c>
      <c r="G9" s="57">
        <v>45789</v>
      </c>
      <c r="H9" s="54"/>
      <c r="J9" s="54" t="str" cm="1">
        <f t="array" ref="J9">INDEX(E$1:I$1,1,MATCH(1,1/($E9:I9&lt;&gt;"")))</f>
        <v>REV.1</v>
      </c>
      <c r="K9" s="54" t="str" cm="1">
        <f t="array" ref="K9">TEXT(LOOKUP(2,1/($E9:I9&lt;&gt;""),$E9:I9),"yyyy/mm/dd")</f>
        <v>2025/05/12</v>
      </c>
      <c r="M9" s="54" t="s">
        <v>177</v>
      </c>
    </row>
    <row r="10" spans="1:13">
      <c r="A10" s="55">
        <f t="shared" si="0"/>
        <v>8</v>
      </c>
      <c r="B10" s="55" t="s">
        <v>192</v>
      </c>
      <c r="C10" s="56" t="s">
        <v>179</v>
      </c>
      <c r="D10" s="55" t="s">
        <v>193</v>
      </c>
      <c r="E10" s="57">
        <v>45702</v>
      </c>
      <c r="F10" s="57">
        <v>45747</v>
      </c>
      <c r="G10" s="57">
        <v>45789</v>
      </c>
      <c r="H10" s="54"/>
      <c r="J10" s="54" t="str" cm="1">
        <f t="array" ref="J10">INDEX(E$1:I$1,1,MATCH(1,1/($E10:I10&lt;&gt;"")))</f>
        <v>REV.1</v>
      </c>
      <c r="K10" s="54" t="str" cm="1">
        <f t="array" ref="K10">TEXT(LOOKUP(2,1/($E10:I10&lt;&gt;""),$E10:I10),"yyyy/mm/dd")</f>
        <v>2025/05/12</v>
      </c>
      <c r="M10" s="54" t="s">
        <v>177</v>
      </c>
    </row>
    <row r="11" spans="1:13">
      <c r="A11" s="55">
        <f t="shared" si="0"/>
        <v>9</v>
      </c>
      <c r="B11" s="55" t="s">
        <v>194</v>
      </c>
      <c r="C11" s="56" t="s">
        <v>182</v>
      </c>
      <c r="D11" s="55" t="s">
        <v>193</v>
      </c>
      <c r="E11" s="57">
        <v>45702</v>
      </c>
      <c r="F11" s="57">
        <v>45747</v>
      </c>
      <c r="G11" s="57">
        <v>45789</v>
      </c>
      <c r="H11" s="54"/>
      <c r="J11" s="54" t="str" cm="1">
        <f t="array" ref="J11">INDEX(E$1:I$1,1,MATCH(1,1/($E11:I11&lt;&gt;"")))</f>
        <v>REV.1</v>
      </c>
      <c r="K11" s="54" t="str" cm="1">
        <f t="array" ref="K11">TEXT(LOOKUP(2,1/($E11:I11&lt;&gt;""),$E11:I11),"yyyy/mm/dd")</f>
        <v>2025/05/12</v>
      </c>
      <c r="M11" s="54" t="s">
        <v>177</v>
      </c>
    </row>
    <row r="12" spans="1:13">
      <c r="A12" s="55">
        <f t="shared" si="0"/>
        <v>10</v>
      </c>
      <c r="B12" s="55" t="s">
        <v>195</v>
      </c>
      <c r="C12" s="56" t="s">
        <v>179</v>
      </c>
      <c r="D12" s="55" t="s">
        <v>196</v>
      </c>
      <c r="E12" s="57">
        <v>45702</v>
      </c>
      <c r="F12" s="57">
        <v>45747</v>
      </c>
      <c r="G12" s="57">
        <v>45789</v>
      </c>
      <c r="H12" s="54"/>
      <c r="J12" s="54" t="str" cm="1">
        <f t="array" ref="J12">INDEX(E$1:I$1,1,MATCH(1,1/($E12:I12&lt;&gt;"")))</f>
        <v>REV.1</v>
      </c>
      <c r="K12" s="54" t="str" cm="1">
        <f t="array" ref="K12">TEXT(LOOKUP(2,1/($E12:I12&lt;&gt;""),$E12:I12),"yyyy/mm/dd")</f>
        <v>2025/05/12</v>
      </c>
      <c r="M12" s="54" t="s">
        <v>177</v>
      </c>
    </row>
    <row r="13" spans="1:13">
      <c r="A13" s="55">
        <f t="shared" si="0"/>
        <v>11</v>
      </c>
      <c r="B13" s="55" t="s">
        <v>197</v>
      </c>
      <c r="C13" s="56" t="s">
        <v>182</v>
      </c>
      <c r="D13" s="55" t="s">
        <v>196</v>
      </c>
      <c r="E13" s="57">
        <v>45702</v>
      </c>
      <c r="F13" s="57">
        <v>45747</v>
      </c>
      <c r="G13" s="57">
        <v>45789</v>
      </c>
      <c r="H13" s="54"/>
      <c r="J13" s="54" t="str" cm="1">
        <f t="array" ref="J13">INDEX(E$1:I$1,1,MATCH(1,1/($E13:I13&lt;&gt;"")))</f>
        <v>REV.1</v>
      </c>
      <c r="K13" s="54" t="str" cm="1">
        <f t="array" ref="K13">TEXT(LOOKUP(2,1/($E13:I13&lt;&gt;""),$E13:I13),"yyyy/mm/dd")</f>
        <v>2025/05/12</v>
      </c>
      <c r="M13" s="54" t="s">
        <v>177</v>
      </c>
    </row>
    <row r="14" spans="1:13">
      <c r="A14" s="55">
        <f t="shared" si="0"/>
        <v>12</v>
      </c>
      <c r="B14" s="55" t="s">
        <v>198</v>
      </c>
      <c r="C14" s="56" t="s">
        <v>175</v>
      </c>
      <c r="D14" s="55" t="s">
        <v>199</v>
      </c>
      <c r="E14" s="57">
        <v>45702</v>
      </c>
      <c r="F14" s="57">
        <v>45747</v>
      </c>
      <c r="G14" s="57">
        <v>45789</v>
      </c>
      <c r="H14" s="54"/>
      <c r="J14" s="54" t="str" cm="1">
        <f t="array" ref="J14">INDEX(E$1:I$1,1,MATCH(1,1/($E14:I14&lt;&gt;"")))</f>
        <v>REV.1</v>
      </c>
      <c r="K14" s="54" t="str" cm="1">
        <f t="array" ref="K14">TEXT(LOOKUP(2,1/($E14:I14&lt;&gt;""),$E14:I14),"yyyy/mm/dd")</f>
        <v>2025/05/12</v>
      </c>
      <c r="M14" s="54" t="s">
        <v>177</v>
      </c>
    </row>
    <row r="15" spans="1:13">
      <c r="A15" s="55">
        <f t="shared" si="0"/>
        <v>13</v>
      </c>
      <c r="B15" s="55" t="s">
        <v>200</v>
      </c>
      <c r="C15" s="56" t="s">
        <v>175</v>
      </c>
      <c r="D15" s="55" t="s">
        <v>201</v>
      </c>
      <c r="E15" s="57">
        <v>45702</v>
      </c>
      <c r="F15" s="57">
        <v>45747</v>
      </c>
      <c r="G15" s="57">
        <v>45765</v>
      </c>
      <c r="H15" s="57">
        <v>45789</v>
      </c>
      <c r="J15" s="54" t="str" cm="1">
        <f t="array" ref="J15">INDEX(E$1:I$1,1,MATCH(1,1/($E15:I15&lt;&gt;"")))</f>
        <v>REV.2</v>
      </c>
      <c r="K15" s="54" t="str" cm="1">
        <f t="array" ref="K15">TEXT(LOOKUP(2,1/($E15:I15&lt;&gt;""),$E15:I15),"yyyy/mm/dd")</f>
        <v>2025/05/12</v>
      </c>
      <c r="M15" s="54" t="s">
        <v>177</v>
      </c>
    </row>
    <row r="16" spans="1:13">
      <c r="A16" s="55">
        <f t="shared" si="0"/>
        <v>14</v>
      </c>
      <c r="B16" s="55" t="s">
        <v>202</v>
      </c>
      <c r="C16" s="56" t="s">
        <v>175</v>
      </c>
      <c r="D16" s="55" t="s">
        <v>203</v>
      </c>
      <c r="E16" s="57">
        <v>45702</v>
      </c>
      <c r="F16" s="57">
        <v>45747</v>
      </c>
      <c r="G16" s="57">
        <v>45765</v>
      </c>
      <c r="H16" s="57">
        <v>45789</v>
      </c>
      <c r="J16" s="54" t="str" cm="1">
        <f t="array" ref="J16">INDEX(E$1:I$1,1,MATCH(1,1/($E16:I16&lt;&gt;"")))</f>
        <v>REV.2</v>
      </c>
      <c r="K16" s="54" t="str" cm="1">
        <f t="array" ref="K16">TEXT(LOOKUP(2,1/($E16:I16&lt;&gt;""),$E16:I16),"yyyy/mm/dd")</f>
        <v>2025/05/12</v>
      </c>
      <c r="M16" s="54" t="s">
        <v>177</v>
      </c>
    </row>
    <row r="17" spans="1:13">
      <c r="A17" s="55">
        <f t="shared" si="0"/>
        <v>15</v>
      </c>
      <c r="B17" s="55" t="s">
        <v>204</v>
      </c>
      <c r="C17" s="56" t="s">
        <v>175</v>
      </c>
      <c r="D17" s="55" t="s">
        <v>205</v>
      </c>
      <c r="E17" s="54"/>
      <c r="F17" s="57">
        <v>45747</v>
      </c>
      <c r="G17" s="54"/>
      <c r="H17" s="54"/>
      <c r="J17" s="54" t="str" cm="1">
        <f t="array" ref="J17">INDEX(E$1:I$1,1,MATCH(1,1/($E17:I17&lt;&gt;"")))</f>
        <v>REV.0</v>
      </c>
      <c r="K17" s="54" t="str" cm="1">
        <f t="array" ref="K17">TEXT(LOOKUP(2,1/($E17:I17&lt;&gt;""),$E17:I17),"yyyy/mm/dd")</f>
        <v>2025/03/31</v>
      </c>
      <c r="M17" s="54" t="s">
        <v>177</v>
      </c>
    </row>
    <row r="18" spans="1:13">
      <c r="A18" s="55">
        <f t="shared" si="0"/>
        <v>16</v>
      </c>
      <c r="B18" s="55" t="s">
        <v>206</v>
      </c>
      <c r="C18" s="56" t="s">
        <v>179</v>
      </c>
      <c r="D18" s="55" t="s">
        <v>207</v>
      </c>
      <c r="E18" s="57">
        <v>45702</v>
      </c>
      <c r="F18" s="57">
        <v>45747</v>
      </c>
      <c r="G18" s="57">
        <v>45765</v>
      </c>
      <c r="H18" s="57">
        <v>45789</v>
      </c>
      <c r="J18" s="54" t="str" cm="1">
        <f t="array" ref="J18">INDEX(E$1:I$1,1,MATCH(1,1/($E18:I18&lt;&gt;"")))</f>
        <v>REV.2</v>
      </c>
      <c r="K18" s="54" t="str" cm="1">
        <f t="array" ref="K18">TEXT(LOOKUP(2,1/($E18:I18&lt;&gt;""),$E18:I18),"yyyy/mm/dd")</f>
        <v>2025/05/12</v>
      </c>
      <c r="M18" s="54" t="s">
        <v>177</v>
      </c>
    </row>
    <row r="19" spans="1:13">
      <c r="A19" s="55">
        <f t="shared" si="0"/>
        <v>17</v>
      </c>
      <c r="B19" s="55" t="s">
        <v>208</v>
      </c>
      <c r="C19" s="56" t="s">
        <v>182</v>
      </c>
      <c r="D19" s="55" t="s">
        <v>207</v>
      </c>
      <c r="E19" s="57">
        <v>45702</v>
      </c>
      <c r="F19" s="57">
        <v>45747</v>
      </c>
      <c r="G19" s="57">
        <v>45765</v>
      </c>
      <c r="H19" s="57">
        <v>45789</v>
      </c>
      <c r="J19" s="54" t="str" cm="1">
        <f t="array" ref="J19">INDEX(E$1:I$1,1,MATCH(1,1/($E19:I19&lt;&gt;"")))</f>
        <v>REV.2</v>
      </c>
      <c r="K19" s="54" t="str" cm="1">
        <f t="array" ref="K19">TEXT(LOOKUP(2,1/($E19:I19&lt;&gt;""),$E19:I19),"yyyy/mm/dd")</f>
        <v>2025/05/12</v>
      </c>
      <c r="M19" s="54" t="s">
        <v>177</v>
      </c>
    </row>
    <row r="20" spans="1:13">
      <c r="A20" s="55">
        <f t="shared" si="0"/>
        <v>18</v>
      </c>
      <c r="B20" s="55" t="s">
        <v>209</v>
      </c>
      <c r="C20" s="56" t="s">
        <v>175</v>
      </c>
      <c r="D20" s="55" t="s">
        <v>210</v>
      </c>
      <c r="E20" s="57">
        <v>45702</v>
      </c>
      <c r="F20" s="57">
        <v>45747</v>
      </c>
      <c r="G20" s="54"/>
      <c r="H20" s="54"/>
      <c r="J20" s="54" t="str" cm="1">
        <f t="array" ref="J20">INDEX(E$1:I$1,1,MATCH(1,1/($E20:I20&lt;&gt;"")))</f>
        <v>REV.0</v>
      </c>
      <c r="K20" s="54" t="str" cm="1">
        <f t="array" ref="K20">TEXT(LOOKUP(2,1/($E20:I20&lt;&gt;""),$E20:I20),"yyyy/mm/dd")</f>
        <v>2025/03/31</v>
      </c>
      <c r="M20" s="54" t="s">
        <v>177</v>
      </c>
    </row>
    <row r="21" spans="1:13">
      <c r="A21" s="55">
        <f t="shared" si="0"/>
        <v>19</v>
      </c>
      <c r="B21" s="55" t="s">
        <v>211</v>
      </c>
      <c r="C21" s="56" t="s">
        <v>175</v>
      </c>
      <c r="D21" s="55" t="s">
        <v>212</v>
      </c>
      <c r="E21" s="57">
        <v>45702</v>
      </c>
      <c r="F21" s="57">
        <v>45747</v>
      </c>
      <c r="G21" s="57">
        <v>45765</v>
      </c>
      <c r="H21" s="57">
        <v>45789</v>
      </c>
      <c r="J21" s="54" t="str" cm="1">
        <f t="array" ref="J21">INDEX(E$1:I$1,1,MATCH(1,1/($E21:I21&lt;&gt;"")))</f>
        <v>REV.2</v>
      </c>
      <c r="K21" s="54" t="str" cm="1">
        <f t="array" ref="K21">TEXT(LOOKUP(2,1/($E21:I21&lt;&gt;""),$E21:I21),"yyyy/mm/dd")</f>
        <v>2025/05/12</v>
      </c>
      <c r="M21" s="54" t="s">
        <v>177</v>
      </c>
    </row>
    <row r="22" spans="1:13">
      <c r="A22" s="55">
        <f t="shared" si="0"/>
        <v>20</v>
      </c>
      <c r="B22" s="55" t="s">
        <v>213</v>
      </c>
      <c r="C22" s="56" t="s">
        <v>175</v>
      </c>
      <c r="D22" s="55" t="s">
        <v>214</v>
      </c>
      <c r="E22" s="57">
        <v>45702</v>
      </c>
      <c r="F22" s="57">
        <v>45747</v>
      </c>
      <c r="G22" s="57">
        <v>45765</v>
      </c>
      <c r="H22" s="57">
        <v>45789</v>
      </c>
      <c r="J22" s="54" t="str" cm="1">
        <f t="array" ref="J22">INDEX(E$1:I$1,1,MATCH(1,1/($E22:I22&lt;&gt;"")))</f>
        <v>REV.2</v>
      </c>
      <c r="K22" s="54" t="str" cm="1">
        <f t="array" ref="K22">TEXT(LOOKUP(2,1/($E22:I22&lt;&gt;""),$E22:I22),"yyyy/mm/dd")</f>
        <v>2025/05/12</v>
      </c>
      <c r="M22" s="54" t="s">
        <v>177</v>
      </c>
    </row>
    <row r="23" spans="1:13">
      <c r="A23" s="55">
        <f t="shared" si="0"/>
        <v>21</v>
      </c>
      <c r="B23" s="55" t="s">
        <v>215</v>
      </c>
      <c r="C23" s="56" t="s">
        <v>175</v>
      </c>
      <c r="D23" s="55" t="s">
        <v>216</v>
      </c>
      <c r="E23" s="57">
        <v>45702</v>
      </c>
      <c r="F23" s="57">
        <v>45747</v>
      </c>
      <c r="G23" s="54"/>
      <c r="H23" s="54"/>
      <c r="J23" s="54" t="str" cm="1">
        <f t="array" ref="J23">INDEX(E$1:I$1,1,MATCH(1,1/($E23:I23&lt;&gt;"")))</f>
        <v>REV.0</v>
      </c>
      <c r="K23" s="54" t="str" cm="1">
        <f t="array" ref="K23">TEXT(LOOKUP(2,1/($E23:I23&lt;&gt;""),$E23:I23),"yyyy/mm/dd")</f>
        <v>2025/03/31</v>
      </c>
      <c r="M23" s="54" t="s">
        <v>177</v>
      </c>
    </row>
    <row r="24" spans="1:13">
      <c r="A24" s="55">
        <f t="shared" si="0"/>
        <v>22</v>
      </c>
      <c r="B24" s="55" t="s">
        <v>217</v>
      </c>
      <c r="C24" s="56" t="s">
        <v>175</v>
      </c>
      <c r="D24" s="55" t="s">
        <v>218</v>
      </c>
      <c r="E24" s="57">
        <v>45702</v>
      </c>
      <c r="F24" s="57">
        <v>45747</v>
      </c>
      <c r="G24" s="54"/>
      <c r="H24" s="54"/>
      <c r="J24" s="54" t="str" cm="1">
        <f t="array" ref="J24">INDEX(E$1:I$1,1,MATCH(1,1/($E24:I24&lt;&gt;"")))</f>
        <v>REV.0</v>
      </c>
      <c r="K24" s="54" t="str" cm="1">
        <f t="array" ref="K24">TEXT(LOOKUP(2,1/($E24:I24&lt;&gt;""),$E24:I24),"yyyy/mm/dd")</f>
        <v>2025/03/31</v>
      </c>
      <c r="M24" s="54" t="s">
        <v>177</v>
      </c>
    </row>
    <row r="25" spans="1:13">
      <c r="A25" s="55">
        <f t="shared" si="0"/>
        <v>23</v>
      </c>
      <c r="B25" s="55" t="s">
        <v>219</v>
      </c>
      <c r="C25" s="56" t="s">
        <v>175</v>
      </c>
      <c r="D25" s="55" t="s">
        <v>220</v>
      </c>
      <c r="E25" s="57">
        <v>45702</v>
      </c>
      <c r="F25" s="57">
        <v>45747</v>
      </c>
      <c r="G25" s="54"/>
      <c r="H25" s="54"/>
      <c r="J25" s="54" t="str" cm="1">
        <f t="array" ref="J25">INDEX(E$1:I$1,1,MATCH(1,1/($E25:I25&lt;&gt;"")))</f>
        <v>REV.0</v>
      </c>
      <c r="K25" s="54" t="str" cm="1">
        <f t="array" ref="K25">TEXT(LOOKUP(2,1/($E25:I25&lt;&gt;""),$E25:I25),"yyyy/mm/dd")</f>
        <v>2025/03/31</v>
      </c>
      <c r="M25" s="54" t="s">
        <v>177</v>
      </c>
    </row>
    <row r="26" spans="1:13">
      <c r="A26" s="55">
        <f t="shared" si="0"/>
        <v>24</v>
      </c>
      <c r="B26" s="55" t="s">
        <v>221</v>
      </c>
      <c r="C26" s="56" t="s">
        <v>175</v>
      </c>
      <c r="D26" s="55" t="s">
        <v>222</v>
      </c>
      <c r="E26" s="57">
        <v>45702</v>
      </c>
      <c r="F26" s="57">
        <v>45747</v>
      </c>
      <c r="G26" s="54"/>
      <c r="H26" s="54"/>
      <c r="J26" s="54" t="str" cm="1">
        <f t="array" ref="J26">INDEX(E$1:I$1,1,MATCH(1,1/($E26:I26&lt;&gt;"")))</f>
        <v>REV.0</v>
      </c>
      <c r="K26" s="54" t="str" cm="1">
        <f t="array" ref="K26">TEXT(LOOKUP(2,1/($E26:I26&lt;&gt;""),$E26:I26),"yyyy/mm/dd")</f>
        <v>2025/03/31</v>
      </c>
      <c r="M26" s="54" t="s">
        <v>177</v>
      </c>
    </row>
    <row r="27" spans="1:13">
      <c r="A27" s="55">
        <f t="shared" si="0"/>
        <v>25</v>
      </c>
      <c r="B27" s="55" t="s">
        <v>223</v>
      </c>
      <c r="C27" s="56" t="s">
        <v>175</v>
      </c>
      <c r="D27" s="55" t="s">
        <v>224</v>
      </c>
      <c r="E27" s="57">
        <v>45702</v>
      </c>
      <c r="F27" s="57">
        <v>45747</v>
      </c>
      <c r="G27" s="54"/>
      <c r="H27" s="54"/>
      <c r="J27" s="54" t="str" cm="1">
        <f t="array" ref="J27">INDEX(E$1:I$1,1,MATCH(1,1/($E27:I27&lt;&gt;"")))</f>
        <v>REV.0</v>
      </c>
      <c r="K27" s="54" t="str" cm="1">
        <f t="array" ref="K27">TEXT(LOOKUP(2,1/($E27:I27&lt;&gt;""),$E27:I27),"yyyy/mm/dd")</f>
        <v>2025/03/31</v>
      </c>
      <c r="M27" s="54" t="s">
        <v>177</v>
      </c>
    </row>
    <row r="28" spans="1:13">
      <c r="A28" s="55">
        <f t="shared" si="0"/>
        <v>26</v>
      </c>
      <c r="B28" s="55" t="s">
        <v>225</v>
      </c>
      <c r="C28" s="56" t="s">
        <v>175</v>
      </c>
      <c r="D28" s="55" t="s">
        <v>226</v>
      </c>
      <c r="E28" s="57">
        <v>45702</v>
      </c>
      <c r="F28" s="57">
        <v>45747</v>
      </c>
      <c r="G28" s="54"/>
      <c r="H28" s="54"/>
      <c r="J28" s="54" t="str" cm="1">
        <f t="array" ref="J28">INDEX(E$1:I$1,1,MATCH(1,1/($E28:I28&lt;&gt;"")))</f>
        <v>REV.0</v>
      </c>
      <c r="K28" s="54" t="str" cm="1">
        <f t="array" ref="K28">TEXT(LOOKUP(2,1/($E28:I28&lt;&gt;""),$E28:I28),"yyyy/mm/dd")</f>
        <v>2025/03/31</v>
      </c>
      <c r="M28" s="54" t="s">
        <v>177</v>
      </c>
    </row>
    <row r="29" spans="1:13">
      <c r="A29" s="55">
        <f t="shared" si="0"/>
        <v>27</v>
      </c>
      <c r="B29" s="55" t="s">
        <v>227</v>
      </c>
      <c r="C29" s="56" t="s">
        <v>175</v>
      </c>
      <c r="D29" s="55" t="s">
        <v>228</v>
      </c>
      <c r="E29" s="57">
        <v>45702</v>
      </c>
      <c r="F29" s="57">
        <v>45747</v>
      </c>
      <c r="G29" s="54"/>
      <c r="H29" s="54"/>
      <c r="J29" s="54" t="str" cm="1">
        <f t="array" ref="J29">INDEX(E$1:I$1,1,MATCH(1,1/($E29:I29&lt;&gt;"")))</f>
        <v>REV.0</v>
      </c>
      <c r="K29" s="54" t="str" cm="1">
        <f t="array" ref="K29">TEXT(LOOKUP(2,1/($E29:I29&lt;&gt;""),$E29:I29),"yyyy/mm/dd")</f>
        <v>2025/03/31</v>
      </c>
      <c r="M29" s="54" t="s">
        <v>177</v>
      </c>
    </row>
    <row r="30" spans="1:13">
      <c r="A30" s="55">
        <f t="shared" si="0"/>
        <v>28</v>
      </c>
      <c r="B30" s="55" t="s">
        <v>229</v>
      </c>
      <c r="C30" s="56" t="s">
        <v>175</v>
      </c>
      <c r="D30" s="55" t="s">
        <v>230</v>
      </c>
      <c r="E30" s="57">
        <v>45702</v>
      </c>
      <c r="F30" s="57">
        <v>45747</v>
      </c>
      <c r="G30" s="54"/>
      <c r="H30" s="54"/>
      <c r="J30" s="54" t="str" cm="1">
        <f t="array" ref="J30">INDEX(E$1:I$1,1,MATCH(1,1/($E30:I30&lt;&gt;"")))</f>
        <v>REV.0</v>
      </c>
      <c r="K30" s="54" t="str" cm="1">
        <f t="array" ref="K30">TEXT(LOOKUP(2,1/($E30:I30&lt;&gt;""),$E30:I30),"yyyy/mm/dd")</f>
        <v>2025/03/31</v>
      </c>
      <c r="M30" s="54" t="s">
        <v>177</v>
      </c>
    </row>
    <row r="31" spans="1:13">
      <c r="A31" s="55">
        <f t="shared" si="0"/>
        <v>29</v>
      </c>
      <c r="B31" s="55" t="s">
        <v>231</v>
      </c>
      <c r="C31" s="56" t="s">
        <v>175</v>
      </c>
      <c r="D31" s="55" t="s">
        <v>232</v>
      </c>
      <c r="E31" s="57">
        <v>45702</v>
      </c>
      <c r="F31" s="57">
        <v>45747</v>
      </c>
      <c r="G31" s="54"/>
      <c r="H31" s="54"/>
      <c r="J31" s="54" t="str" cm="1">
        <f t="array" ref="J31">INDEX(E$1:I$1,1,MATCH(1,1/($E31:I31&lt;&gt;"")))</f>
        <v>REV.0</v>
      </c>
      <c r="K31" s="54" t="str" cm="1">
        <f t="array" ref="K31">TEXT(LOOKUP(2,1/($E31:I31&lt;&gt;""),$E31:I31),"yyyy/mm/dd")</f>
        <v>2025/03/31</v>
      </c>
      <c r="M31" s="54" t="s">
        <v>177</v>
      </c>
    </row>
    <row r="32" spans="1:13">
      <c r="A32" s="55">
        <f t="shared" si="0"/>
        <v>30</v>
      </c>
      <c r="B32" s="55" t="s">
        <v>233</v>
      </c>
      <c r="C32" s="56" t="s">
        <v>179</v>
      </c>
      <c r="D32" s="55" t="s">
        <v>234</v>
      </c>
      <c r="E32" s="57">
        <v>45702</v>
      </c>
      <c r="F32" s="57">
        <v>45747</v>
      </c>
      <c r="G32" s="57">
        <v>45765</v>
      </c>
      <c r="H32" s="57">
        <v>45789</v>
      </c>
      <c r="J32" s="54" t="str" cm="1">
        <f t="array" ref="J32">INDEX(E$1:I$1,1,MATCH(1,1/($E32:I32&lt;&gt;"")))</f>
        <v>REV.2</v>
      </c>
      <c r="K32" s="54" t="str" cm="1">
        <f t="array" ref="K32">TEXT(LOOKUP(2,1/($E32:I32&lt;&gt;""),$E32:I32),"yyyy/mm/dd")</f>
        <v>2025/05/12</v>
      </c>
      <c r="M32" s="54" t="s">
        <v>177</v>
      </c>
    </row>
    <row r="33" spans="1:13">
      <c r="A33" s="55">
        <f t="shared" si="0"/>
        <v>31</v>
      </c>
      <c r="B33" s="55" t="s">
        <v>235</v>
      </c>
      <c r="C33" s="56" t="s">
        <v>182</v>
      </c>
      <c r="D33" s="55" t="s">
        <v>234</v>
      </c>
      <c r="E33" s="57">
        <v>45702</v>
      </c>
      <c r="F33" s="57">
        <v>45747</v>
      </c>
      <c r="G33" s="57">
        <v>45765</v>
      </c>
      <c r="H33" s="57">
        <v>45789</v>
      </c>
      <c r="J33" s="54" t="str" cm="1">
        <f t="array" ref="J33">INDEX(E$1:I$1,1,MATCH(1,1/($E33:I33&lt;&gt;"")))</f>
        <v>REV.2</v>
      </c>
      <c r="K33" s="54" t="str" cm="1">
        <f t="array" ref="K33">TEXT(LOOKUP(2,1/($E33:I33&lt;&gt;""),$E33:I33),"yyyy/mm/dd")</f>
        <v>2025/05/12</v>
      </c>
      <c r="M33" s="54" t="s">
        <v>177</v>
      </c>
    </row>
    <row r="34" spans="1:13">
      <c r="A34" s="55">
        <f t="shared" si="0"/>
        <v>32</v>
      </c>
      <c r="B34" s="55" t="s">
        <v>236</v>
      </c>
      <c r="C34" s="56" t="s">
        <v>175</v>
      </c>
      <c r="D34" s="55" t="s">
        <v>237</v>
      </c>
      <c r="E34" s="57">
        <v>45702</v>
      </c>
      <c r="F34" s="57">
        <v>45747</v>
      </c>
      <c r="G34" s="54"/>
      <c r="H34" s="54"/>
      <c r="J34" s="54" t="str" cm="1">
        <f t="array" ref="J34">INDEX(E$1:I$1,1,MATCH(1,1/($E34:I34&lt;&gt;"")))</f>
        <v>REV.0</v>
      </c>
      <c r="K34" s="54" t="str" cm="1">
        <f t="array" ref="K34">TEXT(LOOKUP(2,1/($E34:I34&lt;&gt;""),$E34:I34),"yyyy/mm/dd")</f>
        <v>2025/03/31</v>
      </c>
      <c r="M34" s="54" t="s">
        <v>177</v>
      </c>
    </row>
    <row r="35" spans="1:13">
      <c r="A35" s="55">
        <f t="shared" si="0"/>
        <v>33</v>
      </c>
      <c r="B35" s="55" t="s">
        <v>238</v>
      </c>
      <c r="C35" s="56" t="s">
        <v>175</v>
      </c>
      <c r="D35" s="55" t="s">
        <v>239</v>
      </c>
      <c r="E35" s="57">
        <v>45702</v>
      </c>
      <c r="F35" s="57">
        <v>45747</v>
      </c>
      <c r="G35" s="54"/>
      <c r="H35" s="54"/>
      <c r="J35" s="54" t="str" cm="1">
        <f t="array" ref="J35">INDEX(E$1:I$1,1,MATCH(1,1/($E35:I35&lt;&gt;"")))</f>
        <v>REV.0</v>
      </c>
      <c r="K35" s="54" t="str" cm="1">
        <f t="array" ref="K35">TEXT(LOOKUP(2,1/($E35:I35&lt;&gt;""),$E35:I35),"yyyy/mm/dd")</f>
        <v>2025/03/31</v>
      </c>
      <c r="M35" s="54" t="s">
        <v>177</v>
      </c>
    </row>
    <row r="36" spans="1:13">
      <c r="A36" s="55">
        <f t="shared" si="0"/>
        <v>34</v>
      </c>
      <c r="B36" s="55" t="s">
        <v>240</v>
      </c>
      <c r="C36" s="56" t="s">
        <v>175</v>
      </c>
      <c r="D36" s="55" t="s">
        <v>241</v>
      </c>
      <c r="E36" s="57">
        <v>45702</v>
      </c>
      <c r="F36" s="57">
        <v>45747</v>
      </c>
      <c r="G36" s="57">
        <v>45765</v>
      </c>
      <c r="H36" s="57">
        <v>45789</v>
      </c>
      <c r="J36" s="54" t="str" cm="1">
        <f t="array" ref="J36">INDEX(E$1:I$1,1,MATCH(1,1/($E36:I36&lt;&gt;"")))</f>
        <v>REV.2</v>
      </c>
      <c r="K36" s="54" t="str" cm="1">
        <f t="array" ref="K36">TEXT(LOOKUP(2,1/($E36:I36&lt;&gt;""),$E36:I36),"yyyy/mm/dd")</f>
        <v>2025/05/12</v>
      </c>
      <c r="M36" s="54" t="s">
        <v>177</v>
      </c>
    </row>
    <row r="37" spans="1:13">
      <c r="A37" s="55">
        <f t="shared" si="0"/>
        <v>35</v>
      </c>
      <c r="B37" s="55" t="s">
        <v>242</v>
      </c>
      <c r="C37" s="56" t="s">
        <v>175</v>
      </c>
      <c r="D37" s="55" t="s">
        <v>243</v>
      </c>
      <c r="E37" s="57">
        <v>45702</v>
      </c>
      <c r="F37" s="57">
        <v>45747</v>
      </c>
      <c r="G37" s="54"/>
      <c r="H37" s="54"/>
      <c r="J37" s="54" t="str" cm="1">
        <f t="array" ref="J37">INDEX(E$1:I$1,1,MATCH(1,1/($E37:I37&lt;&gt;"")))</f>
        <v>REV.0</v>
      </c>
      <c r="K37" s="54" t="str" cm="1">
        <f t="array" ref="K37">TEXT(LOOKUP(2,1/($E37:I37&lt;&gt;""),$E37:I37),"yyyy/mm/dd")</f>
        <v>2025/03/31</v>
      </c>
      <c r="M37" s="54" t="s">
        <v>177</v>
      </c>
    </row>
    <row r="38" spans="1:13">
      <c r="A38" s="55">
        <f t="shared" si="0"/>
        <v>36</v>
      </c>
      <c r="B38" s="55" t="s">
        <v>244</v>
      </c>
      <c r="C38" s="56" t="s">
        <v>175</v>
      </c>
      <c r="D38" s="55" t="s">
        <v>245</v>
      </c>
      <c r="E38" s="57">
        <v>45702</v>
      </c>
      <c r="F38" s="57">
        <v>45747</v>
      </c>
      <c r="G38" s="57">
        <v>45789</v>
      </c>
      <c r="H38" s="57">
        <v>45797</v>
      </c>
      <c r="J38" s="54" t="str" cm="1">
        <f t="array" ref="J38">INDEX(E$1:I$1,1,MATCH(1,1/($E38:I38&lt;&gt;"")))</f>
        <v>REV.2</v>
      </c>
      <c r="K38" s="54" t="str" cm="1">
        <f t="array" ref="K38">TEXT(LOOKUP(2,1/($E38:I38&lt;&gt;""),$E38:I38),"yyyy/mm/dd")</f>
        <v>2025/05/20</v>
      </c>
      <c r="M38" s="54" t="s">
        <v>177</v>
      </c>
    </row>
    <row r="39" spans="1:13">
      <c r="A39" s="55">
        <f t="shared" si="0"/>
        <v>37</v>
      </c>
      <c r="B39" s="55" t="s">
        <v>246</v>
      </c>
      <c r="C39" s="56" t="s">
        <v>175</v>
      </c>
      <c r="D39" s="55" t="s">
        <v>247</v>
      </c>
      <c r="E39" s="57">
        <v>45702</v>
      </c>
      <c r="F39" s="57">
        <v>45747</v>
      </c>
      <c r="G39" s="57">
        <v>45765</v>
      </c>
      <c r="H39" s="57">
        <v>45789</v>
      </c>
      <c r="J39" s="54" t="str" cm="1">
        <f t="array" ref="J39">INDEX(E$1:I$1,1,MATCH(1,1/($E39:I39&lt;&gt;"")))</f>
        <v>REV.2</v>
      </c>
      <c r="K39" s="54" t="str" cm="1">
        <f t="array" ref="K39">TEXT(LOOKUP(2,1/($E39:I39&lt;&gt;""),$E39:I39),"yyyy/mm/dd")</f>
        <v>2025/05/12</v>
      </c>
      <c r="M39" s="54" t="s">
        <v>177</v>
      </c>
    </row>
    <row r="40" spans="1:13">
      <c r="A40" s="55">
        <f t="shared" si="0"/>
        <v>38</v>
      </c>
      <c r="B40" s="55" t="s">
        <v>248</v>
      </c>
      <c r="C40" s="56" t="s">
        <v>175</v>
      </c>
      <c r="D40" s="55" t="s">
        <v>249</v>
      </c>
      <c r="E40" s="57">
        <v>45702</v>
      </c>
      <c r="F40" s="57">
        <v>45747</v>
      </c>
      <c r="G40" s="54"/>
      <c r="H40" s="54"/>
      <c r="J40" s="54" t="str" cm="1">
        <f t="array" ref="J40">INDEX(E$1:I$1,1,MATCH(1,1/($E40:I40&lt;&gt;"")))</f>
        <v>REV.0</v>
      </c>
      <c r="K40" s="54" t="str" cm="1">
        <f t="array" ref="K40">TEXT(LOOKUP(2,1/($E40:I40&lt;&gt;""),$E40:I40),"yyyy/mm/dd")</f>
        <v>2025/03/31</v>
      </c>
      <c r="M40" s="54" t="s">
        <v>250</v>
      </c>
    </row>
    <row r="41" spans="1:13">
      <c r="A41" s="55">
        <f t="shared" si="0"/>
        <v>39</v>
      </c>
      <c r="B41" s="55" t="s">
        <v>251</v>
      </c>
      <c r="C41" s="56" t="s">
        <v>175</v>
      </c>
      <c r="D41" s="55" t="s">
        <v>252</v>
      </c>
      <c r="E41" s="54"/>
      <c r="F41" s="57">
        <v>45824</v>
      </c>
      <c r="G41" s="54"/>
      <c r="H41" s="54"/>
      <c r="J41" s="54" t="str" cm="1">
        <f t="array" ref="J41">INDEX(E$1:I$1,1,MATCH(1,1/($E41:I41&lt;&gt;"")))</f>
        <v>REV.0</v>
      </c>
      <c r="K41" s="54" t="str" cm="1">
        <f t="array" ref="K41">TEXT(LOOKUP(2,1/($E41:I41&lt;&gt;""),$E41:I41),"yyyy/mm/dd")</f>
        <v>2025/06/16</v>
      </c>
      <c r="M41" s="54" t="s">
        <v>177</v>
      </c>
    </row>
  </sheetData>
  <phoneticPr fontId="2" type="noConversion"/>
  <conditionalFormatting sqref="M1:M1048576">
    <cfRule type="cellIs" dxfId="0" priority="1" operator="equal">
      <formula>"關閉"</formula>
    </cfRule>
  </conditionalFormatting>
  <dataValidations count="1">
    <dataValidation type="list" allowBlank="1" showInputMessage="1" showErrorMessage="1" sqref="M1:M1048576" xr:uid="{8BE66537-5932-425A-B5B6-2C3165EA1858}">
      <formula1>"啟用,關閉"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763A-D70A-4E5A-B365-CF4418001728}">
  <sheetPr codeName="工作表3">
    <tabColor rgb="FF92D050"/>
  </sheetPr>
  <dimension ref="A1:E75"/>
  <sheetViews>
    <sheetView workbookViewId="0">
      <pane ySplit="4" topLeftCell="A5" activePane="bottomLeft" state="frozen"/>
      <selection pane="bottomLeft" activeCell="D4" sqref="D4"/>
    </sheetView>
  </sheetViews>
  <sheetFormatPr defaultColWidth="8.88671875" defaultRowHeight="15.6"/>
  <cols>
    <col min="1" max="1" width="11.88671875" style="15" bestFit="1" customWidth="1"/>
    <col min="2" max="2" width="7.21875" style="15" bestFit="1" customWidth="1"/>
    <col min="3" max="3" width="8.21875" style="15" bestFit="1" customWidth="1"/>
    <col min="4" max="4" width="17.33203125" style="15" bestFit="1" customWidth="1"/>
    <col min="5" max="5" width="12.77734375" style="15" bestFit="1" customWidth="1"/>
    <col min="6" max="16384" width="8.88671875" style="15"/>
  </cols>
  <sheetData>
    <row r="1" spans="1:5" ht="16.2">
      <c r="A1" s="15" t="s">
        <v>160</v>
      </c>
    </row>
    <row r="3" spans="1:5">
      <c r="A3" s="31"/>
      <c r="B3" s="32"/>
      <c r="C3" s="32"/>
      <c r="D3" s="33" t="s">
        <v>70</v>
      </c>
      <c r="E3" s="34"/>
    </row>
    <row r="4" spans="1:5">
      <c r="A4" s="33" t="s">
        <v>4</v>
      </c>
      <c r="B4" s="33" t="s">
        <v>67</v>
      </c>
      <c r="C4" s="33" t="s">
        <v>2</v>
      </c>
      <c r="D4" s="36" t="s">
        <v>71</v>
      </c>
      <c r="E4" s="23" t="s">
        <v>69</v>
      </c>
    </row>
    <row r="5" spans="1:5">
      <c r="A5" s="41">
        <v>304</v>
      </c>
      <c r="B5" s="31" t="s">
        <v>54</v>
      </c>
      <c r="C5" s="31">
        <v>1</v>
      </c>
      <c r="D5" s="36">
        <v>6</v>
      </c>
      <c r="E5" s="23">
        <v>6</v>
      </c>
    </row>
    <row r="6" spans="1:5">
      <c r="A6" s="42"/>
      <c r="B6" s="25"/>
      <c r="C6" s="26">
        <v>2</v>
      </c>
      <c r="D6" s="37">
        <v>52</v>
      </c>
      <c r="E6" s="39">
        <v>104</v>
      </c>
    </row>
    <row r="7" spans="1:5">
      <c r="A7" s="42"/>
      <c r="B7" s="25"/>
      <c r="C7" s="26">
        <v>3</v>
      </c>
      <c r="D7" s="37">
        <v>31</v>
      </c>
      <c r="E7" s="39">
        <v>93</v>
      </c>
    </row>
    <row r="8" spans="1:5">
      <c r="A8" s="42"/>
      <c r="B8" s="25"/>
      <c r="C8" s="26">
        <v>4</v>
      </c>
      <c r="D8" s="37">
        <v>117</v>
      </c>
      <c r="E8" s="39">
        <v>468</v>
      </c>
    </row>
    <row r="9" spans="1:5">
      <c r="A9" s="42"/>
      <c r="B9" s="25"/>
      <c r="C9" s="26">
        <v>8</v>
      </c>
      <c r="D9" s="37">
        <v>11</v>
      </c>
      <c r="E9" s="39">
        <v>88</v>
      </c>
    </row>
    <row r="10" spans="1:5">
      <c r="A10" s="42"/>
      <c r="B10" s="25"/>
      <c r="C10" s="26">
        <v>6</v>
      </c>
      <c r="D10" s="37">
        <v>67</v>
      </c>
      <c r="E10" s="39">
        <v>402</v>
      </c>
    </row>
    <row r="11" spans="1:5">
      <c r="A11" s="42"/>
      <c r="B11" s="31" t="s">
        <v>56</v>
      </c>
      <c r="C11" s="31">
        <v>1.5</v>
      </c>
      <c r="D11" s="36">
        <v>2</v>
      </c>
      <c r="E11" s="23">
        <v>3</v>
      </c>
    </row>
    <row r="12" spans="1:5">
      <c r="A12" s="42"/>
      <c r="B12" s="31" t="s">
        <v>55</v>
      </c>
      <c r="C12" s="31">
        <v>1</v>
      </c>
      <c r="D12" s="36">
        <v>12</v>
      </c>
      <c r="E12" s="23">
        <v>12</v>
      </c>
    </row>
    <row r="13" spans="1:5">
      <c r="A13" s="42"/>
      <c r="B13" s="25"/>
      <c r="C13" s="26">
        <v>1.5</v>
      </c>
      <c r="D13" s="37">
        <v>6</v>
      </c>
      <c r="E13" s="39">
        <v>9</v>
      </c>
    </row>
    <row r="14" spans="1:5">
      <c r="A14" s="42"/>
      <c r="B14" s="31" t="s">
        <v>142</v>
      </c>
      <c r="C14" s="31">
        <v>2</v>
      </c>
      <c r="D14" s="36">
        <v>6</v>
      </c>
      <c r="E14" s="23">
        <v>12</v>
      </c>
    </row>
    <row r="15" spans="1:5">
      <c r="A15" s="42"/>
      <c r="B15" s="25"/>
      <c r="C15" s="26">
        <v>3</v>
      </c>
      <c r="D15" s="37">
        <v>2</v>
      </c>
      <c r="E15" s="39">
        <v>6</v>
      </c>
    </row>
    <row r="16" spans="1:5">
      <c r="A16" s="42"/>
      <c r="B16" s="25"/>
      <c r="C16" s="26">
        <v>4</v>
      </c>
      <c r="D16" s="37">
        <v>6</v>
      </c>
      <c r="E16" s="39">
        <v>24</v>
      </c>
    </row>
    <row r="17" spans="1:5">
      <c r="A17" s="42"/>
      <c r="B17" s="25"/>
      <c r="C17" s="26">
        <v>8</v>
      </c>
      <c r="D17" s="37">
        <v>2</v>
      </c>
      <c r="E17" s="39">
        <v>16</v>
      </c>
    </row>
    <row r="18" spans="1:5">
      <c r="A18" s="42"/>
      <c r="B18" s="25"/>
      <c r="C18" s="26">
        <v>6</v>
      </c>
      <c r="D18" s="37">
        <v>4</v>
      </c>
      <c r="E18" s="39">
        <v>24</v>
      </c>
    </row>
    <row r="19" spans="1:5">
      <c r="A19" s="42"/>
      <c r="B19" s="31" t="s">
        <v>256</v>
      </c>
      <c r="C19" s="31">
        <v>1.5</v>
      </c>
      <c r="D19" s="36">
        <v>2</v>
      </c>
      <c r="E19" s="23">
        <v>3</v>
      </c>
    </row>
    <row r="20" spans="1:5">
      <c r="A20" s="27" t="s">
        <v>72</v>
      </c>
      <c r="B20" s="28"/>
      <c r="C20" s="28"/>
      <c r="D20" s="29">
        <v>326</v>
      </c>
      <c r="E20" s="30">
        <v>1270</v>
      </c>
    </row>
    <row r="21" spans="1:5">
      <c r="A21" s="41" t="s">
        <v>156</v>
      </c>
      <c r="B21" s="31" t="s">
        <v>54</v>
      </c>
      <c r="C21" s="31">
        <v>2.5</v>
      </c>
      <c r="D21" s="36">
        <v>22</v>
      </c>
      <c r="E21" s="23">
        <v>55</v>
      </c>
    </row>
    <row r="22" spans="1:5">
      <c r="A22" s="42"/>
      <c r="B22" s="25"/>
      <c r="C22" s="26">
        <v>4</v>
      </c>
      <c r="D22" s="37">
        <v>14</v>
      </c>
      <c r="E22" s="39">
        <v>56</v>
      </c>
    </row>
    <row r="23" spans="1:5">
      <c r="A23" s="42"/>
      <c r="B23" s="25"/>
      <c r="C23" s="26">
        <v>8</v>
      </c>
      <c r="D23" s="37">
        <v>8</v>
      </c>
      <c r="E23" s="39">
        <v>64</v>
      </c>
    </row>
    <row r="24" spans="1:5">
      <c r="A24" s="42"/>
      <c r="B24" s="25"/>
      <c r="C24" s="26">
        <v>6</v>
      </c>
      <c r="D24" s="37">
        <v>79</v>
      </c>
      <c r="E24" s="39">
        <v>474</v>
      </c>
    </row>
    <row r="25" spans="1:5">
      <c r="A25" s="42"/>
      <c r="B25" s="31" t="s">
        <v>56</v>
      </c>
      <c r="C25" s="31">
        <v>0.5</v>
      </c>
      <c r="D25" s="36">
        <v>3</v>
      </c>
      <c r="E25" s="23">
        <v>3</v>
      </c>
    </row>
    <row r="26" spans="1:5">
      <c r="A26" s="42"/>
      <c r="B26" s="25"/>
      <c r="C26" s="26">
        <v>2.5</v>
      </c>
      <c r="D26" s="37">
        <v>1</v>
      </c>
      <c r="E26" s="39">
        <v>2.5</v>
      </c>
    </row>
    <row r="27" spans="1:5">
      <c r="A27" s="42"/>
      <c r="B27" s="31" t="s">
        <v>55</v>
      </c>
      <c r="C27" s="31">
        <v>0.5</v>
      </c>
      <c r="D27" s="36">
        <v>6</v>
      </c>
      <c r="E27" s="23">
        <v>6</v>
      </c>
    </row>
    <row r="28" spans="1:5">
      <c r="A28" s="42"/>
      <c r="B28" s="31" t="s">
        <v>142</v>
      </c>
      <c r="C28" s="31">
        <v>2.5</v>
      </c>
      <c r="D28" s="36">
        <v>6</v>
      </c>
      <c r="E28" s="23">
        <v>15</v>
      </c>
    </row>
    <row r="29" spans="1:5">
      <c r="A29" s="42"/>
      <c r="B29" s="25"/>
      <c r="C29" s="26">
        <v>6</v>
      </c>
      <c r="D29" s="37">
        <v>6</v>
      </c>
      <c r="E29" s="39">
        <v>36</v>
      </c>
    </row>
    <row r="30" spans="1:5">
      <c r="A30" s="27" t="s">
        <v>157</v>
      </c>
      <c r="B30" s="28"/>
      <c r="C30" s="28"/>
      <c r="D30" s="29">
        <v>145</v>
      </c>
      <c r="E30" s="30">
        <v>711.5</v>
      </c>
    </row>
    <row r="31" spans="1:5">
      <c r="A31" s="41" t="s">
        <v>158</v>
      </c>
      <c r="B31" s="31" t="s">
        <v>158</v>
      </c>
      <c r="C31" s="31" t="s">
        <v>158</v>
      </c>
      <c r="D31" s="36"/>
      <c r="E31" s="23"/>
    </row>
    <row r="32" spans="1:5">
      <c r="A32" s="27" t="s">
        <v>159</v>
      </c>
      <c r="B32" s="28"/>
      <c r="C32" s="28"/>
      <c r="D32" s="29"/>
      <c r="E32" s="30"/>
    </row>
    <row r="33" spans="1:5">
      <c r="A33" s="35" t="s">
        <v>68</v>
      </c>
      <c r="B33" s="22"/>
      <c r="C33" s="22"/>
      <c r="D33" s="38">
        <v>471</v>
      </c>
      <c r="E33" s="40">
        <v>1981.5</v>
      </c>
    </row>
    <row r="34" spans="1:5" ht="16.2">
      <c r="A34"/>
      <c r="B34"/>
      <c r="C34"/>
      <c r="D34"/>
      <c r="E34"/>
    </row>
    <row r="35" spans="1:5" ht="16.2">
      <c r="A35"/>
      <c r="B35"/>
      <c r="C35"/>
      <c r="D35"/>
      <c r="E35"/>
    </row>
    <row r="36" spans="1:5" ht="16.2">
      <c r="A36"/>
      <c r="B36"/>
      <c r="C36"/>
      <c r="D36"/>
      <c r="E36"/>
    </row>
    <row r="37" spans="1:5" ht="16.2">
      <c r="A37"/>
      <c r="B37"/>
      <c r="C37"/>
      <c r="D37"/>
      <c r="E37"/>
    </row>
    <row r="38" spans="1:5" ht="16.2">
      <c r="A38"/>
      <c r="B38"/>
      <c r="C38"/>
      <c r="D38"/>
      <c r="E38"/>
    </row>
    <row r="39" spans="1:5" ht="16.2">
      <c r="A39"/>
      <c r="B39"/>
      <c r="C39"/>
      <c r="D39"/>
      <c r="E39"/>
    </row>
    <row r="40" spans="1:5" ht="16.2">
      <c r="A40"/>
      <c r="B40"/>
      <c r="C40"/>
      <c r="D40"/>
      <c r="E40"/>
    </row>
    <row r="41" spans="1:5" ht="16.2">
      <c r="A41"/>
      <c r="B41"/>
      <c r="C41"/>
      <c r="D41"/>
      <c r="E41"/>
    </row>
    <row r="42" spans="1:5" ht="16.2">
      <c r="A42"/>
      <c r="B42"/>
      <c r="C42"/>
      <c r="D42"/>
      <c r="E42"/>
    </row>
    <row r="43" spans="1:5" ht="16.2">
      <c r="A43"/>
      <c r="B43"/>
      <c r="C43"/>
      <c r="D43"/>
      <c r="E43"/>
    </row>
    <row r="44" spans="1:5" ht="16.2">
      <c r="A44"/>
      <c r="B44"/>
      <c r="C44"/>
      <c r="D44"/>
      <c r="E44"/>
    </row>
    <row r="45" spans="1:5" ht="16.2">
      <c r="A45"/>
      <c r="B45"/>
      <c r="C45"/>
      <c r="D45"/>
      <c r="E45"/>
    </row>
    <row r="46" spans="1:5" ht="16.2">
      <c r="A46"/>
      <c r="B46"/>
      <c r="C46"/>
      <c r="D46"/>
      <c r="E46"/>
    </row>
    <row r="47" spans="1:5" ht="16.2">
      <c r="A47"/>
      <c r="B47"/>
      <c r="C47"/>
      <c r="D47"/>
      <c r="E47"/>
    </row>
    <row r="48" spans="1:5" ht="16.2">
      <c r="A48"/>
      <c r="B48"/>
      <c r="C48"/>
      <c r="D48"/>
      <c r="E48"/>
    </row>
    <row r="49" spans="1:5" ht="16.2">
      <c r="A49"/>
      <c r="B49"/>
      <c r="C49"/>
      <c r="D49"/>
      <c r="E49"/>
    </row>
    <row r="50" spans="1:5" ht="16.2">
      <c r="A50"/>
      <c r="B50"/>
      <c r="C50"/>
      <c r="D50"/>
      <c r="E50"/>
    </row>
    <row r="51" spans="1:5" ht="16.2">
      <c r="A51"/>
      <c r="B51"/>
      <c r="C51"/>
      <c r="D51"/>
      <c r="E51"/>
    </row>
    <row r="52" spans="1:5" ht="16.2">
      <c r="A52"/>
      <c r="B52"/>
      <c r="C52"/>
      <c r="D52"/>
      <c r="E52"/>
    </row>
    <row r="53" spans="1:5" ht="16.2">
      <c r="A53"/>
      <c r="B53"/>
      <c r="C53"/>
      <c r="D53"/>
      <c r="E53"/>
    </row>
    <row r="54" spans="1:5" ht="16.2">
      <c r="A54"/>
      <c r="B54"/>
      <c r="C54"/>
      <c r="D54"/>
      <c r="E54"/>
    </row>
    <row r="55" spans="1:5" ht="16.2">
      <c r="A55"/>
      <c r="B55"/>
      <c r="C55"/>
      <c r="D55"/>
      <c r="E55"/>
    </row>
    <row r="56" spans="1:5" ht="16.2">
      <c r="A56"/>
      <c r="B56"/>
      <c r="C56"/>
      <c r="D56"/>
      <c r="E56"/>
    </row>
    <row r="57" spans="1:5" ht="16.2">
      <c r="A57"/>
      <c r="B57"/>
      <c r="C57"/>
      <c r="D57"/>
      <c r="E57"/>
    </row>
    <row r="58" spans="1:5" ht="16.2">
      <c r="A58"/>
      <c r="B58"/>
      <c r="C58"/>
      <c r="D58"/>
      <c r="E58"/>
    </row>
    <row r="59" spans="1:5" ht="16.2">
      <c r="A59"/>
      <c r="B59"/>
      <c r="C59"/>
      <c r="D59"/>
      <c r="E59"/>
    </row>
    <row r="60" spans="1:5" ht="16.2">
      <c r="A60"/>
      <c r="B60"/>
      <c r="C60"/>
      <c r="D60"/>
      <c r="E60"/>
    </row>
    <row r="61" spans="1:5" ht="16.2">
      <c r="A61"/>
      <c r="B61"/>
      <c r="C61"/>
      <c r="D61"/>
      <c r="E61"/>
    </row>
    <row r="62" spans="1:5" ht="16.2">
      <c r="A62"/>
      <c r="B62"/>
      <c r="C62"/>
      <c r="D62"/>
      <c r="E62"/>
    </row>
    <row r="63" spans="1:5" ht="16.2">
      <c r="A63"/>
      <c r="B63"/>
      <c r="C63"/>
      <c r="D63"/>
      <c r="E63"/>
    </row>
    <row r="64" spans="1:5" ht="16.2">
      <c r="A64"/>
      <c r="B64"/>
      <c r="C64"/>
      <c r="D64"/>
      <c r="E64"/>
    </row>
    <row r="65" spans="1:5" ht="16.2">
      <c r="A65"/>
      <c r="B65"/>
      <c r="C65"/>
      <c r="D65"/>
      <c r="E65"/>
    </row>
    <row r="66" spans="1:5" ht="16.2">
      <c r="A66"/>
      <c r="B66"/>
      <c r="C66"/>
      <c r="D66"/>
      <c r="E66"/>
    </row>
    <row r="67" spans="1:5" ht="16.2">
      <c r="A67"/>
      <c r="B67"/>
      <c r="C67"/>
      <c r="D67"/>
      <c r="E67"/>
    </row>
    <row r="68" spans="1:5" ht="16.2">
      <c r="A68"/>
      <c r="B68"/>
      <c r="C68"/>
      <c r="D68"/>
      <c r="E68"/>
    </row>
    <row r="69" spans="1:5" ht="16.2">
      <c r="A69"/>
      <c r="B69"/>
      <c r="C69"/>
      <c r="D69"/>
      <c r="E69"/>
    </row>
    <row r="70" spans="1:5" ht="16.2">
      <c r="A70"/>
      <c r="B70"/>
      <c r="C70"/>
      <c r="D70"/>
      <c r="E70"/>
    </row>
    <row r="71" spans="1:5" ht="16.2">
      <c r="A71"/>
      <c r="B71"/>
      <c r="C71"/>
      <c r="D71"/>
      <c r="E71"/>
    </row>
    <row r="72" spans="1:5" ht="16.2">
      <c r="A72"/>
      <c r="B72"/>
      <c r="C72"/>
      <c r="D72"/>
      <c r="E72"/>
    </row>
    <row r="73" spans="1:5" ht="16.2">
      <c r="A73"/>
      <c r="B73"/>
      <c r="C73"/>
      <c r="D73"/>
      <c r="E73"/>
    </row>
    <row r="74" spans="1:5" ht="16.2">
      <c r="A74"/>
      <c r="B74"/>
      <c r="C74"/>
      <c r="D74"/>
      <c r="E74"/>
    </row>
    <row r="75" spans="1:5" ht="16.2">
      <c r="A75"/>
      <c r="B75"/>
      <c r="C75"/>
      <c r="D75"/>
      <c r="E7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62B-FAFA-479B-B6CD-633CA0808F1E}">
  <sheetPr codeName="工作表5">
    <tabColor rgb="FFFFFF00"/>
  </sheetPr>
  <dimension ref="A1:J76"/>
  <sheetViews>
    <sheetView workbookViewId="0">
      <pane ySplit="5" topLeftCell="A6" activePane="bottomLeft" state="frozen"/>
      <selection pane="bottomLeft" sqref="A1:F1"/>
    </sheetView>
  </sheetViews>
  <sheetFormatPr defaultColWidth="8.88671875" defaultRowHeight="15.6"/>
  <cols>
    <col min="1" max="1" width="13.77734375" style="15" bestFit="1" customWidth="1"/>
    <col min="2" max="2" width="12.109375" style="15" bestFit="1" customWidth="1"/>
    <col min="3" max="3" width="7.33203125" style="15" bestFit="1" customWidth="1"/>
    <col min="4" max="4" width="8.21875" style="15" bestFit="1" customWidth="1"/>
    <col min="5" max="6" width="17.5546875" style="15" bestFit="1" customWidth="1"/>
    <col min="7" max="8" width="17" style="15" bestFit="1" customWidth="1"/>
    <col min="9" max="9" width="22.5546875" style="15" bestFit="1" customWidth="1"/>
    <col min="10" max="10" width="18.5546875" style="15" bestFit="1" customWidth="1"/>
    <col min="11" max="16384" width="8.88671875" style="15"/>
  </cols>
  <sheetData>
    <row r="1" spans="1:10" ht="16.2">
      <c r="A1" s="81" t="s">
        <v>77</v>
      </c>
      <c r="B1" s="82"/>
      <c r="C1" s="82"/>
      <c r="D1" s="82"/>
      <c r="E1" s="82"/>
      <c r="F1" s="82"/>
    </row>
    <row r="2" spans="1:10" ht="16.2">
      <c r="A2"/>
      <c r="B2"/>
    </row>
    <row r="4" spans="1:10" ht="16.2">
      <c r="A4" s="31"/>
      <c r="B4" s="32"/>
      <c r="C4" s="32"/>
      <c r="D4" s="32"/>
      <c r="E4" s="33" t="s">
        <v>6</v>
      </c>
      <c r="F4" s="50" t="s">
        <v>70</v>
      </c>
      <c r="G4"/>
      <c r="H4"/>
      <c r="I4"/>
      <c r="J4"/>
    </row>
    <row r="5" spans="1:10" ht="16.2">
      <c r="A5" s="25"/>
      <c r="B5" s="46"/>
      <c r="C5" s="46"/>
      <c r="D5" s="46"/>
      <c r="E5" s="31"/>
      <c r="F5" s="34"/>
      <c r="G5"/>
      <c r="H5"/>
      <c r="I5"/>
      <c r="J5"/>
    </row>
    <row r="6" spans="1:10" ht="16.2">
      <c r="A6" s="33" t="s">
        <v>4</v>
      </c>
      <c r="B6" s="33" t="s">
        <v>2</v>
      </c>
      <c r="C6" s="33" t="s">
        <v>3</v>
      </c>
      <c r="D6" s="44" t="s">
        <v>75</v>
      </c>
      <c r="E6" s="36" t="s">
        <v>71</v>
      </c>
      <c r="F6" s="23" t="s">
        <v>69</v>
      </c>
      <c r="G6"/>
      <c r="H6"/>
      <c r="I6"/>
      <c r="J6"/>
    </row>
    <row r="7" spans="1:10" ht="16.2">
      <c r="A7" s="41">
        <v>304</v>
      </c>
      <c r="B7" s="31">
        <v>1</v>
      </c>
      <c r="C7" s="31" t="s">
        <v>57</v>
      </c>
      <c r="D7" s="31" t="s">
        <v>158</v>
      </c>
      <c r="E7" s="36">
        <v>4</v>
      </c>
      <c r="F7" s="23">
        <v>4</v>
      </c>
      <c r="G7"/>
      <c r="H7"/>
      <c r="I7"/>
      <c r="J7"/>
    </row>
    <row r="8" spans="1:10" ht="16.2">
      <c r="A8" s="42"/>
      <c r="B8" s="31">
        <v>2</v>
      </c>
      <c r="C8" s="31" t="s">
        <v>57</v>
      </c>
      <c r="D8" s="31" t="s">
        <v>158</v>
      </c>
      <c r="E8" s="36">
        <v>13</v>
      </c>
      <c r="F8" s="23">
        <v>26</v>
      </c>
      <c r="G8"/>
      <c r="H8"/>
      <c r="I8"/>
      <c r="J8"/>
    </row>
    <row r="9" spans="1:10" ht="16.2">
      <c r="A9" s="42"/>
      <c r="B9" s="31">
        <v>3</v>
      </c>
      <c r="C9" s="31" t="s">
        <v>57</v>
      </c>
      <c r="D9" s="31" t="s">
        <v>158</v>
      </c>
      <c r="E9" s="36">
        <v>7</v>
      </c>
      <c r="F9" s="23">
        <v>21</v>
      </c>
      <c r="G9"/>
      <c r="H9"/>
      <c r="I9"/>
      <c r="J9"/>
    </row>
    <row r="10" spans="1:10" ht="16.2">
      <c r="A10" s="42"/>
      <c r="B10" s="31">
        <v>4</v>
      </c>
      <c r="C10" s="31" t="s">
        <v>58</v>
      </c>
      <c r="D10" s="31" t="s">
        <v>158</v>
      </c>
      <c r="E10" s="36">
        <v>2</v>
      </c>
      <c r="F10" s="23">
        <v>8</v>
      </c>
      <c r="G10"/>
      <c r="H10"/>
      <c r="I10"/>
      <c r="J10"/>
    </row>
    <row r="11" spans="1:10" ht="16.2">
      <c r="A11" s="42"/>
      <c r="B11" s="25"/>
      <c r="C11" s="31" t="s">
        <v>57</v>
      </c>
      <c r="D11" s="31" t="s">
        <v>158</v>
      </c>
      <c r="E11" s="36">
        <v>12</v>
      </c>
      <c r="F11" s="23">
        <v>48</v>
      </c>
      <c r="G11"/>
      <c r="H11"/>
      <c r="I11"/>
      <c r="J11"/>
    </row>
    <row r="12" spans="1:10" ht="16.2">
      <c r="A12" s="42"/>
      <c r="B12" s="31">
        <v>8</v>
      </c>
      <c r="C12" s="31" t="s">
        <v>57</v>
      </c>
      <c r="D12" s="31" t="s">
        <v>158</v>
      </c>
      <c r="E12" s="36">
        <v>2</v>
      </c>
      <c r="F12" s="23">
        <v>16</v>
      </c>
      <c r="G12"/>
      <c r="H12"/>
      <c r="I12"/>
      <c r="J12"/>
    </row>
    <row r="13" spans="1:10" ht="16.2">
      <c r="A13" s="42"/>
      <c r="B13" s="31">
        <v>6</v>
      </c>
      <c r="C13" s="31" t="s">
        <v>58</v>
      </c>
      <c r="D13" s="31" t="s">
        <v>158</v>
      </c>
      <c r="E13" s="36">
        <v>1</v>
      </c>
      <c r="F13" s="23">
        <v>6</v>
      </c>
      <c r="G13"/>
      <c r="H13"/>
      <c r="I13"/>
      <c r="J13"/>
    </row>
    <row r="14" spans="1:10" ht="16.2">
      <c r="A14" s="42"/>
      <c r="B14" s="25"/>
      <c r="C14" s="31" t="s">
        <v>57</v>
      </c>
      <c r="D14" s="31" t="s">
        <v>158</v>
      </c>
      <c r="E14" s="36">
        <v>4</v>
      </c>
      <c r="F14" s="23">
        <v>24</v>
      </c>
      <c r="G14"/>
      <c r="H14"/>
      <c r="I14"/>
      <c r="J14"/>
    </row>
    <row r="15" spans="1:10" ht="16.2">
      <c r="A15" s="42"/>
      <c r="B15" s="31">
        <v>1.5</v>
      </c>
      <c r="C15" s="31" t="s">
        <v>57</v>
      </c>
      <c r="D15" s="31" t="s">
        <v>158</v>
      </c>
      <c r="E15" s="36">
        <v>1</v>
      </c>
      <c r="F15" s="23">
        <v>1.5</v>
      </c>
      <c r="G15"/>
      <c r="H15"/>
      <c r="I15"/>
      <c r="J15"/>
    </row>
    <row r="16" spans="1:10" ht="16.2">
      <c r="A16" s="27" t="s">
        <v>72</v>
      </c>
      <c r="B16" s="28"/>
      <c r="C16" s="28"/>
      <c r="D16" s="28"/>
      <c r="E16" s="29">
        <v>46</v>
      </c>
      <c r="F16" s="30">
        <v>154.5</v>
      </c>
      <c r="G16"/>
      <c r="H16"/>
      <c r="I16"/>
      <c r="J16"/>
    </row>
    <row r="17" spans="1:10" ht="16.2">
      <c r="A17" s="41" t="s">
        <v>156</v>
      </c>
      <c r="B17" s="31">
        <v>2.5</v>
      </c>
      <c r="C17" s="31" t="s">
        <v>57</v>
      </c>
      <c r="D17" s="31" t="s">
        <v>158</v>
      </c>
      <c r="E17" s="36">
        <v>6</v>
      </c>
      <c r="F17" s="23">
        <v>15</v>
      </c>
      <c r="G17"/>
      <c r="H17"/>
      <c r="I17"/>
      <c r="J17"/>
    </row>
    <row r="18" spans="1:10" ht="16.2">
      <c r="A18" s="42"/>
      <c r="B18" s="25"/>
      <c r="C18" s="31" t="s">
        <v>260</v>
      </c>
      <c r="D18" s="31" t="s">
        <v>158</v>
      </c>
      <c r="E18" s="36">
        <v>1</v>
      </c>
      <c r="F18" s="23">
        <v>2.5</v>
      </c>
      <c r="G18"/>
      <c r="H18"/>
      <c r="I18"/>
      <c r="J18"/>
    </row>
    <row r="19" spans="1:10" ht="16.2">
      <c r="A19" s="42"/>
      <c r="B19" s="31">
        <v>6</v>
      </c>
      <c r="C19" s="31" t="s">
        <v>57</v>
      </c>
      <c r="D19" s="31" t="s">
        <v>158</v>
      </c>
      <c r="E19" s="36">
        <v>12</v>
      </c>
      <c r="F19" s="23">
        <v>72</v>
      </c>
      <c r="G19"/>
      <c r="H19"/>
      <c r="I19"/>
      <c r="J19"/>
    </row>
    <row r="20" spans="1:10">
      <c r="A20" s="27" t="s">
        <v>157</v>
      </c>
      <c r="B20" s="28"/>
      <c r="C20" s="28"/>
      <c r="D20" s="28"/>
      <c r="E20" s="29">
        <v>19</v>
      </c>
      <c r="F20" s="30">
        <v>89.5</v>
      </c>
    </row>
    <row r="21" spans="1:10">
      <c r="A21" s="35" t="s">
        <v>68</v>
      </c>
      <c r="B21" s="22"/>
      <c r="C21" s="22"/>
      <c r="D21" s="22"/>
      <c r="E21" s="38">
        <v>65</v>
      </c>
      <c r="F21" s="40">
        <v>244</v>
      </c>
    </row>
    <row r="22" spans="1:10" ht="16.2">
      <c r="A22"/>
      <c r="B22"/>
      <c r="C22"/>
      <c r="D22"/>
      <c r="E22"/>
      <c r="F22"/>
    </row>
    <row r="23" spans="1:10" ht="16.2">
      <c r="A23"/>
      <c r="B23"/>
      <c r="C23"/>
      <c r="D23"/>
      <c r="E23"/>
      <c r="F23"/>
    </row>
    <row r="24" spans="1:10" ht="16.2">
      <c r="A24"/>
      <c r="B24"/>
      <c r="C24"/>
      <c r="D24"/>
      <c r="E24"/>
      <c r="F24"/>
    </row>
    <row r="25" spans="1:10" ht="16.2">
      <c r="A25"/>
      <c r="B25"/>
      <c r="C25"/>
      <c r="D25"/>
      <c r="E25"/>
      <c r="F25"/>
    </row>
    <row r="26" spans="1:10" ht="16.2">
      <c r="A26"/>
      <c r="B26"/>
      <c r="C26"/>
      <c r="D26"/>
      <c r="E26"/>
      <c r="F26"/>
    </row>
    <row r="27" spans="1:10" ht="16.2">
      <c r="A27"/>
      <c r="B27"/>
      <c r="C27"/>
      <c r="D27"/>
      <c r="E27"/>
      <c r="F27"/>
    </row>
    <row r="28" spans="1:10" ht="16.2">
      <c r="A28"/>
      <c r="B28"/>
      <c r="C28"/>
      <c r="D28"/>
      <c r="E28"/>
      <c r="F28"/>
    </row>
    <row r="29" spans="1:10" ht="16.2">
      <c r="A29"/>
      <c r="B29"/>
      <c r="C29"/>
      <c r="D29"/>
      <c r="E29"/>
      <c r="F29"/>
    </row>
    <row r="30" spans="1:10" ht="16.2">
      <c r="A30"/>
      <c r="B30"/>
      <c r="C30"/>
      <c r="D30"/>
      <c r="E30"/>
      <c r="F30"/>
    </row>
    <row r="31" spans="1:10" ht="16.2">
      <c r="A31"/>
      <c r="B31"/>
      <c r="C31"/>
      <c r="D31"/>
      <c r="E31"/>
      <c r="F31"/>
    </row>
    <row r="32" spans="1:10" ht="16.2">
      <c r="A32"/>
      <c r="B32"/>
      <c r="C32"/>
      <c r="D32"/>
      <c r="E32"/>
      <c r="F32"/>
    </row>
    <row r="33" spans="1:6" ht="16.2">
      <c r="A33"/>
      <c r="B33"/>
      <c r="C33"/>
      <c r="D33"/>
      <c r="E33"/>
      <c r="F33"/>
    </row>
    <row r="34" spans="1:6" ht="16.2">
      <c r="A34"/>
      <c r="B34"/>
      <c r="C34"/>
      <c r="D34"/>
      <c r="E34"/>
      <c r="F34"/>
    </row>
    <row r="35" spans="1:6" ht="16.2">
      <c r="A35"/>
      <c r="B35"/>
      <c r="C35"/>
      <c r="D35"/>
      <c r="E35"/>
      <c r="F35"/>
    </row>
    <row r="36" spans="1:6" ht="16.2">
      <c r="A36"/>
      <c r="B36"/>
      <c r="C36"/>
      <c r="D36"/>
      <c r="E36"/>
      <c r="F36"/>
    </row>
    <row r="37" spans="1:6" ht="16.2">
      <c r="A37"/>
      <c r="B37"/>
      <c r="C37"/>
      <c r="D37"/>
      <c r="E37"/>
      <c r="F37"/>
    </row>
    <row r="38" spans="1:6" ht="16.2">
      <c r="A38"/>
      <c r="B38"/>
      <c r="C38"/>
      <c r="D38"/>
      <c r="E38"/>
      <c r="F38"/>
    </row>
    <row r="39" spans="1:6" ht="16.2">
      <c r="A39"/>
      <c r="B39"/>
      <c r="C39"/>
      <c r="D39"/>
      <c r="E39"/>
      <c r="F39"/>
    </row>
    <row r="40" spans="1:6" ht="16.2">
      <c r="A40"/>
      <c r="B40"/>
      <c r="C40"/>
      <c r="D40"/>
      <c r="E40"/>
      <c r="F40"/>
    </row>
    <row r="41" spans="1:6" ht="16.2">
      <c r="A41"/>
      <c r="B41"/>
      <c r="C41"/>
      <c r="D41"/>
      <c r="E41"/>
      <c r="F41"/>
    </row>
    <row r="42" spans="1:6" ht="16.2">
      <c r="A42"/>
      <c r="B42"/>
      <c r="C42"/>
      <c r="D42"/>
      <c r="E42"/>
      <c r="F42"/>
    </row>
    <row r="43" spans="1:6" ht="16.2">
      <c r="A43"/>
      <c r="B43"/>
      <c r="C43"/>
      <c r="D43"/>
      <c r="E43"/>
      <c r="F43"/>
    </row>
    <row r="44" spans="1:6" ht="16.2">
      <c r="A44"/>
      <c r="B44"/>
      <c r="C44"/>
      <c r="D44"/>
      <c r="E44"/>
      <c r="F44"/>
    </row>
    <row r="45" spans="1:6" ht="16.2">
      <c r="A45"/>
      <c r="B45"/>
      <c r="C45"/>
      <c r="D45"/>
      <c r="E45"/>
      <c r="F45"/>
    </row>
    <row r="46" spans="1:6" ht="16.2">
      <c r="A46"/>
      <c r="B46"/>
      <c r="C46"/>
      <c r="D46"/>
      <c r="E46"/>
      <c r="F46"/>
    </row>
    <row r="47" spans="1:6" ht="16.2">
      <c r="A47"/>
      <c r="B47"/>
      <c r="C47"/>
      <c r="D47"/>
      <c r="E47"/>
      <c r="F47"/>
    </row>
    <row r="48" spans="1:6" ht="16.2">
      <c r="A48"/>
      <c r="B48"/>
      <c r="C48"/>
      <c r="D48"/>
      <c r="E48"/>
      <c r="F48"/>
    </row>
    <row r="49" spans="1:6" ht="16.2">
      <c r="A49"/>
      <c r="B49"/>
      <c r="C49"/>
      <c r="D49"/>
      <c r="E49"/>
      <c r="F49"/>
    </row>
    <row r="50" spans="1:6" ht="16.2">
      <c r="A50"/>
      <c r="B50"/>
      <c r="C50"/>
      <c r="D50"/>
      <c r="E50"/>
      <c r="F50"/>
    </row>
    <row r="51" spans="1:6" ht="16.2">
      <c r="A51"/>
      <c r="B51"/>
      <c r="C51"/>
      <c r="D51"/>
      <c r="E51"/>
      <c r="F51"/>
    </row>
    <row r="52" spans="1:6" ht="16.2">
      <c r="A52"/>
      <c r="B52"/>
      <c r="C52"/>
      <c r="D52"/>
      <c r="E52"/>
      <c r="F52"/>
    </row>
    <row r="53" spans="1:6" ht="16.2">
      <c r="A53"/>
      <c r="B53"/>
      <c r="C53"/>
      <c r="D53"/>
      <c r="E53"/>
      <c r="F53"/>
    </row>
    <row r="54" spans="1:6" ht="16.2">
      <c r="A54"/>
      <c r="B54"/>
      <c r="C54"/>
      <c r="D54"/>
      <c r="E54"/>
      <c r="F54"/>
    </row>
    <row r="55" spans="1:6" ht="16.2">
      <c r="A55"/>
      <c r="B55"/>
      <c r="C55"/>
      <c r="D55"/>
      <c r="E55"/>
      <c r="F55"/>
    </row>
    <row r="56" spans="1:6" ht="16.2">
      <c r="A56"/>
      <c r="B56"/>
      <c r="C56"/>
      <c r="D56"/>
      <c r="E56"/>
      <c r="F56"/>
    </row>
    <row r="57" spans="1:6" ht="16.2">
      <c r="A57"/>
      <c r="B57"/>
      <c r="C57"/>
      <c r="D57"/>
      <c r="E57"/>
      <c r="F57"/>
    </row>
    <row r="58" spans="1:6" ht="16.2">
      <c r="A58"/>
      <c r="B58"/>
      <c r="C58"/>
      <c r="D58"/>
      <c r="E58"/>
      <c r="F58"/>
    </row>
    <row r="59" spans="1:6" ht="16.2">
      <c r="A59"/>
      <c r="B59"/>
      <c r="C59"/>
      <c r="D59"/>
      <c r="E59"/>
      <c r="F59"/>
    </row>
    <row r="60" spans="1:6" ht="16.2">
      <c r="A60"/>
      <c r="B60"/>
      <c r="C60"/>
      <c r="D60"/>
      <c r="E60"/>
      <c r="F60"/>
    </row>
    <row r="61" spans="1:6" ht="16.2">
      <c r="A61"/>
      <c r="B61"/>
      <c r="C61"/>
      <c r="D61"/>
      <c r="E61"/>
      <c r="F61"/>
    </row>
    <row r="62" spans="1:6" ht="16.2">
      <c r="A62"/>
      <c r="B62"/>
      <c r="C62"/>
      <c r="D62"/>
      <c r="E62"/>
      <c r="F62"/>
    </row>
    <row r="63" spans="1:6" ht="16.2">
      <c r="A63"/>
      <c r="B63"/>
      <c r="C63"/>
      <c r="D63"/>
      <c r="E63"/>
      <c r="F63"/>
    </row>
    <row r="64" spans="1:6" ht="16.2">
      <c r="A64"/>
      <c r="B64"/>
      <c r="C64"/>
      <c r="D64"/>
      <c r="E64"/>
      <c r="F64"/>
    </row>
    <row r="65" spans="1:6" ht="16.2">
      <c r="A65"/>
      <c r="B65"/>
      <c r="C65"/>
      <c r="D65"/>
      <c r="E65"/>
      <c r="F65"/>
    </row>
    <row r="66" spans="1:6" ht="16.2">
      <c r="A66"/>
      <c r="B66"/>
      <c r="C66"/>
      <c r="D66"/>
      <c r="E66"/>
      <c r="F66"/>
    </row>
    <row r="67" spans="1:6" ht="16.2">
      <c r="A67"/>
      <c r="B67"/>
      <c r="C67"/>
      <c r="D67"/>
      <c r="E67"/>
      <c r="F67"/>
    </row>
    <row r="68" spans="1:6" ht="16.2">
      <c r="A68"/>
      <c r="B68"/>
      <c r="C68"/>
      <c r="D68"/>
      <c r="E68"/>
      <c r="F68"/>
    </row>
    <row r="69" spans="1:6" ht="16.2">
      <c r="A69"/>
      <c r="B69"/>
      <c r="C69"/>
      <c r="D69"/>
      <c r="E69"/>
      <c r="F69"/>
    </row>
    <row r="70" spans="1:6" ht="16.2">
      <c r="A70"/>
      <c r="B70"/>
      <c r="C70"/>
      <c r="D70"/>
      <c r="E70"/>
      <c r="F70"/>
    </row>
    <row r="71" spans="1:6" ht="16.2">
      <c r="A71"/>
      <c r="B71"/>
      <c r="C71"/>
      <c r="D71"/>
      <c r="E71"/>
      <c r="F71"/>
    </row>
    <row r="72" spans="1:6" ht="16.2">
      <c r="A72"/>
      <c r="B72"/>
      <c r="C72"/>
      <c r="D72"/>
      <c r="E72"/>
      <c r="F72"/>
    </row>
    <row r="73" spans="1:6" ht="16.2">
      <c r="A73"/>
      <c r="B73"/>
      <c r="C73"/>
      <c r="D73"/>
      <c r="E73"/>
      <c r="F73"/>
    </row>
    <row r="74" spans="1:6" ht="16.2">
      <c r="A74"/>
      <c r="B74"/>
      <c r="C74"/>
      <c r="D74"/>
      <c r="E74"/>
      <c r="F74"/>
    </row>
    <row r="75" spans="1:6" ht="16.2">
      <c r="A75"/>
      <c r="B75"/>
      <c r="C75"/>
      <c r="D75"/>
      <c r="E75"/>
      <c r="F75"/>
    </row>
    <row r="76" spans="1:6" ht="16.2">
      <c r="A76"/>
      <c r="B76"/>
      <c r="C76"/>
      <c r="D76"/>
      <c r="E76"/>
      <c r="F76"/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3A3E-C202-4EB7-8CA6-A9D6FCBAB638}">
  <sheetPr codeName="工作表7">
    <tabColor rgb="FFFF0000"/>
    <pageSetUpPr fitToPage="1"/>
  </sheetPr>
  <dimension ref="A1:S5785"/>
  <sheetViews>
    <sheetView tabSelected="1" zoomScale="70" zoomScaleNormal="70" zoomScaleSheetLayoutView="100" workbookViewId="0">
      <pane ySplit="1" topLeftCell="A122" activePane="bottomLeft" state="frozen"/>
      <selection pane="bottomLeft" activeCell="M176" sqref="M176"/>
    </sheetView>
  </sheetViews>
  <sheetFormatPr defaultColWidth="7" defaultRowHeight="20.25" customHeight="1"/>
  <cols>
    <col min="1" max="1" width="8.21875" style="14" customWidth="1"/>
    <col min="2" max="2" width="31.44140625" style="15" customWidth="1"/>
    <col min="3" max="3" width="11.77734375" style="14" customWidth="1"/>
    <col min="4" max="4" width="10.21875" style="14" customWidth="1"/>
    <col min="5" max="5" width="9.77734375" style="14" customWidth="1"/>
    <col min="6" max="6" width="9.77734375" style="21" customWidth="1"/>
    <col min="7" max="8" width="9.77734375" style="14" customWidth="1"/>
    <col min="9" max="9" width="13.77734375" style="14" customWidth="1"/>
    <col min="10" max="10" width="16.6640625" style="14" customWidth="1"/>
    <col min="11" max="11" width="18.109375" style="14" customWidth="1"/>
    <col min="12" max="12" width="22" style="14" customWidth="1"/>
    <col min="13" max="13" width="20.77734375" style="15" customWidth="1"/>
    <col min="14" max="14" width="17.77734375" style="15" customWidth="1"/>
    <col min="15" max="15" width="17" style="15" customWidth="1"/>
    <col min="16" max="16" width="25.77734375" style="15" customWidth="1"/>
    <col min="17" max="17" width="94.109375" style="15" customWidth="1"/>
    <col min="18" max="18" width="12.33203125" style="15" customWidth="1"/>
    <col min="19" max="16384" width="7" style="15"/>
  </cols>
  <sheetData>
    <row r="1" spans="1:19" s="14" customFormat="1" ht="20.25" customHeight="1">
      <c r="A1" s="14" t="s">
        <v>47</v>
      </c>
      <c r="B1" s="12" t="s">
        <v>46</v>
      </c>
      <c r="C1" s="14" t="s">
        <v>0</v>
      </c>
      <c r="D1" s="14" t="s">
        <v>1</v>
      </c>
      <c r="E1" s="14" t="s">
        <v>2</v>
      </c>
      <c r="F1" s="21" t="s">
        <v>66</v>
      </c>
      <c r="G1" s="14" t="s">
        <v>3</v>
      </c>
      <c r="H1" s="14" t="s">
        <v>4</v>
      </c>
      <c r="I1" s="14" t="s">
        <v>48</v>
      </c>
      <c r="J1" s="14" t="s">
        <v>5</v>
      </c>
      <c r="K1" s="14" t="s">
        <v>6</v>
      </c>
      <c r="L1" s="14" t="s">
        <v>276</v>
      </c>
      <c r="M1" s="14" t="s">
        <v>259</v>
      </c>
      <c r="N1" s="43" t="s">
        <v>74</v>
      </c>
      <c r="O1" s="14" t="s">
        <v>45</v>
      </c>
      <c r="P1" s="14" t="s">
        <v>78</v>
      </c>
      <c r="Q1" s="14" t="s">
        <v>53</v>
      </c>
      <c r="R1" s="14" t="s">
        <v>82</v>
      </c>
      <c r="S1" s="14" t="s">
        <v>294</v>
      </c>
    </row>
    <row r="2" spans="1:19" ht="20.25" hidden="1" customHeight="1">
      <c r="A2" s="14">
        <v>1</v>
      </c>
      <c r="B2" s="15" t="s">
        <v>84</v>
      </c>
      <c r="C2" s="49" t="s">
        <v>87</v>
      </c>
      <c r="D2" s="14">
        <v>1</v>
      </c>
      <c r="E2" s="14">
        <v>6</v>
      </c>
      <c r="F2" s="21">
        <f>IF(E2&lt;&gt;"",IF(Weld_list[[#This Row],[尺寸]]&lt;1,1,E2),"")</f>
        <v>6</v>
      </c>
      <c r="G2" s="14" t="s">
        <v>73</v>
      </c>
      <c r="H2" s="14">
        <v>304</v>
      </c>
      <c r="I2" s="14" t="s">
        <v>76</v>
      </c>
      <c r="J2" s="14" t="s">
        <v>61</v>
      </c>
      <c r="K2" s="14" t="str">
        <f>IFERROR(TEXT(_xlfn.XLOOKUP(_xlfn.CONCAT(Weld_list[[#This Row],[流水號]],"_",Weld_list[[#This Row],[銲口編號]]),焊口登報表!D:D,焊口登報表!C:C,,0),"yyyy/mm/dd"),"")</f>
        <v>2025/08/25</v>
      </c>
      <c r="L2" s="14" t="s">
        <v>270</v>
      </c>
      <c r="M2" s="63">
        <v>45897</v>
      </c>
      <c r="Q2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2" s="14" t="str">
        <f>IF(Weld_list[[#This Row],[組銲完成日期]]&lt;&gt;"","已完成","未完成")</f>
        <v>已完成</v>
      </c>
      <c r="S2" s="14">
        <v>1</v>
      </c>
    </row>
    <row r="3" spans="1:19" ht="20.25" hidden="1" customHeight="1">
      <c r="A3" s="14">
        <v>1</v>
      </c>
      <c r="B3" s="15" t="s">
        <v>84</v>
      </c>
      <c r="C3" s="49" t="s">
        <v>87</v>
      </c>
      <c r="D3" s="14">
        <v>2</v>
      </c>
      <c r="E3" s="14">
        <v>6</v>
      </c>
      <c r="F3" s="21">
        <f>IF(E3&lt;&gt;"",IF(Weld_list[[#This Row],[尺寸]]&lt;1,1,E3),"")</f>
        <v>6</v>
      </c>
      <c r="G3" s="14" t="s">
        <v>73</v>
      </c>
      <c r="H3" s="14">
        <v>304</v>
      </c>
      <c r="I3" s="14" t="s">
        <v>54</v>
      </c>
      <c r="J3" s="14" t="s">
        <v>61</v>
      </c>
      <c r="K3" s="14" t="str">
        <f>IFERROR(TEXT(_xlfn.XLOOKUP(_xlfn.CONCAT(Weld_list[[#This Row],[流水號]],"_",Weld_list[[#This Row],[銲口編號]]),焊口登報表!D:D,焊口登報表!C:C,,0),"yyyy/mm/dd"),"")</f>
        <v>2025/08/25</v>
      </c>
      <c r="L3" s="14" t="s">
        <v>270</v>
      </c>
      <c r="M3" s="63">
        <v>45897</v>
      </c>
      <c r="Q3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3" s="14" t="str">
        <f>IF(Weld_list[[#This Row],[組銲完成日期]]&lt;&gt;"","已完成","未完成")</f>
        <v>已完成</v>
      </c>
      <c r="S3" s="14">
        <v>1</v>
      </c>
    </row>
    <row r="4" spans="1:19" ht="20.25" hidden="1" customHeight="1">
      <c r="A4" s="14">
        <v>1</v>
      </c>
      <c r="B4" s="15" t="s">
        <v>84</v>
      </c>
      <c r="C4" s="49" t="s">
        <v>87</v>
      </c>
      <c r="D4" s="14">
        <v>3</v>
      </c>
      <c r="E4" s="14">
        <v>6</v>
      </c>
      <c r="F4" s="21">
        <f>IF(E4&lt;&gt;"",IF(Weld_list[[#This Row],[尺寸]]&lt;1,1,E4),"")</f>
        <v>6</v>
      </c>
      <c r="G4" s="14" t="s">
        <v>73</v>
      </c>
      <c r="H4" s="14">
        <v>304</v>
      </c>
      <c r="I4" s="14" t="s">
        <v>54</v>
      </c>
      <c r="J4" s="14" t="s">
        <v>61</v>
      </c>
      <c r="K4" s="14" t="str">
        <f>IFERROR(TEXT(_xlfn.XLOOKUP(_xlfn.CONCAT(Weld_list[[#This Row],[流水號]],"_",Weld_list[[#This Row],[銲口編號]]),焊口登報表!D:D,焊口登報表!C:C,,0),"yyyy/mm/dd"),"")</f>
        <v>2025/08/25</v>
      </c>
      <c r="L4" s="14" t="s">
        <v>270</v>
      </c>
      <c r="M4" s="63">
        <v>45897</v>
      </c>
      <c r="Q4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4" s="14" t="str">
        <f>IF(Weld_list[[#This Row],[組銲完成日期]]&lt;&gt;"","已完成","未完成")</f>
        <v>已完成</v>
      </c>
      <c r="S4" s="14">
        <v>1</v>
      </c>
    </row>
    <row r="5" spans="1:19" ht="20.25" hidden="1" customHeight="1">
      <c r="A5" s="14">
        <v>1</v>
      </c>
      <c r="B5" s="15" t="s">
        <v>84</v>
      </c>
      <c r="C5" s="49" t="s">
        <v>87</v>
      </c>
      <c r="D5" s="14">
        <v>4</v>
      </c>
      <c r="E5" s="14">
        <v>6</v>
      </c>
      <c r="F5" s="21">
        <f>IF(E5&lt;&gt;"",IF(Weld_list[[#This Row],[尺寸]]&lt;1,1,E5),"")</f>
        <v>6</v>
      </c>
      <c r="G5" s="14" t="s">
        <v>73</v>
      </c>
      <c r="H5" s="14">
        <v>304</v>
      </c>
      <c r="I5" s="14" t="s">
        <v>54</v>
      </c>
      <c r="J5" s="14" t="s">
        <v>61</v>
      </c>
      <c r="K5" s="14" t="str">
        <f>IFERROR(TEXT(_xlfn.XLOOKUP(_xlfn.CONCAT(Weld_list[[#This Row],[流水號]],"_",Weld_list[[#This Row],[銲口編號]]),焊口登報表!D:D,焊口登報表!C:C,,0),"yyyy/mm/dd"),"")</f>
        <v>2025/08/25</v>
      </c>
      <c r="L5" s="14" t="s">
        <v>270</v>
      </c>
      <c r="M5" s="63">
        <v>45897</v>
      </c>
      <c r="Q5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5" s="14"/>
      <c r="S5" s="14">
        <v>1</v>
      </c>
    </row>
    <row r="6" spans="1:19" ht="20.25" hidden="1" customHeight="1">
      <c r="A6" s="14">
        <v>1</v>
      </c>
      <c r="B6" s="15" t="s">
        <v>84</v>
      </c>
      <c r="C6" s="49" t="s">
        <v>87</v>
      </c>
      <c r="D6" s="73">
        <v>5</v>
      </c>
      <c r="E6" s="14">
        <v>6</v>
      </c>
      <c r="F6" s="21">
        <f>IF(E6&lt;&gt;"",IF(Weld_list[[#This Row],[尺寸]]&lt;1,1,E6),"")</f>
        <v>6</v>
      </c>
      <c r="G6" s="14" t="s">
        <v>73</v>
      </c>
      <c r="H6" s="14">
        <v>304</v>
      </c>
      <c r="I6" s="14" t="s">
        <v>54</v>
      </c>
      <c r="J6" s="14" t="s">
        <v>61</v>
      </c>
      <c r="K6" s="63">
        <v>45974</v>
      </c>
      <c r="L6" s="14" t="s">
        <v>270</v>
      </c>
      <c r="M6" s="63">
        <v>45977</v>
      </c>
      <c r="Q6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6" s="14"/>
      <c r="S6" s="14">
        <v>1</v>
      </c>
    </row>
    <row r="7" spans="1:19" ht="20.25" hidden="1" customHeight="1">
      <c r="A7" s="14">
        <v>1</v>
      </c>
      <c r="B7" s="15" t="s">
        <v>84</v>
      </c>
      <c r="C7" s="49" t="s">
        <v>87</v>
      </c>
      <c r="D7" s="14">
        <v>6</v>
      </c>
      <c r="E7" s="14">
        <v>6</v>
      </c>
      <c r="F7" s="21">
        <f>IF(E7&lt;&gt;"",IF(Weld_list[[#This Row],[尺寸]]&lt;1,1,E7),"")</f>
        <v>6</v>
      </c>
      <c r="G7" s="14" t="s">
        <v>73</v>
      </c>
      <c r="H7" s="14">
        <v>304</v>
      </c>
      <c r="I7" s="14" t="s">
        <v>54</v>
      </c>
      <c r="J7" s="14" t="s">
        <v>61</v>
      </c>
      <c r="K7" s="14" t="str">
        <f>IFERROR(TEXT(_xlfn.XLOOKUP(_xlfn.CONCAT(Weld_list[[#This Row],[流水號]],"_",Weld_list[[#This Row],[銲口編號]]),焊口登報表!D:D,焊口登報表!C:C,,0),"yyyy/mm/dd"),"")</f>
        <v>2025/08/25</v>
      </c>
      <c r="L7" s="14" t="s">
        <v>270</v>
      </c>
      <c r="M7" s="63">
        <v>45897</v>
      </c>
      <c r="Q7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7" s="14"/>
      <c r="S7" s="14">
        <v>1</v>
      </c>
    </row>
    <row r="8" spans="1:19" ht="20.25" hidden="1" customHeight="1">
      <c r="A8" s="14">
        <v>1</v>
      </c>
      <c r="B8" s="15" t="s">
        <v>84</v>
      </c>
      <c r="C8" s="49" t="s">
        <v>87</v>
      </c>
      <c r="D8" s="14">
        <v>7</v>
      </c>
      <c r="E8" s="14">
        <v>6</v>
      </c>
      <c r="F8" s="21">
        <f>IF(E8&lt;&gt;"",IF(Weld_list[[#This Row],[尺寸]]&lt;1,1,E8),"")</f>
        <v>6</v>
      </c>
      <c r="G8" s="14" t="s">
        <v>73</v>
      </c>
      <c r="H8" s="14">
        <v>304</v>
      </c>
      <c r="I8" s="14" t="s">
        <v>54</v>
      </c>
      <c r="J8" s="14" t="s">
        <v>61</v>
      </c>
      <c r="K8" s="14" t="str">
        <f>IFERROR(TEXT(_xlfn.XLOOKUP(_xlfn.CONCAT(Weld_list[[#This Row],[流水號]],"_",Weld_list[[#This Row],[銲口編號]]),焊口登報表!D:D,焊口登報表!C:C,,0),"yyyy/mm/dd"),"")</f>
        <v>2025/08/25</v>
      </c>
      <c r="L8" s="14" t="s">
        <v>270</v>
      </c>
      <c r="M8" s="63">
        <v>45897</v>
      </c>
      <c r="Q8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8" s="14"/>
      <c r="S8" s="14">
        <v>1</v>
      </c>
    </row>
    <row r="9" spans="1:19" ht="20.25" hidden="1" customHeight="1">
      <c r="A9" s="14">
        <v>1</v>
      </c>
      <c r="B9" s="15" t="s">
        <v>84</v>
      </c>
      <c r="C9" s="49" t="s">
        <v>87</v>
      </c>
      <c r="D9" s="14">
        <v>8</v>
      </c>
      <c r="E9" s="14">
        <v>6</v>
      </c>
      <c r="F9" s="21">
        <f>IF(E9&lt;&gt;"",IF(Weld_list[[#This Row],[尺寸]]&lt;1,1,E9),"")</f>
        <v>6</v>
      </c>
      <c r="G9" s="14" t="s">
        <v>73</v>
      </c>
      <c r="H9" s="14">
        <v>304</v>
      </c>
      <c r="I9" s="14" t="s">
        <v>54</v>
      </c>
      <c r="J9" s="14" t="s">
        <v>61</v>
      </c>
      <c r="K9" s="14" t="str">
        <f>IFERROR(TEXT(_xlfn.XLOOKUP(_xlfn.CONCAT(Weld_list[[#This Row],[流水號]],"_",Weld_list[[#This Row],[銲口編號]]),焊口登報表!D:D,焊口登報表!C:C,,0),"yyyy/mm/dd"),"")</f>
        <v>2025/08/25</v>
      </c>
      <c r="L9" s="14" t="s">
        <v>270</v>
      </c>
      <c r="M9" s="63">
        <v>45897</v>
      </c>
      <c r="Q9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9" s="14"/>
      <c r="S9" s="14">
        <v>1</v>
      </c>
    </row>
    <row r="10" spans="1:19" ht="20.25" hidden="1" customHeight="1">
      <c r="A10" s="14">
        <v>1</v>
      </c>
      <c r="B10" s="15" t="s">
        <v>84</v>
      </c>
      <c r="C10" s="49" t="s">
        <v>87</v>
      </c>
      <c r="D10" s="73">
        <v>9</v>
      </c>
      <c r="E10" s="14">
        <v>6</v>
      </c>
      <c r="F10" s="21">
        <f>IF(E10&lt;&gt;"",IF(Weld_list[[#This Row],[尺寸]]&lt;1,1,E10),"")</f>
        <v>6</v>
      </c>
      <c r="G10" s="14" t="s">
        <v>73</v>
      </c>
      <c r="H10" s="14">
        <v>304</v>
      </c>
      <c r="I10" s="14" t="s">
        <v>54</v>
      </c>
      <c r="J10" s="14" t="s">
        <v>61</v>
      </c>
      <c r="K10" s="63">
        <v>45974</v>
      </c>
      <c r="L10" s="14" t="s">
        <v>270</v>
      </c>
      <c r="M10" s="63">
        <v>45977</v>
      </c>
      <c r="Q10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0" s="14"/>
      <c r="S10" s="14">
        <v>1</v>
      </c>
    </row>
    <row r="11" spans="1:19" ht="20.25" hidden="1" customHeight="1">
      <c r="A11" s="14">
        <v>1</v>
      </c>
      <c r="B11" s="15" t="s">
        <v>84</v>
      </c>
      <c r="C11" s="49" t="s">
        <v>87</v>
      </c>
      <c r="D11" s="14">
        <v>10</v>
      </c>
      <c r="E11" s="14">
        <v>6</v>
      </c>
      <c r="F11" s="21">
        <f>IF(E11&lt;&gt;"",IF(Weld_list[[#This Row],[尺寸]]&lt;1,1,E11),"")</f>
        <v>6</v>
      </c>
      <c r="G11" s="14" t="s">
        <v>73</v>
      </c>
      <c r="H11" s="14">
        <v>304</v>
      </c>
      <c r="I11" s="14" t="s">
        <v>54</v>
      </c>
      <c r="J11" s="14" t="s">
        <v>61</v>
      </c>
      <c r="K11" s="14" t="str">
        <f>IFERROR(TEXT(_xlfn.XLOOKUP(_xlfn.CONCAT(Weld_list[[#This Row],[流水號]],"_",Weld_list[[#This Row],[銲口編號]]),焊口登報表!D:D,焊口登報表!C:C,,0),"yyyy/mm/dd"),"")</f>
        <v>2025/08/25</v>
      </c>
      <c r="L11" s="14" t="s">
        <v>270</v>
      </c>
      <c r="M11" s="63">
        <v>45897</v>
      </c>
      <c r="Q11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1" s="14"/>
      <c r="S11" s="14">
        <v>1</v>
      </c>
    </row>
    <row r="12" spans="1:19" ht="20.25" hidden="1" customHeight="1">
      <c r="A12" s="14">
        <v>1</v>
      </c>
      <c r="B12" s="15" t="s">
        <v>84</v>
      </c>
      <c r="C12" s="49" t="s">
        <v>87</v>
      </c>
      <c r="D12" s="14">
        <v>11</v>
      </c>
      <c r="E12" s="14">
        <v>6</v>
      </c>
      <c r="F12" s="21">
        <f>IF(E12&lt;&gt;"",IF(Weld_list[[#This Row],[尺寸]]&lt;1,1,E12),"")</f>
        <v>6</v>
      </c>
      <c r="G12" s="14" t="s">
        <v>73</v>
      </c>
      <c r="H12" s="14">
        <v>304</v>
      </c>
      <c r="I12" s="14" t="s">
        <v>54</v>
      </c>
      <c r="J12" s="14" t="s">
        <v>61</v>
      </c>
      <c r="K12" s="14" t="str">
        <f>IFERROR(TEXT(_xlfn.XLOOKUP(_xlfn.CONCAT(Weld_list[[#This Row],[流水號]],"_",Weld_list[[#This Row],[銲口編號]]),焊口登報表!D:D,焊口登報表!C:C,,0),"yyyy/mm/dd"),"")</f>
        <v>2025/08/25</v>
      </c>
      <c r="L12" s="14" t="s">
        <v>270</v>
      </c>
      <c r="M12" s="63">
        <v>45897</v>
      </c>
      <c r="Q12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2" s="14"/>
      <c r="S12" s="14">
        <v>1</v>
      </c>
    </row>
    <row r="13" spans="1:19" ht="20.25" hidden="1" customHeight="1">
      <c r="A13" s="14">
        <v>1</v>
      </c>
      <c r="B13" s="15" t="s">
        <v>84</v>
      </c>
      <c r="C13" s="49" t="s">
        <v>87</v>
      </c>
      <c r="D13" s="14">
        <v>12</v>
      </c>
      <c r="E13" s="14">
        <v>6</v>
      </c>
      <c r="F13" s="21">
        <f>IF(E13&lt;&gt;"",IF(Weld_list[[#This Row],[尺寸]]&lt;1,1,E13),"")</f>
        <v>6</v>
      </c>
      <c r="G13" s="14" t="s">
        <v>73</v>
      </c>
      <c r="H13" s="14">
        <v>304</v>
      </c>
      <c r="I13" s="14" t="s">
        <v>54</v>
      </c>
      <c r="J13" s="14" t="s">
        <v>61</v>
      </c>
      <c r="K13" s="14" t="str">
        <f>IFERROR(TEXT(_xlfn.XLOOKUP(_xlfn.CONCAT(Weld_list[[#This Row],[流水號]],"_",Weld_list[[#This Row],[銲口編號]]),焊口登報表!D:D,焊口登報表!C:C,,0),"yyyy/mm/dd"),"")</f>
        <v>2025/11/29</v>
      </c>
      <c r="L13" s="14" t="s">
        <v>270</v>
      </c>
      <c r="M13" s="15" t="str">
        <f>IFERROR(TEXT(_xlfn.XLOOKUP(_xlfn.CONCAT(Weld_list[[#This Row],[流水號]],"_",Weld_list[[#This Row],[銲口編號]]),焊口登報表!F:F,焊口登報表!E:E,,0),"yyyy/mm/dd"),"")</f>
        <v>2025/11/30</v>
      </c>
      <c r="Q13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3" s="14"/>
      <c r="S13" s="14">
        <v>1</v>
      </c>
    </row>
    <row r="14" spans="1:19" ht="20.25" hidden="1" customHeight="1">
      <c r="A14" s="14">
        <v>1</v>
      </c>
      <c r="B14" s="15" t="s">
        <v>84</v>
      </c>
      <c r="C14" s="49" t="s">
        <v>87</v>
      </c>
      <c r="D14" s="14">
        <v>13</v>
      </c>
      <c r="E14" s="14">
        <v>6</v>
      </c>
      <c r="F14" s="21">
        <f>IF(E14&lt;&gt;"",IF(Weld_list[[#This Row],[尺寸]]&lt;1,1,E14),"")</f>
        <v>6</v>
      </c>
      <c r="G14" s="14" t="s">
        <v>73</v>
      </c>
      <c r="H14" s="14">
        <v>304</v>
      </c>
      <c r="I14" s="14" t="s">
        <v>54</v>
      </c>
      <c r="J14" s="14" t="s">
        <v>61</v>
      </c>
      <c r="K14" s="14" t="str">
        <f>IFERROR(TEXT(_xlfn.XLOOKUP(_xlfn.CONCAT(Weld_list[[#This Row],[流水號]],"_",Weld_list[[#This Row],[銲口編號]]),焊口登報表!D:D,焊口登報表!C:C,,0),"yyyy/mm/dd"),"")</f>
        <v>2025/08/25</v>
      </c>
      <c r="L14" s="14" t="s">
        <v>270</v>
      </c>
      <c r="M14" s="63">
        <v>45897</v>
      </c>
      <c r="Q14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4" s="14"/>
      <c r="S14" s="14">
        <v>1</v>
      </c>
    </row>
    <row r="15" spans="1:19" ht="20.25" hidden="1" customHeight="1">
      <c r="A15" s="14">
        <v>1</v>
      </c>
      <c r="B15" s="15" t="s">
        <v>84</v>
      </c>
      <c r="C15" s="49" t="s">
        <v>87</v>
      </c>
      <c r="D15" s="14">
        <v>31</v>
      </c>
      <c r="E15" s="14">
        <v>6</v>
      </c>
      <c r="F15" s="21">
        <f>IF(E15&lt;&gt;"",IF(Weld_list[[#This Row],[尺寸]]&lt;1,1,E15),"")</f>
        <v>6</v>
      </c>
      <c r="G15" s="14" t="s">
        <v>73</v>
      </c>
      <c r="H15" s="14">
        <v>304</v>
      </c>
      <c r="I15" s="14" t="s">
        <v>54</v>
      </c>
      <c r="J15" s="14" t="s">
        <v>61</v>
      </c>
      <c r="K15" s="14" t="str">
        <f>IFERROR(TEXT(_xlfn.XLOOKUP(_xlfn.CONCAT(Weld_list[[#This Row],[流水號]],"_",Weld_list[[#This Row],[銲口編號]]),焊口登報表!D:D,焊口登報表!C:C,,0),"yyyy/mm/dd"),"")</f>
        <v>2025/08/25</v>
      </c>
      <c r="L15" s="14" t="s">
        <v>270</v>
      </c>
      <c r="M15" s="63">
        <v>45897</v>
      </c>
      <c r="Q15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5" s="14"/>
      <c r="S15" s="14">
        <v>1</v>
      </c>
    </row>
    <row r="16" spans="1:19" ht="20.25" hidden="1" customHeight="1">
      <c r="A16" s="14">
        <v>1</v>
      </c>
      <c r="B16" s="15" t="s">
        <v>84</v>
      </c>
      <c r="C16" s="49" t="s">
        <v>87</v>
      </c>
      <c r="D16" s="14">
        <v>32</v>
      </c>
      <c r="E16" s="14">
        <v>6</v>
      </c>
      <c r="F16" s="21">
        <f>IF(E16&lt;&gt;"",IF(Weld_list[[#This Row],[尺寸]]&lt;1,1,E16),"")</f>
        <v>6</v>
      </c>
      <c r="G16" s="14" t="s">
        <v>73</v>
      </c>
      <c r="H16" s="14">
        <v>304</v>
      </c>
      <c r="I16" s="14" t="s">
        <v>54</v>
      </c>
      <c r="J16" s="14" t="s">
        <v>61</v>
      </c>
      <c r="K16" s="14" t="str">
        <f>IFERROR(TEXT(_xlfn.XLOOKUP(_xlfn.CONCAT(Weld_list[[#This Row],[流水號]],"_",Weld_list[[#This Row],[銲口編號]]),焊口登報表!D:D,焊口登報表!C:C,,0),"yyyy/mm/dd"),"")</f>
        <v>2025/11/29</v>
      </c>
      <c r="L16" s="14" t="s">
        <v>270</v>
      </c>
      <c r="M16" s="15" t="str">
        <f>IFERROR(TEXT(_xlfn.XLOOKUP(_xlfn.CONCAT(Weld_list[[#This Row],[流水號]],"_",Weld_list[[#This Row],[銲口編號]]),焊口登報表!F:F,焊口登報表!E:E,,0),"yyyy/mm/dd"),"")</f>
        <v>2025/11/30</v>
      </c>
      <c r="Q16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6" s="14"/>
      <c r="S16" s="14">
        <v>1</v>
      </c>
    </row>
    <row r="17" spans="1:19" ht="20.25" hidden="1" customHeight="1">
      <c r="A17" s="14">
        <v>1</v>
      </c>
      <c r="B17" s="15" t="s">
        <v>84</v>
      </c>
      <c r="C17" s="49" t="s">
        <v>87</v>
      </c>
      <c r="D17" s="14">
        <v>33</v>
      </c>
      <c r="E17" s="14">
        <v>6</v>
      </c>
      <c r="F17" s="21">
        <f>IF(E17&lt;&gt;"",IF(Weld_list[[#This Row],[尺寸]]&lt;1,1,E17),"")</f>
        <v>6</v>
      </c>
      <c r="G17" s="14" t="s">
        <v>73</v>
      </c>
      <c r="H17" s="14">
        <v>304</v>
      </c>
      <c r="I17" s="14" t="s">
        <v>54</v>
      </c>
      <c r="J17" s="14" t="s">
        <v>61</v>
      </c>
      <c r="K17" s="14" t="str">
        <f>IFERROR(TEXT(_xlfn.XLOOKUP(_xlfn.CONCAT(Weld_list[[#This Row],[流水號]],"_",Weld_list[[#This Row],[銲口編號]]),焊口登報表!D:D,焊口登報表!C:C,,0),"yyyy/mm/dd"),"")</f>
        <v>2025/08/25</v>
      </c>
      <c r="L17" s="14" t="s">
        <v>270</v>
      </c>
      <c r="M17" s="63">
        <v>45897</v>
      </c>
      <c r="Q17" s="16" t="str">
        <f>HYPERLINK(_xlfn.CONCAT("\\192.168.1.50\3勝一\SE-37(彰濱)\01.工程圖面\01.ISO\ISO\",Weld_list[[#This Row],[流水號]],".",Weld_list[[#This Row],[DWG NO]],".pdf"))</f>
        <v>\\192.168.1.50\3勝一\SE-37(彰濱)\01.工程圖面\01.ISO\ISO\1.(UG)FO-90401-S1P1FU-01.pdf</v>
      </c>
      <c r="R17" s="14"/>
      <c r="S17" s="14">
        <v>1</v>
      </c>
    </row>
    <row r="18" spans="1:19" ht="20.25" hidden="1" customHeight="1">
      <c r="A18" s="49" t="s">
        <v>254</v>
      </c>
      <c r="B18" s="15" t="s">
        <v>255</v>
      </c>
      <c r="C18" s="49" t="s">
        <v>89</v>
      </c>
      <c r="D18" s="14">
        <v>21</v>
      </c>
      <c r="E18" s="14">
        <v>6</v>
      </c>
      <c r="F18" s="21">
        <f>IF(E18&lt;&gt;"",IF(Weld_list[[#This Row],[尺寸]]&lt;1,1,E18),"")</f>
        <v>6</v>
      </c>
      <c r="G18" s="14" t="s">
        <v>73</v>
      </c>
      <c r="H18" s="14">
        <v>304</v>
      </c>
      <c r="I18" s="14" t="s">
        <v>54</v>
      </c>
      <c r="J18" s="14" t="s">
        <v>61</v>
      </c>
      <c r="K18" s="14" t="str">
        <f>IFERROR(TEXT(_xlfn.XLOOKUP(_xlfn.CONCAT(Weld_list[[#This Row],[流水號]],"_",Weld_list[[#This Row],[銲口編號]]),焊口登報表!D:D,焊口登報表!C:C,,0),"yyyy/mm/dd"),"")</f>
        <v>2025/08/25</v>
      </c>
      <c r="L18" s="14" t="s">
        <v>270</v>
      </c>
      <c r="M18" s="63">
        <v>45897</v>
      </c>
      <c r="Q18" s="16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18" s="14"/>
      <c r="S18" s="14">
        <v>1</v>
      </c>
    </row>
    <row r="19" spans="1:19" ht="20.25" hidden="1" customHeight="1">
      <c r="A19" s="49" t="s">
        <v>254</v>
      </c>
      <c r="B19" s="15" t="s">
        <v>255</v>
      </c>
      <c r="C19" s="49" t="s">
        <v>89</v>
      </c>
      <c r="D19" s="14">
        <v>34</v>
      </c>
      <c r="E19" s="14">
        <v>6</v>
      </c>
      <c r="F19" s="21">
        <f>IF(E19&lt;&gt;"",IF(Weld_list[[#This Row],[尺寸]]&lt;1,1,E19),"")</f>
        <v>6</v>
      </c>
      <c r="G19" s="14" t="s">
        <v>73</v>
      </c>
      <c r="H19" s="14">
        <v>304</v>
      </c>
      <c r="I19" s="14" t="s">
        <v>54</v>
      </c>
      <c r="J19" s="14" t="s">
        <v>61</v>
      </c>
      <c r="K19" s="14" t="str">
        <f>IFERROR(TEXT(_xlfn.XLOOKUP(_xlfn.CONCAT(Weld_list[[#This Row],[流水號]],"_",Weld_list[[#This Row],[銲口編號]]),焊口登報表!D:D,焊口登報表!C:C,,0),"yyyy/mm/dd"),"")</f>
        <v>2025/08/25</v>
      </c>
      <c r="L19" s="14" t="s">
        <v>270</v>
      </c>
      <c r="M19" s="63">
        <v>45897</v>
      </c>
      <c r="Q19" s="16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19" s="14"/>
      <c r="S19" s="14">
        <v>1</v>
      </c>
    </row>
    <row r="20" spans="1:19" ht="20.25" hidden="1" customHeight="1">
      <c r="A20" s="49" t="s">
        <v>254</v>
      </c>
      <c r="B20" s="15" t="s">
        <v>255</v>
      </c>
      <c r="C20" s="49" t="s">
        <v>89</v>
      </c>
      <c r="D20" s="14">
        <v>35</v>
      </c>
      <c r="E20" s="14">
        <v>6</v>
      </c>
      <c r="F20" s="21">
        <f>IF(E20&lt;&gt;"",IF(Weld_list[[#This Row],[尺寸]]&lt;1,1,E20),"")</f>
        <v>6</v>
      </c>
      <c r="G20" s="14" t="s">
        <v>73</v>
      </c>
      <c r="H20" s="14">
        <v>304</v>
      </c>
      <c r="I20" s="14" t="s">
        <v>54</v>
      </c>
      <c r="J20" s="14" t="s">
        <v>61</v>
      </c>
      <c r="K20" s="14" t="str">
        <f>IFERROR(TEXT(_xlfn.XLOOKUP(_xlfn.CONCAT(Weld_list[[#This Row],[流水號]],"_",Weld_list[[#This Row],[銲口編號]]),焊口登報表!D:D,焊口登報表!C:C,,0),"yyyy/mm/dd"),"")</f>
        <v>2025/08/25</v>
      </c>
      <c r="L20" s="14" t="s">
        <v>270</v>
      </c>
      <c r="M20" s="63">
        <v>45897</v>
      </c>
      <c r="Q20" s="16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0" s="14"/>
      <c r="S20" s="14">
        <v>1</v>
      </c>
    </row>
    <row r="21" spans="1:19" ht="20.25" hidden="1" customHeight="1">
      <c r="A21" s="49" t="s">
        <v>254</v>
      </c>
      <c r="B21" s="15" t="s">
        <v>255</v>
      </c>
      <c r="C21" s="49" t="s">
        <v>89</v>
      </c>
      <c r="D21" s="14">
        <v>36</v>
      </c>
      <c r="E21" s="14">
        <v>6</v>
      </c>
      <c r="F21" s="21">
        <f>IF(E21&lt;&gt;"",IF(Weld_list[[#This Row],[尺寸]]&lt;1,1,E21),"")</f>
        <v>6</v>
      </c>
      <c r="G21" s="14" t="s">
        <v>73</v>
      </c>
      <c r="H21" s="14">
        <v>304</v>
      </c>
      <c r="I21" s="14" t="s">
        <v>54</v>
      </c>
      <c r="J21" s="14" t="s">
        <v>61</v>
      </c>
      <c r="K21" s="14" t="str">
        <f>IFERROR(TEXT(_xlfn.XLOOKUP(_xlfn.CONCAT(Weld_list[[#This Row],[流水號]],"_",Weld_list[[#This Row],[銲口編號]]),焊口登報表!D:D,焊口登報表!C:C,,0),"yyyy/mm/dd"),"")</f>
        <v>2025/11/29</v>
      </c>
      <c r="L21" s="14" t="s">
        <v>270</v>
      </c>
      <c r="M21" s="15" t="str">
        <f>IFERROR(TEXT(_xlfn.XLOOKUP(_xlfn.CONCAT(Weld_list[[#This Row],[流水號]],"_",Weld_list[[#This Row],[銲口編號]]),焊口登報表!F:F,焊口登報表!E:E,,0),"yyyy/mm/dd"),"")</f>
        <v>2025/11/30</v>
      </c>
      <c r="Q21" s="16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1" s="14"/>
      <c r="S21" s="14">
        <v>1</v>
      </c>
    </row>
    <row r="22" spans="1:19" ht="20.25" hidden="1" customHeight="1">
      <c r="A22" s="49" t="s">
        <v>254</v>
      </c>
      <c r="B22" s="15" t="s">
        <v>255</v>
      </c>
      <c r="C22" s="49" t="s">
        <v>89</v>
      </c>
      <c r="D22" s="14">
        <v>37</v>
      </c>
      <c r="E22" s="14">
        <v>4</v>
      </c>
      <c r="F22" s="21">
        <f>IF(E22&lt;&gt;"",IF(Weld_list[[#This Row],[尺寸]]&lt;1,1,E22),"")</f>
        <v>4</v>
      </c>
      <c r="G22" s="14" t="s">
        <v>73</v>
      </c>
      <c r="H22" s="14">
        <v>304</v>
      </c>
      <c r="I22" s="14" t="s">
        <v>54</v>
      </c>
      <c r="J22" s="14" t="s">
        <v>61</v>
      </c>
      <c r="K22" s="14" t="str">
        <f>IFERROR(TEXT(_xlfn.XLOOKUP(_xlfn.CONCAT(Weld_list[[#This Row],[流水號]],"_",Weld_list[[#This Row],[銲口編號]]),焊口登報表!D:D,焊口登報表!C:C,,0),"yyyy/mm/dd"),"")</f>
        <v>2025/11/29</v>
      </c>
      <c r="L22" s="14" t="s">
        <v>270</v>
      </c>
      <c r="M22" s="15" t="str">
        <f>IFERROR(TEXT(_xlfn.XLOOKUP(_xlfn.CONCAT(Weld_list[[#This Row],[流水號]],"_",Weld_list[[#This Row],[銲口編號]]),焊口登報表!F:F,焊口登報表!E:E,,0),"yyyy/mm/dd"),"")</f>
        <v>2025/11/30</v>
      </c>
      <c r="Q22" s="16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2" s="14"/>
      <c r="S22" s="14">
        <v>1</v>
      </c>
    </row>
    <row r="23" spans="1:19" ht="20.25" hidden="1" customHeight="1">
      <c r="A23" s="49" t="s">
        <v>254</v>
      </c>
      <c r="B23" s="15" t="s">
        <v>255</v>
      </c>
      <c r="C23" s="49" t="s">
        <v>89</v>
      </c>
      <c r="D23" s="14">
        <v>38</v>
      </c>
      <c r="E23" s="14">
        <v>1.5</v>
      </c>
      <c r="F23" s="21">
        <f>IF(E23&lt;&gt;"",IF(Weld_list[[#This Row],[尺寸]]&lt;1,1,E23),"")</f>
        <v>1.5</v>
      </c>
      <c r="G23" s="14" t="s">
        <v>92</v>
      </c>
      <c r="H23" s="14">
        <v>304</v>
      </c>
      <c r="I23" s="14" t="s">
        <v>102</v>
      </c>
      <c r="J23" s="14" t="s">
        <v>95</v>
      </c>
      <c r="K23" s="14" t="str">
        <f>IFERROR(TEXT(_xlfn.XLOOKUP(_xlfn.CONCAT(Weld_list[[#This Row],[流水號]],"_",Weld_list[[#This Row],[銲口編號]]),焊口登報表!D:D,焊口登報表!C:C,,0),"yyyy/mm/dd"),"")</f>
        <v>2025/08/25</v>
      </c>
      <c r="L23" s="14" t="s">
        <v>275</v>
      </c>
      <c r="M23" s="63">
        <v>45897</v>
      </c>
      <c r="Q2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3" s="14" t="str">
        <f>IF(Weld_list[[#This Row],[組銲完成日期]]&lt;&gt;"","已完成","未完成")</f>
        <v>已完成</v>
      </c>
      <c r="S23" s="14">
        <v>1</v>
      </c>
    </row>
    <row r="24" spans="1:19" ht="20.25" hidden="1" customHeight="1">
      <c r="A24" s="49" t="s">
        <v>254</v>
      </c>
      <c r="B24" s="15" t="s">
        <v>255</v>
      </c>
      <c r="C24" s="49" t="s">
        <v>89</v>
      </c>
      <c r="D24" s="14">
        <v>39</v>
      </c>
      <c r="E24" s="14">
        <v>4</v>
      </c>
      <c r="F24" s="21">
        <f>IF(E24&lt;&gt;"",IF(Weld_list[[#This Row],[尺寸]]&lt;1,1,E24),"")</f>
        <v>4</v>
      </c>
      <c r="G24" s="14" t="s">
        <v>73</v>
      </c>
      <c r="H24" s="14">
        <v>304</v>
      </c>
      <c r="I24" s="14" t="s">
        <v>76</v>
      </c>
      <c r="J24" s="14" t="s">
        <v>95</v>
      </c>
      <c r="K24" s="14" t="str">
        <f>IFERROR(TEXT(_xlfn.XLOOKUP(_xlfn.CONCAT(Weld_list[[#This Row],[流水號]],"_",Weld_list[[#This Row],[銲口編號]]),焊口登報表!D:D,焊口登報表!C:C,,0),"yyyy/mm/dd"),"")</f>
        <v>2025/08/25</v>
      </c>
      <c r="L24" s="14" t="s">
        <v>270</v>
      </c>
      <c r="M24" s="63">
        <v>45897</v>
      </c>
      <c r="Q2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4" s="14" t="str">
        <f>IF(Weld_list[[#This Row],[組銲完成日期]]&lt;&gt;"","已完成","未完成")</f>
        <v>已完成</v>
      </c>
      <c r="S24" s="14">
        <v>1</v>
      </c>
    </row>
    <row r="25" spans="1:19" ht="20.25" hidden="1" customHeight="1">
      <c r="A25" s="49" t="s">
        <v>254</v>
      </c>
      <c r="B25" s="15" t="s">
        <v>255</v>
      </c>
      <c r="C25" s="49" t="s">
        <v>89</v>
      </c>
      <c r="D25" s="14" t="s">
        <v>258</v>
      </c>
      <c r="E25" s="14">
        <v>4</v>
      </c>
      <c r="F25" s="21">
        <f>IF(E25&lt;&gt;"",IF(Weld_list[[#This Row],[尺寸]]&lt;1,1,E25),"")</f>
        <v>4</v>
      </c>
      <c r="G25" s="14" t="s">
        <v>73</v>
      </c>
      <c r="H25" s="14">
        <v>304</v>
      </c>
      <c r="I25" s="14" t="s">
        <v>94</v>
      </c>
      <c r="J25" s="14" t="s">
        <v>90</v>
      </c>
      <c r="K25" s="14" t="str">
        <f>IFERROR(TEXT(_xlfn.XLOOKUP(_xlfn.CONCAT(Weld_list[[#This Row],[流水號]],"_",Weld_list[[#This Row],[銲口編號]]),焊口登報表!D:D,焊口登報表!C:C,,0),"yyyy/mm/dd"),"")</f>
        <v/>
      </c>
      <c r="M25" s="15" t="str">
        <f>IFERROR(TEXT(_xlfn.XLOOKUP(_xlfn.CONCAT(Weld_list[[#This Row],[流水號]],"_",Weld_list[[#This Row],[銲口編號]]),焊口登報表!F:F,焊口登報表!E:E,,0),"yyyy/mm/dd"),"")</f>
        <v/>
      </c>
      <c r="P25" s="15" t="e">
        <f>_xlfn.TEXTJOIN("-",TRUE,INDEX(_xlfn.TEXTSPLIT(B25,"-"),1),INDEX(_xlfn.TEXTSPLIT(B25,"-"),2),INDEX(_xlfn.TEXTSPLIT(B25,"-"),3),INDEX(_xlfn.TEXTSPLIT(B25,"-"),4),INDEX(_xlfn.TEXTSPLIT(B25,"-"),5))</f>
        <v>#REF!</v>
      </c>
      <c r="Q2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5" s="14" t="str">
        <f>IF(Weld_list[[#This Row],[組銲完成日期]]&lt;&gt;"","已完成","未完成")</f>
        <v>未完成</v>
      </c>
      <c r="S25" s="14">
        <v>1</v>
      </c>
    </row>
    <row r="26" spans="1:19" ht="20.25" hidden="1" customHeight="1">
      <c r="A26" s="49" t="s">
        <v>254</v>
      </c>
      <c r="B26" s="15" t="s">
        <v>255</v>
      </c>
      <c r="C26" s="49" t="s">
        <v>89</v>
      </c>
      <c r="D26" s="14">
        <v>40</v>
      </c>
      <c r="E26" s="14">
        <v>1.5</v>
      </c>
      <c r="F26" s="21">
        <f>IF(E26&lt;&gt;"",IF(Weld_list[[#This Row],[尺寸]]&lt;1,1,E26),"")</f>
        <v>1.5</v>
      </c>
      <c r="G26" s="14" t="s">
        <v>92</v>
      </c>
      <c r="H26" s="14">
        <v>304</v>
      </c>
      <c r="I26" s="14" t="s">
        <v>101</v>
      </c>
      <c r="J26" s="14" t="s">
        <v>95</v>
      </c>
      <c r="K26" s="14" t="str">
        <f>IFERROR(TEXT(_xlfn.XLOOKUP(_xlfn.CONCAT(Weld_list[[#This Row],[流水號]],"_",Weld_list[[#This Row],[銲口編號]]),焊口登報表!D:D,焊口登報表!C:C,,0),"yyyy/mm/dd"),"")</f>
        <v>2025/08/25</v>
      </c>
      <c r="L26" s="14" t="s">
        <v>275</v>
      </c>
      <c r="M26" s="63">
        <v>45897</v>
      </c>
      <c r="Q2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6" s="14" t="str">
        <f>IF(Weld_list[[#This Row],[組銲完成日期]]&lt;&gt;"","已完成","未完成")</f>
        <v>已完成</v>
      </c>
      <c r="S26" s="14">
        <v>1</v>
      </c>
    </row>
    <row r="27" spans="1:19" ht="20.25" hidden="1" customHeight="1">
      <c r="A27" s="49" t="s">
        <v>254</v>
      </c>
      <c r="B27" s="15" t="s">
        <v>255</v>
      </c>
      <c r="C27" s="49" t="s">
        <v>89</v>
      </c>
      <c r="D27" s="14">
        <v>41</v>
      </c>
      <c r="E27" s="14">
        <v>1.5</v>
      </c>
      <c r="F27" s="21">
        <f>IF(E27&lt;&gt;"",IF(Weld_list[[#This Row],[尺寸]]&lt;1,1,E27),"")</f>
        <v>1.5</v>
      </c>
      <c r="G27" s="14" t="s">
        <v>92</v>
      </c>
      <c r="H27" s="14">
        <v>304</v>
      </c>
      <c r="I27" s="14" t="s">
        <v>101</v>
      </c>
      <c r="J27" s="14" t="s">
        <v>95</v>
      </c>
      <c r="K27" s="14" t="str">
        <f>IFERROR(TEXT(_xlfn.XLOOKUP(_xlfn.CONCAT(Weld_list[[#This Row],[流水號]],"_",Weld_list[[#This Row],[銲口編號]]),焊口登報表!D:D,焊口登報表!C:C,,0),"yyyy/mm/dd"),"")</f>
        <v>2025/08/25</v>
      </c>
      <c r="L27" s="14" t="s">
        <v>275</v>
      </c>
      <c r="M27" s="63">
        <v>45897</v>
      </c>
      <c r="Q2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7" s="14" t="str">
        <f>IF(Weld_list[[#This Row],[組銲完成日期]]&lt;&gt;"","已完成","未完成")</f>
        <v>已完成</v>
      </c>
      <c r="S27" s="14">
        <v>1</v>
      </c>
    </row>
    <row r="28" spans="1:19" ht="20.25" hidden="1" customHeight="1">
      <c r="A28" s="49" t="s">
        <v>254</v>
      </c>
      <c r="B28" s="15" t="s">
        <v>255</v>
      </c>
      <c r="C28" s="49" t="s">
        <v>89</v>
      </c>
      <c r="D28" s="14">
        <v>42</v>
      </c>
      <c r="E28" s="14">
        <v>1.5</v>
      </c>
      <c r="F28" s="21">
        <f>IF(E28&lt;&gt;"",IF(Weld_list[[#This Row],[尺寸]]&lt;1,1,E28),"")</f>
        <v>1.5</v>
      </c>
      <c r="G28" s="14" t="s">
        <v>92</v>
      </c>
      <c r="H28" s="14">
        <v>304</v>
      </c>
      <c r="I28" s="14" t="s">
        <v>101</v>
      </c>
      <c r="J28" s="14" t="s">
        <v>95</v>
      </c>
      <c r="K28" s="14" t="str">
        <f>IFERROR(TEXT(_xlfn.XLOOKUP(_xlfn.CONCAT(Weld_list[[#This Row],[流水號]],"_",Weld_list[[#This Row],[銲口編號]]),焊口登報表!D:D,焊口登報表!C:C,,0),"yyyy/mm/dd"),"")</f>
        <v>2025/08/25</v>
      </c>
      <c r="L28" s="14" t="s">
        <v>275</v>
      </c>
      <c r="M28" s="63">
        <v>45897</v>
      </c>
      <c r="Q2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8" s="14" t="str">
        <f>IF(Weld_list[[#This Row],[組銲完成日期]]&lt;&gt;"","已完成","未完成")</f>
        <v>已完成</v>
      </c>
      <c r="S28" s="14">
        <v>1</v>
      </c>
    </row>
    <row r="29" spans="1:19" ht="20.25" hidden="1" customHeight="1">
      <c r="A29" s="49" t="s">
        <v>254</v>
      </c>
      <c r="B29" s="15" t="s">
        <v>255</v>
      </c>
      <c r="C29" s="49" t="s">
        <v>89</v>
      </c>
      <c r="D29" s="14">
        <v>43</v>
      </c>
      <c r="E29" s="14">
        <v>1.5</v>
      </c>
      <c r="F29" s="21">
        <f>IF(E29&lt;&gt;"",IF(Weld_list[[#This Row],[尺寸]]&lt;1,1,E29),"")</f>
        <v>1.5</v>
      </c>
      <c r="G29" s="14" t="s">
        <v>92</v>
      </c>
      <c r="H29" s="14">
        <v>304</v>
      </c>
      <c r="I29" s="14" t="s">
        <v>257</v>
      </c>
      <c r="J29" s="14" t="s">
        <v>90</v>
      </c>
      <c r="K29" s="14" t="str">
        <f>IFERROR(TEXT(_xlfn.XLOOKUP(_xlfn.CONCAT(Weld_list[[#This Row],[流水號]],"_",Weld_list[[#This Row],[銲口編號]]),焊口登報表!D:D,焊口登報表!C:C,,0),"yyyy/mm/dd"),"")</f>
        <v/>
      </c>
      <c r="M29" s="15" t="str">
        <f>IFERROR(TEXT(_xlfn.XLOOKUP(_xlfn.CONCAT(Weld_list[[#This Row],[流水號]],"_",Weld_list[[#This Row],[銲口編號]]),焊口登報表!F:F,焊口登報表!E:E,,0),"yyyy/mm/dd"),"")</f>
        <v/>
      </c>
      <c r="P29" s="15" t="e">
        <f>_xlfn.TEXTJOIN("-",TRUE,INDEX(_xlfn.TEXTSPLIT(B29,"-"),1),INDEX(_xlfn.TEXTSPLIT(B29,"-"),2),INDEX(_xlfn.TEXTSPLIT(B29,"-"),3),INDEX(_xlfn.TEXTSPLIT(B29,"-"),4),INDEX(_xlfn.TEXTSPLIT(B29,"-"),5))</f>
        <v>#REF!</v>
      </c>
      <c r="Q2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\\192.168.1.50\3勝一\SE-37(彰濱)\01.工程圖面\01.ISO\ISO\1-1.(UG)FO-90401-S1P1FU-02.pdf</v>
      </c>
      <c r="R29" s="14" t="str">
        <f>IF(Weld_list[[#This Row],[組銲完成日期]]&lt;&gt;"","已完成","未完成")</f>
        <v>未完成</v>
      </c>
      <c r="S29" s="14">
        <v>1</v>
      </c>
    </row>
    <row r="30" spans="1:19" ht="20.25" hidden="1" customHeight="1">
      <c r="A30" s="14">
        <v>2</v>
      </c>
      <c r="B30" s="15" t="s">
        <v>86</v>
      </c>
      <c r="C30" s="49" t="s">
        <v>87</v>
      </c>
      <c r="D30" s="14">
        <v>1</v>
      </c>
      <c r="E30" s="14">
        <v>6</v>
      </c>
      <c r="F30" s="21">
        <f>IF(E30&lt;&gt;"",IF(Weld_list[[#This Row],[尺寸]]&lt;1,1,E30),"")</f>
        <v>6</v>
      </c>
      <c r="G30" s="14" t="s">
        <v>73</v>
      </c>
      <c r="H30" s="14">
        <v>304</v>
      </c>
      <c r="I30" s="14" t="s">
        <v>54</v>
      </c>
      <c r="J30" s="14" t="s">
        <v>61</v>
      </c>
      <c r="K30" s="14" t="str">
        <f>IFERROR(TEXT(_xlfn.XLOOKUP(_xlfn.CONCAT(Weld_list[[#This Row],[流水號]],"_",Weld_list[[#This Row],[銲口編號]]),焊口登報表!D:D,焊口登報表!C:C,,0),"yyyy/mm/dd"),"")</f>
        <v>2025/08/25</v>
      </c>
      <c r="L30" s="14" t="s">
        <v>270</v>
      </c>
      <c r="M30" s="63">
        <v>45897</v>
      </c>
      <c r="Q3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0" s="14"/>
      <c r="S30" s="14">
        <v>1</v>
      </c>
    </row>
    <row r="31" spans="1:19" ht="20.25" hidden="1" customHeight="1">
      <c r="A31" s="14">
        <v>2</v>
      </c>
      <c r="B31" s="15" t="s">
        <v>86</v>
      </c>
      <c r="C31" s="49" t="s">
        <v>87</v>
      </c>
      <c r="D31" s="14">
        <v>2</v>
      </c>
      <c r="E31" s="14">
        <v>6</v>
      </c>
      <c r="F31" s="21">
        <f>IF(E31&lt;&gt;"",IF(Weld_list[[#This Row],[尺寸]]&lt;1,1,E31),"")</f>
        <v>6</v>
      </c>
      <c r="G31" s="14" t="s">
        <v>73</v>
      </c>
      <c r="H31" s="14">
        <v>304</v>
      </c>
      <c r="I31" s="14" t="s">
        <v>54</v>
      </c>
      <c r="J31" s="14" t="s">
        <v>61</v>
      </c>
      <c r="K31" s="14" t="str">
        <f>IFERROR(TEXT(_xlfn.XLOOKUP(_xlfn.CONCAT(Weld_list[[#This Row],[流水號]],"_",Weld_list[[#This Row],[銲口編號]]),焊口登報表!D:D,焊口登報表!C:C,,0),"yyyy/mm/dd"),"")</f>
        <v>2025/08/25</v>
      </c>
      <c r="L31" s="14" t="s">
        <v>270</v>
      </c>
      <c r="M31" s="63">
        <v>45897</v>
      </c>
      <c r="Q3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1" s="14"/>
      <c r="S31" s="14">
        <v>1</v>
      </c>
    </row>
    <row r="32" spans="1:19" ht="20.25" hidden="1" customHeight="1">
      <c r="A32" s="14">
        <v>2</v>
      </c>
      <c r="B32" s="15" t="s">
        <v>86</v>
      </c>
      <c r="C32" s="49" t="s">
        <v>87</v>
      </c>
      <c r="D32" s="14">
        <v>3</v>
      </c>
      <c r="E32" s="14">
        <v>6</v>
      </c>
      <c r="F32" s="21">
        <f>IF(E32&lt;&gt;"",IF(Weld_list[[#This Row],[尺寸]]&lt;1,1,E32),"")</f>
        <v>6</v>
      </c>
      <c r="G32" s="14" t="s">
        <v>73</v>
      </c>
      <c r="H32" s="14">
        <v>304</v>
      </c>
      <c r="I32" s="14" t="s">
        <v>54</v>
      </c>
      <c r="J32" s="14" t="s">
        <v>61</v>
      </c>
      <c r="K32" s="14" t="str">
        <f>IFERROR(TEXT(_xlfn.XLOOKUP(_xlfn.CONCAT(Weld_list[[#This Row],[流水號]],"_",Weld_list[[#This Row],[銲口編號]]),焊口登報表!D:D,焊口登報表!C:C,,0),"yyyy/mm/dd"),"")</f>
        <v>2025/08/25</v>
      </c>
      <c r="L32" s="14" t="s">
        <v>270</v>
      </c>
      <c r="M32" s="63">
        <v>45897</v>
      </c>
      <c r="Q3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2" s="14"/>
      <c r="S32" s="14">
        <v>1</v>
      </c>
    </row>
    <row r="33" spans="1:19" ht="20.25" hidden="1" customHeight="1">
      <c r="A33" s="14">
        <v>2</v>
      </c>
      <c r="B33" s="15" t="s">
        <v>86</v>
      </c>
      <c r="C33" s="49" t="s">
        <v>87</v>
      </c>
      <c r="D33" s="14">
        <v>4</v>
      </c>
      <c r="E33" s="14">
        <v>6</v>
      </c>
      <c r="F33" s="21">
        <f>IF(E33&lt;&gt;"",IF(Weld_list[[#This Row],[尺寸]]&lt;1,1,E33),"")</f>
        <v>6</v>
      </c>
      <c r="G33" s="14" t="s">
        <v>73</v>
      </c>
      <c r="H33" s="14">
        <v>304</v>
      </c>
      <c r="I33" s="14" t="s">
        <v>54</v>
      </c>
      <c r="J33" s="14" t="s">
        <v>61</v>
      </c>
      <c r="K33" s="14" t="str">
        <f>IFERROR(TEXT(_xlfn.XLOOKUP(_xlfn.CONCAT(Weld_list[[#This Row],[流水號]],"_",Weld_list[[#This Row],[銲口編號]]),焊口登報表!D:D,焊口登報表!C:C,,0),"yyyy/mm/dd"),"")</f>
        <v>2025/08/25</v>
      </c>
      <c r="L33" s="14" t="s">
        <v>270</v>
      </c>
      <c r="M33" s="63">
        <v>45897</v>
      </c>
      <c r="Q3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3" s="14"/>
      <c r="S33" s="14">
        <v>1</v>
      </c>
    </row>
    <row r="34" spans="1:19" ht="20.25" hidden="1" customHeight="1">
      <c r="A34" s="14">
        <v>2</v>
      </c>
      <c r="B34" s="15" t="s">
        <v>86</v>
      </c>
      <c r="C34" s="49" t="s">
        <v>87</v>
      </c>
      <c r="D34" s="14">
        <v>5</v>
      </c>
      <c r="E34" s="14">
        <v>6</v>
      </c>
      <c r="F34" s="21">
        <f>IF(E34&lt;&gt;"",IF(Weld_list[[#This Row],[尺寸]]&lt;1,1,E34),"")</f>
        <v>6</v>
      </c>
      <c r="G34" s="14" t="s">
        <v>73</v>
      </c>
      <c r="H34" s="14">
        <v>304</v>
      </c>
      <c r="I34" s="14" t="s">
        <v>54</v>
      </c>
      <c r="J34" s="14" t="s">
        <v>61</v>
      </c>
      <c r="K34" s="14" t="str">
        <f>IFERROR(TEXT(_xlfn.XLOOKUP(_xlfn.CONCAT(Weld_list[[#This Row],[流水號]],"_",Weld_list[[#This Row],[銲口編號]]),焊口登報表!D:D,焊口登報表!C:C,,0),"yyyy/mm/dd"),"")</f>
        <v>2025/08/25</v>
      </c>
      <c r="L34" s="14" t="s">
        <v>270</v>
      </c>
      <c r="M34" s="63">
        <v>45897</v>
      </c>
      <c r="Q3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4" s="14"/>
      <c r="S34" s="14">
        <v>1</v>
      </c>
    </row>
    <row r="35" spans="1:19" ht="20.25" hidden="1" customHeight="1">
      <c r="A35" s="14">
        <v>2</v>
      </c>
      <c r="B35" s="15" t="s">
        <v>86</v>
      </c>
      <c r="C35" s="49" t="s">
        <v>87</v>
      </c>
      <c r="D35" s="14">
        <v>6</v>
      </c>
      <c r="E35" s="14">
        <v>6</v>
      </c>
      <c r="F35" s="21">
        <f>IF(E35&lt;&gt;"",IF(Weld_list[[#This Row],[尺寸]]&lt;1,1,E35),"")</f>
        <v>6</v>
      </c>
      <c r="G35" s="14" t="s">
        <v>73</v>
      </c>
      <c r="H35" s="14">
        <v>304</v>
      </c>
      <c r="I35" s="14" t="s">
        <v>54</v>
      </c>
      <c r="J35" s="14" t="s">
        <v>61</v>
      </c>
      <c r="K35" s="14" t="str">
        <f>IFERROR(TEXT(_xlfn.XLOOKUP(_xlfn.CONCAT(Weld_list[[#This Row],[流水號]],"_",Weld_list[[#This Row],[銲口編號]]),焊口登報表!D:D,焊口登報表!C:C,,0),"yyyy/mm/dd"),"")</f>
        <v>2025/08/25</v>
      </c>
      <c r="L35" s="14" t="s">
        <v>270</v>
      </c>
      <c r="M35" s="63">
        <v>45897</v>
      </c>
      <c r="Q3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5" s="14"/>
      <c r="S35" s="14">
        <v>1</v>
      </c>
    </row>
    <row r="36" spans="1:19" ht="20.25" hidden="1" customHeight="1">
      <c r="A36" s="14">
        <v>2</v>
      </c>
      <c r="B36" s="15" t="s">
        <v>86</v>
      </c>
      <c r="C36" s="49" t="s">
        <v>87</v>
      </c>
      <c r="D36" s="14">
        <v>7</v>
      </c>
      <c r="E36" s="14">
        <v>6</v>
      </c>
      <c r="F36" s="21">
        <f>IF(E36&lt;&gt;"",IF(Weld_list[[#This Row],[尺寸]]&lt;1,1,E36),"")</f>
        <v>6</v>
      </c>
      <c r="G36" s="14" t="s">
        <v>73</v>
      </c>
      <c r="H36" s="14">
        <v>304</v>
      </c>
      <c r="I36" s="14" t="s">
        <v>54</v>
      </c>
      <c r="J36" s="14" t="s">
        <v>95</v>
      </c>
      <c r="K36" s="14" t="str">
        <f>IFERROR(TEXT(_xlfn.XLOOKUP(_xlfn.CONCAT(Weld_list[[#This Row],[流水號]],"_",Weld_list[[#This Row],[銲口編號]]),焊口登報表!D:D,焊口登報表!C:C,,0),"yyyy/mm/dd"),"")</f>
        <v>2025/12/20</v>
      </c>
      <c r="L36" s="14" t="s">
        <v>270</v>
      </c>
      <c r="M36" s="15" t="str">
        <f>IFERROR(TEXT(_xlfn.XLOOKUP(_xlfn.CONCAT(Weld_list[[#This Row],[流水號]],"_",Weld_list[[#This Row],[銲口編號]]),焊口登報表!F:F,焊口登報表!E:E,,0),"yyyy/mm/dd"),"")</f>
        <v>2025/12/21</v>
      </c>
      <c r="P36" s="15" t="e">
        <f>_xlfn.TEXTJOIN("-",TRUE,INDEX(_xlfn.TEXTSPLIT(B36,"-"),1),INDEX(_xlfn.TEXTSPLIT(B36,"-"),2),INDEX(_xlfn.TEXTSPLIT(B36,"-"),3),INDEX(_xlfn.TEXTSPLIT(B36,"-"),4),INDEX(_xlfn.TEXTSPLIT(B36,"-"),5))</f>
        <v>#REF!</v>
      </c>
      <c r="Q3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6" s="14" t="str">
        <f>IF(Weld_list[[#This Row],[組銲完成日期]]&lt;&gt;"","已完成","未完成")</f>
        <v>已完成</v>
      </c>
      <c r="S36" s="14">
        <v>1</v>
      </c>
    </row>
    <row r="37" spans="1:19" ht="20.25" hidden="1" customHeight="1">
      <c r="A37" s="14">
        <v>2</v>
      </c>
      <c r="B37" s="15" t="s">
        <v>86</v>
      </c>
      <c r="C37" s="49" t="s">
        <v>87</v>
      </c>
      <c r="D37" s="14">
        <v>19</v>
      </c>
      <c r="E37" s="14">
        <v>6</v>
      </c>
      <c r="F37" s="21">
        <f>IF(E37&lt;&gt;"",IF(Weld_list[[#This Row],[尺寸]]&lt;1,1,E37),"")</f>
        <v>6</v>
      </c>
      <c r="G37" s="14" t="s">
        <v>73</v>
      </c>
      <c r="H37" s="14">
        <v>304</v>
      </c>
      <c r="I37" s="14" t="s">
        <v>54</v>
      </c>
      <c r="J37" s="14" t="s">
        <v>61</v>
      </c>
      <c r="K37" s="14" t="str">
        <f>IFERROR(TEXT(_xlfn.XLOOKUP(_xlfn.CONCAT(Weld_list[[#This Row],[流水號]],"_",Weld_list[[#This Row],[銲口編號]]),焊口登報表!D:D,焊口登報表!C:C,,0),"yyyy/mm/dd"),"")</f>
        <v>2025/08/25</v>
      </c>
      <c r="L37" s="14" t="s">
        <v>270</v>
      </c>
      <c r="M37" s="63">
        <v>45897</v>
      </c>
      <c r="Q3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7" s="14"/>
      <c r="S37" s="14">
        <v>1</v>
      </c>
    </row>
    <row r="38" spans="1:19" ht="20.25" hidden="1" customHeight="1">
      <c r="A38" s="14">
        <v>2</v>
      </c>
      <c r="B38" s="15" t="s">
        <v>86</v>
      </c>
      <c r="C38" s="49" t="s">
        <v>87</v>
      </c>
      <c r="D38" s="14">
        <v>20</v>
      </c>
      <c r="E38" s="14">
        <v>6</v>
      </c>
      <c r="F38" s="21">
        <f>IF(E38&lt;&gt;"",IF(Weld_list[[#This Row],[尺寸]]&lt;1,1,E38),"")</f>
        <v>6</v>
      </c>
      <c r="G38" s="14" t="s">
        <v>73</v>
      </c>
      <c r="H38" s="14">
        <v>304</v>
      </c>
      <c r="I38" s="14" t="s">
        <v>54</v>
      </c>
      <c r="J38" s="14" t="s">
        <v>61</v>
      </c>
      <c r="K38" s="14" t="str">
        <f>IFERROR(TEXT(_xlfn.XLOOKUP(_xlfn.CONCAT(Weld_list[[#This Row],[流水號]],"_",Weld_list[[#This Row],[銲口編號]]),焊口登報表!D:D,焊口登報表!C:C,,0),"yyyy/mm/dd"),"")</f>
        <v>2025/08/25</v>
      </c>
      <c r="L38" s="14" t="s">
        <v>270</v>
      </c>
      <c r="M38" s="63">
        <v>45897</v>
      </c>
      <c r="Q3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8" s="14"/>
      <c r="S38" s="14">
        <v>1</v>
      </c>
    </row>
    <row r="39" spans="1:19" ht="20.25" hidden="1" customHeight="1">
      <c r="A39" s="14">
        <v>2</v>
      </c>
      <c r="B39" s="15" t="s">
        <v>86</v>
      </c>
      <c r="C39" s="49" t="s">
        <v>87</v>
      </c>
      <c r="D39" s="14" t="s">
        <v>103</v>
      </c>
      <c r="E39" s="14">
        <v>6</v>
      </c>
      <c r="F39" s="21">
        <f>IF(E39&lt;&gt;"",IF(Weld_list[[#This Row],[尺寸]]&lt;1,1,E39),"")</f>
        <v>6</v>
      </c>
      <c r="G39" s="14" t="s">
        <v>73</v>
      </c>
      <c r="H39" s="14">
        <v>304</v>
      </c>
      <c r="I39" s="14" t="s">
        <v>94</v>
      </c>
      <c r="J39" s="14" t="s">
        <v>90</v>
      </c>
      <c r="K39" s="14" t="str">
        <f>IFERROR(TEXT(_xlfn.XLOOKUP(_xlfn.CONCAT(Weld_list[[#This Row],[流水號]],"_",Weld_list[[#This Row],[銲口編號]]),焊口登報表!D:D,焊口登報表!C:C,,0),"yyyy/mm/dd"),"")</f>
        <v/>
      </c>
      <c r="M39" s="15" t="str">
        <f>IFERROR(TEXT(_xlfn.XLOOKUP(_xlfn.CONCAT(Weld_list[[#This Row],[流水號]],"_",Weld_list[[#This Row],[銲口編號]]),焊口登報表!F:F,焊口登報表!E:E,,0),"yyyy/mm/dd"),"")</f>
        <v/>
      </c>
      <c r="P39" s="15" t="e">
        <f>_xlfn.TEXTJOIN("-",TRUE,INDEX(_xlfn.TEXTSPLIT(B39,"-"),1),INDEX(_xlfn.TEXTSPLIT(B39,"-"),2),INDEX(_xlfn.TEXTSPLIT(B39,"-"),3),INDEX(_xlfn.TEXTSPLIT(B39,"-"),4),INDEX(_xlfn.TEXTSPLIT(B39,"-"),5))</f>
        <v>#REF!</v>
      </c>
      <c r="Q3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39" s="14" t="str">
        <f>IF(Weld_list[[#This Row],[組銲完成日期]]&lt;&gt;"","已完成","未完成")</f>
        <v>未完成</v>
      </c>
      <c r="S39" s="14">
        <v>1</v>
      </c>
    </row>
    <row r="40" spans="1:19" ht="20.25" hidden="1" customHeight="1">
      <c r="A40" s="14">
        <v>2</v>
      </c>
      <c r="B40" s="15" t="s">
        <v>86</v>
      </c>
      <c r="C40" s="49" t="s">
        <v>87</v>
      </c>
      <c r="D40" s="14">
        <v>21</v>
      </c>
      <c r="E40" s="14">
        <v>6</v>
      </c>
      <c r="F40" s="21">
        <f>IF(E40&lt;&gt;"",IF(Weld_list[[#This Row],[尺寸]]&lt;1,1,E40),"")</f>
        <v>6</v>
      </c>
      <c r="G40" s="14" t="s">
        <v>73</v>
      </c>
      <c r="H40" s="14">
        <v>304</v>
      </c>
      <c r="I40" s="14" t="s">
        <v>54</v>
      </c>
      <c r="J40" s="14" t="s">
        <v>61</v>
      </c>
      <c r="K40" s="14" t="str">
        <f>IFERROR(TEXT(_xlfn.XLOOKUP(_xlfn.CONCAT(Weld_list[[#This Row],[流水號]],"_",Weld_list[[#This Row],[銲口編號]]),焊口登報表!D:D,焊口登報表!C:C,,0),"yyyy/mm/dd"),"")</f>
        <v>2025/08/25</v>
      </c>
      <c r="L40" s="14" t="s">
        <v>270</v>
      </c>
      <c r="M40" s="63">
        <v>45897</v>
      </c>
      <c r="Q4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\\192.168.1.50\3勝一\SE-37(彰濱)\01.工程圖面\01.ISO\ISO\2.(UG)FO-90401.-S1P1FU-01.pdf</v>
      </c>
      <c r="R40" s="14" t="str">
        <f>IF(Weld_list[[#This Row],[組銲完成日期]]&lt;&gt;"","已完成","未完成")</f>
        <v>已完成</v>
      </c>
      <c r="S40" s="14">
        <v>1</v>
      </c>
    </row>
    <row r="41" spans="1:19" ht="20.25" hidden="1" customHeight="1">
      <c r="A41" s="14">
        <v>3</v>
      </c>
      <c r="B41" s="13" t="s">
        <v>88</v>
      </c>
      <c r="C41" s="49" t="s">
        <v>89</v>
      </c>
      <c r="D41" s="14">
        <v>8</v>
      </c>
      <c r="E41" s="14">
        <v>6</v>
      </c>
      <c r="F41" s="21">
        <f>IF(E41&lt;&gt;"",IF(Weld_list[[#This Row],[尺寸]]&lt;1,1,E41),"")</f>
        <v>6</v>
      </c>
      <c r="G41" s="14" t="s">
        <v>73</v>
      </c>
      <c r="H41" s="14">
        <v>304</v>
      </c>
      <c r="I41" s="14" t="s">
        <v>54</v>
      </c>
      <c r="J41" s="14" t="s">
        <v>61</v>
      </c>
      <c r="K41" s="14" t="str">
        <f>IFERROR(TEXT(_xlfn.XLOOKUP(_xlfn.CONCAT(Weld_list[[#This Row],[流水號]],"_",Weld_list[[#This Row],[銲口編號]]),焊口登報表!D:D,焊口登報表!C:C,,0),"yyyy/mm/dd"),"")</f>
        <v>2025/12/20</v>
      </c>
      <c r="L41" s="14" t="s">
        <v>270</v>
      </c>
      <c r="M41" s="15" t="str">
        <f>IFERROR(TEXT(_xlfn.XLOOKUP(_xlfn.CONCAT(Weld_list[[#This Row],[流水號]],"_",Weld_list[[#This Row],[銲口編號]]),焊口登報表!F:F,焊口登報表!E:E,,0),"yyyy/mm/dd"),"")</f>
        <v>2025/12/21</v>
      </c>
      <c r="Q4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1" s="14"/>
      <c r="S41" s="14">
        <v>1</v>
      </c>
    </row>
    <row r="42" spans="1:19" ht="20.25" hidden="1" customHeight="1">
      <c r="A42" s="14">
        <v>3</v>
      </c>
      <c r="B42" s="13" t="s">
        <v>88</v>
      </c>
      <c r="C42" s="49" t="s">
        <v>89</v>
      </c>
      <c r="D42" s="14">
        <v>9</v>
      </c>
      <c r="E42" s="14">
        <v>6</v>
      </c>
      <c r="F42" s="21">
        <f>IF(E42&lt;&gt;"",IF(Weld_list[[#This Row],[尺寸]]&lt;1,1,E42),"")</f>
        <v>6</v>
      </c>
      <c r="G42" s="14" t="s">
        <v>73</v>
      </c>
      <c r="H42" s="14">
        <v>304</v>
      </c>
      <c r="I42" s="14" t="s">
        <v>54</v>
      </c>
      <c r="J42" s="14" t="s">
        <v>61</v>
      </c>
      <c r="K42" s="14" t="str">
        <f>IFERROR(TEXT(_xlfn.XLOOKUP(_xlfn.CONCAT(Weld_list[[#This Row],[流水號]],"_",Weld_list[[#This Row],[銲口編號]]),焊口登報表!D:D,焊口登報表!C:C,,0),"yyyy/mm/dd"),"")</f>
        <v>2025/08/25</v>
      </c>
      <c r="L42" s="14" t="s">
        <v>270</v>
      </c>
      <c r="M42" s="63">
        <v>45897</v>
      </c>
      <c r="Q4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2" s="14"/>
      <c r="S42" s="14">
        <v>1</v>
      </c>
    </row>
    <row r="43" spans="1:19" ht="20.25" hidden="1" customHeight="1">
      <c r="A43" s="14">
        <v>3</v>
      </c>
      <c r="B43" s="13" t="s">
        <v>88</v>
      </c>
      <c r="C43" s="49" t="s">
        <v>89</v>
      </c>
      <c r="D43" s="14">
        <v>10</v>
      </c>
      <c r="E43" s="14">
        <v>6</v>
      </c>
      <c r="F43" s="21">
        <f>IF(E43&lt;&gt;"",IF(Weld_list[[#This Row],[尺寸]]&lt;1,1,E43),"")</f>
        <v>6</v>
      </c>
      <c r="G43" s="14" t="s">
        <v>73</v>
      </c>
      <c r="H43" s="14">
        <v>304</v>
      </c>
      <c r="I43" s="14" t="s">
        <v>54</v>
      </c>
      <c r="J43" s="14" t="s">
        <v>61</v>
      </c>
      <c r="K43" s="14" t="str">
        <f>IFERROR(TEXT(_xlfn.XLOOKUP(_xlfn.CONCAT(Weld_list[[#This Row],[流水號]],"_",Weld_list[[#This Row],[銲口編號]]),焊口登報表!D:D,焊口登報表!C:C,,0),"yyyy/mm/dd"),"")</f>
        <v>2025/12/20</v>
      </c>
      <c r="L43" s="14" t="s">
        <v>270</v>
      </c>
      <c r="M43" s="15" t="str">
        <f>IFERROR(TEXT(_xlfn.XLOOKUP(_xlfn.CONCAT(Weld_list[[#This Row],[流水號]],"_",Weld_list[[#This Row],[銲口編號]]),焊口登報表!F:F,焊口登報表!E:E,,0),"yyyy/mm/dd"),"")</f>
        <v>2025/12/21</v>
      </c>
      <c r="Q4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3" s="14"/>
      <c r="S43" s="14">
        <v>1</v>
      </c>
    </row>
    <row r="44" spans="1:19" ht="20.25" hidden="1" customHeight="1">
      <c r="A44" s="14">
        <v>3</v>
      </c>
      <c r="B44" s="13" t="s">
        <v>88</v>
      </c>
      <c r="C44" s="49" t="s">
        <v>89</v>
      </c>
      <c r="D44" s="14">
        <v>11</v>
      </c>
      <c r="E44" s="14">
        <v>6</v>
      </c>
      <c r="F44" s="21">
        <f>IF(E44&lt;&gt;"",IF(Weld_list[[#This Row],[尺寸]]&lt;1,1,E44),"")</f>
        <v>6</v>
      </c>
      <c r="G44" s="14" t="s">
        <v>73</v>
      </c>
      <c r="H44" s="14">
        <v>304</v>
      </c>
      <c r="I44" s="14" t="s">
        <v>54</v>
      </c>
      <c r="J44" s="14" t="s">
        <v>61</v>
      </c>
      <c r="K44" s="14" t="str">
        <f>IFERROR(TEXT(_xlfn.XLOOKUP(_xlfn.CONCAT(Weld_list[[#This Row],[流水號]],"_",Weld_list[[#This Row],[銲口編號]]),焊口登報表!D:D,焊口登報表!C:C,,0),"yyyy/mm/dd"),"")</f>
        <v>2025/08/25</v>
      </c>
      <c r="L44" s="14" t="s">
        <v>270</v>
      </c>
      <c r="M44" s="63">
        <v>45897</v>
      </c>
      <c r="Q4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4" s="14"/>
      <c r="S44" s="14">
        <v>1</v>
      </c>
    </row>
    <row r="45" spans="1:19" ht="20.25" hidden="1" customHeight="1">
      <c r="A45" s="14">
        <v>3</v>
      </c>
      <c r="B45" s="13" t="s">
        <v>88</v>
      </c>
      <c r="C45" s="49" t="s">
        <v>89</v>
      </c>
      <c r="D45" s="14">
        <v>12</v>
      </c>
      <c r="E45" s="14">
        <v>6</v>
      </c>
      <c r="F45" s="21">
        <f>IF(E45&lt;&gt;"",IF(Weld_list[[#This Row],[尺寸]]&lt;1,1,E45),"")</f>
        <v>6</v>
      </c>
      <c r="G45" s="14" t="s">
        <v>73</v>
      </c>
      <c r="H45" s="14">
        <v>304</v>
      </c>
      <c r="I45" s="14" t="s">
        <v>54</v>
      </c>
      <c r="J45" s="14" t="s">
        <v>61</v>
      </c>
      <c r="K45" s="14" t="str">
        <f>IFERROR(TEXT(_xlfn.XLOOKUP(_xlfn.CONCAT(Weld_list[[#This Row],[流水號]],"_",Weld_list[[#This Row],[銲口編號]]),焊口登報表!D:D,焊口登報表!C:C,,0),"yyyy/mm/dd"),"")</f>
        <v>2025/12/20</v>
      </c>
      <c r="L45" s="14" t="s">
        <v>270</v>
      </c>
      <c r="M45" s="15" t="str">
        <f>IFERROR(TEXT(_xlfn.XLOOKUP(_xlfn.CONCAT(Weld_list[[#This Row],[流水號]],"_",Weld_list[[#This Row],[銲口編號]]),焊口登報表!F:F,焊口登報表!E:E,,0),"yyyy/mm/dd"),"")</f>
        <v>2025/12/21</v>
      </c>
      <c r="Q4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5" s="14"/>
      <c r="S45" s="14">
        <v>1</v>
      </c>
    </row>
    <row r="46" spans="1:19" ht="20.25" hidden="1" customHeight="1">
      <c r="A46" s="14">
        <v>3</v>
      </c>
      <c r="B46" s="13" t="s">
        <v>88</v>
      </c>
      <c r="C46" s="49" t="s">
        <v>89</v>
      </c>
      <c r="D46" s="14">
        <v>13</v>
      </c>
      <c r="E46" s="14">
        <v>6</v>
      </c>
      <c r="F46" s="21">
        <f>IF(E46&lt;&gt;"",IF(Weld_list[[#This Row],[尺寸]]&lt;1,1,E46),"")</f>
        <v>6</v>
      </c>
      <c r="G46" s="14" t="s">
        <v>73</v>
      </c>
      <c r="H46" s="14">
        <v>304</v>
      </c>
      <c r="I46" s="14" t="s">
        <v>54</v>
      </c>
      <c r="J46" s="14" t="s">
        <v>61</v>
      </c>
      <c r="K46" s="14" t="str">
        <f>IFERROR(TEXT(_xlfn.XLOOKUP(_xlfn.CONCAT(Weld_list[[#This Row],[流水號]],"_",Weld_list[[#This Row],[銲口編號]]),焊口登報表!D:D,焊口登報表!C:C,,0),"yyyy/mm/dd"),"")</f>
        <v>2025/08/25</v>
      </c>
      <c r="L46" s="14" t="s">
        <v>270</v>
      </c>
      <c r="M46" s="63">
        <v>45897</v>
      </c>
      <c r="Q4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6" s="14"/>
      <c r="S46" s="14">
        <v>1</v>
      </c>
    </row>
    <row r="47" spans="1:19" ht="20.25" hidden="1" customHeight="1">
      <c r="A47" s="14">
        <v>3</v>
      </c>
      <c r="B47" s="13" t="s">
        <v>88</v>
      </c>
      <c r="C47" s="49" t="s">
        <v>89</v>
      </c>
      <c r="D47" s="14">
        <v>14</v>
      </c>
      <c r="E47" s="14">
        <v>6</v>
      </c>
      <c r="F47" s="21">
        <f>IF(E47&lt;&gt;"",IF(Weld_list[[#This Row],[尺寸]]&lt;1,1,E47),"")</f>
        <v>6</v>
      </c>
      <c r="G47" s="14" t="s">
        <v>73</v>
      </c>
      <c r="H47" s="14">
        <v>304</v>
      </c>
      <c r="I47" s="14" t="s">
        <v>54</v>
      </c>
      <c r="J47" s="14" t="s">
        <v>61</v>
      </c>
      <c r="K47" s="14" t="str">
        <f>IFERROR(TEXT(_xlfn.XLOOKUP(_xlfn.CONCAT(Weld_list[[#This Row],[流水號]],"_",Weld_list[[#This Row],[銲口編號]]),焊口登報表!D:D,焊口登報表!C:C,,0),"yyyy/mm/dd"),"")</f>
        <v>2025/08/25</v>
      </c>
      <c r="L47" s="14" t="s">
        <v>270</v>
      </c>
      <c r="M47" s="63">
        <v>45897</v>
      </c>
      <c r="Q4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7" s="14"/>
      <c r="S47" s="14">
        <v>1</v>
      </c>
    </row>
    <row r="48" spans="1:19" ht="20.25" hidden="1" customHeight="1">
      <c r="A48" s="14">
        <v>3</v>
      </c>
      <c r="B48" s="13" t="s">
        <v>88</v>
      </c>
      <c r="C48" s="49" t="s">
        <v>89</v>
      </c>
      <c r="D48" s="14">
        <v>15</v>
      </c>
      <c r="E48" s="14">
        <v>6</v>
      </c>
      <c r="F48" s="21">
        <f>IF(E48&lt;&gt;"",IF(Weld_list[[#This Row],[尺寸]]&lt;1,1,E48),"")</f>
        <v>6</v>
      </c>
      <c r="G48" s="14" t="s">
        <v>73</v>
      </c>
      <c r="H48" s="14">
        <v>304</v>
      </c>
      <c r="I48" s="14" t="s">
        <v>54</v>
      </c>
      <c r="J48" s="14" t="s">
        <v>61</v>
      </c>
      <c r="K48" s="14" t="str">
        <f>IFERROR(TEXT(_xlfn.XLOOKUP(_xlfn.CONCAT(Weld_list[[#This Row],[流水號]],"_",Weld_list[[#This Row],[銲口編號]]),焊口登報表!D:D,焊口登報表!C:C,,0),"yyyy/mm/dd"),"")</f>
        <v>2025/12/20</v>
      </c>
      <c r="L48" s="14" t="s">
        <v>270</v>
      </c>
      <c r="M48" s="15" t="str">
        <f>IFERROR(TEXT(_xlfn.XLOOKUP(_xlfn.CONCAT(Weld_list[[#This Row],[流水號]],"_",Weld_list[[#This Row],[銲口編號]]),焊口登報表!F:F,焊口登報表!E:E,,0),"yyyy/mm/dd"),"")</f>
        <v>2025/12/21</v>
      </c>
      <c r="Q4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8" s="14"/>
      <c r="S48" s="14">
        <v>1</v>
      </c>
    </row>
    <row r="49" spans="1:19" ht="20.25" hidden="1" customHeight="1">
      <c r="A49" s="14">
        <v>3</v>
      </c>
      <c r="B49" s="13" t="s">
        <v>88</v>
      </c>
      <c r="C49" s="49" t="s">
        <v>89</v>
      </c>
      <c r="D49" s="14">
        <v>16</v>
      </c>
      <c r="E49" s="14">
        <v>6</v>
      </c>
      <c r="F49" s="21">
        <f>IF(E49&lt;&gt;"",IF(Weld_list[[#This Row],[尺寸]]&lt;1,1,E49),"")</f>
        <v>6</v>
      </c>
      <c r="G49" s="14" t="s">
        <v>73</v>
      </c>
      <c r="H49" s="14">
        <v>304</v>
      </c>
      <c r="I49" s="14" t="s">
        <v>54</v>
      </c>
      <c r="J49" s="14" t="s">
        <v>61</v>
      </c>
      <c r="K49" s="14" t="str">
        <f>IFERROR(TEXT(_xlfn.XLOOKUP(_xlfn.CONCAT(Weld_list[[#This Row],[流水號]],"_",Weld_list[[#This Row],[銲口編號]]),焊口登報表!D:D,焊口登報表!C:C,,0),"yyyy/mm/dd"),"")</f>
        <v>2025/08/25</v>
      </c>
      <c r="L49" s="14" t="s">
        <v>270</v>
      </c>
      <c r="M49" s="63">
        <v>45897</v>
      </c>
      <c r="Q4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49" s="14"/>
      <c r="S49" s="14">
        <v>1</v>
      </c>
    </row>
    <row r="50" spans="1:19" ht="20.25" hidden="1" customHeight="1">
      <c r="A50" s="14">
        <v>3</v>
      </c>
      <c r="B50" s="13" t="s">
        <v>88</v>
      </c>
      <c r="C50" s="49" t="s">
        <v>89</v>
      </c>
      <c r="D50" s="14">
        <v>17</v>
      </c>
      <c r="E50" s="14">
        <v>6</v>
      </c>
      <c r="F50" s="21">
        <f>IF(E50&lt;&gt;"",IF(Weld_list[[#This Row],[尺寸]]&lt;1,1,E50),"")</f>
        <v>6</v>
      </c>
      <c r="G50" s="14" t="s">
        <v>73</v>
      </c>
      <c r="H50" s="14">
        <v>304</v>
      </c>
      <c r="I50" s="14" t="s">
        <v>54</v>
      </c>
      <c r="J50" s="14" t="s">
        <v>61</v>
      </c>
      <c r="K50" s="14" t="str">
        <f>IFERROR(TEXT(_xlfn.XLOOKUP(_xlfn.CONCAT(Weld_list[[#This Row],[流水號]],"_",Weld_list[[#This Row],[銲口編號]]),焊口登報表!D:D,焊口登報表!C:C,,0),"yyyy/mm/dd"),"")</f>
        <v>2025/08/25</v>
      </c>
      <c r="L50" s="14" t="s">
        <v>270</v>
      </c>
      <c r="M50" s="63">
        <v>45897</v>
      </c>
      <c r="Q5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0" s="14"/>
      <c r="S50" s="14">
        <v>1</v>
      </c>
    </row>
    <row r="51" spans="1:19" ht="20.25" hidden="1" customHeight="1">
      <c r="A51" s="14">
        <v>3</v>
      </c>
      <c r="B51" s="13" t="s">
        <v>88</v>
      </c>
      <c r="C51" s="49" t="s">
        <v>89</v>
      </c>
      <c r="D51" s="14">
        <v>18</v>
      </c>
      <c r="E51" s="14">
        <v>6</v>
      </c>
      <c r="F51" s="21">
        <f>IF(E51&lt;&gt;"",IF(Weld_list[[#This Row],[尺寸]]&lt;1,1,E51),"")</f>
        <v>6</v>
      </c>
      <c r="G51" s="14" t="s">
        <v>73</v>
      </c>
      <c r="H51" s="14">
        <v>304</v>
      </c>
      <c r="I51" s="14" t="s">
        <v>54</v>
      </c>
      <c r="J51" s="14" t="s">
        <v>61</v>
      </c>
      <c r="K51" s="14" t="str">
        <f>IFERROR(TEXT(_xlfn.XLOOKUP(_xlfn.CONCAT(Weld_list[[#This Row],[流水號]],"_",Weld_list[[#This Row],[銲口編號]]),焊口登報表!D:D,焊口登報表!C:C,,0),"yyyy/mm/dd"),"")</f>
        <v>2025/08/25</v>
      </c>
      <c r="L51" s="14" t="s">
        <v>270</v>
      </c>
      <c r="M51" s="63">
        <v>45897</v>
      </c>
      <c r="Q5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1" s="14"/>
      <c r="S51" s="14">
        <v>1</v>
      </c>
    </row>
    <row r="52" spans="1:19" ht="20.25" hidden="1" customHeight="1">
      <c r="A52" s="14">
        <v>3</v>
      </c>
      <c r="B52" s="13" t="s">
        <v>88</v>
      </c>
      <c r="C52" s="49" t="s">
        <v>89</v>
      </c>
      <c r="D52" s="14">
        <v>22</v>
      </c>
      <c r="E52" s="14">
        <v>6</v>
      </c>
      <c r="F52" s="21">
        <f>IF(E52&lt;&gt;"",IF(Weld_list[[#This Row],[尺寸]]&lt;1,1,E52),"")</f>
        <v>6</v>
      </c>
      <c r="G52" s="14" t="s">
        <v>73</v>
      </c>
      <c r="H52" s="14">
        <v>304</v>
      </c>
      <c r="I52" s="14" t="s">
        <v>76</v>
      </c>
      <c r="J52" s="14" t="s">
        <v>95</v>
      </c>
      <c r="K52" s="14" t="str">
        <f>IFERROR(TEXT(_xlfn.XLOOKUP(_xlfn.CONCAT(Weld_list[[#This Row],[流水號]],"_",Weld_list[[#This Row],[銲口編號]]),焊口登報表!D:D,焊口登報表!C:C,,0),"yyyy/mm/dd"),"")</f>
        <v>2025/08/25</v>
      </c>
      <c r="L52" s="14" t="s">
        <v>270</v>
      </c>
      <c r="M52" s="63">
        <v>45897</v>
      </c>
      <c r="Q5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2" s="14"/>
      <c r="S52" s="14">
        <v>1</v>
      </c>
    </row>
    <row r="53" spans="1:19" ht="20.25" hidden="1" customHeight="1">
      <c r="A53" s="14">
        <v>3</v>
      </c>
      <c r="B53" s="13" t="s">
        <v>88</v>
      </c>
      <c r="C53" s="49" t="s">
        <v>89</v>
      </c>
      <c r="D53" s="14">
        <v>23</v>
      </c>
      <c r="E53" s="14">
        <v>4</v>
      </c>
      <c r="F53" s="21">
        <f>IF(E53&lt;&gt;"",IF(Weld_list[[#This Row],[尺寸]]&lt;1,1,E53),"")</f>
        <v>4</v>
      </c>
      <c r="G53" s="14" t="s">
        <v>73</v>
      </c>
      <c r="H53" s="14">
        <v>304</v>
      </c>
      <c r="I53" s="14" t="s">
        <v>76</v>
      </c>
      <c r="J53" s="14" t="s">
        <v>95</v>
      </c>
      <c r="K53" s="14" t="str">
        <f>IFERROR(TEXT(_xlfn.XLOOKUP(_xlfn.CONCAT(Weld_list[[#This Row],[流水號]],"_",Weld_list[[#This Row],[銲口編號]]),焊口登報表!D:D,焊口登報表!C:C,,0),"yyyy/mm/dd"),"")</f>
        <v>2025/12/20</v>
      </c>
      <c r="L53" s="14" t="s">
        <v>270</v>
      </c>
      <c r="M53" s="15" t="str">
        <f>IFERROR(TEXT(_xlfn.XLOOKUP(_xlfn.CONCAT(Weld_list[[#This Row],[流水號]],"_",Weld_list[[#This Row],[銲口編號]]),焊口登報表!F:F,焊口登報表!E:E,,0),"yyyy/mm/dd"),"")</f>
        <v>2025/12/21</v>
      </c>
      <c r="P53" s="15" t="e">
        <f>_xlfn.TEXTJOIN("-",TRUE,INDEX(_xlfn.TEXTSPLIT(B53,"-"),1),INDEX(_xlfn.TEXTSPLIT(B53,"-"),2),INDEX(_xlfn.TEXTSPLIT(B53,"-"),3),INDEX(_xlfn.TEXTSPLIT(B53,"-"),4),INDEX(_xlfn.TEXTSPLIT(B53,"-"),5))</f>
        <v>#REF!</v>
      </c>
      <c r="Q5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3" s="14" t="str">
        <f>IF(Weld_list[[#This Row],[組銲完成日期]]&lt;&gt;"","已完成","未完成")</f>
        <v>已完成</v>
      </c>
      <c r="S53" s="14">
        <v>1</v>
      </c>
    </row>
    <row r="54" spans="1:19" ht="20.25" hidden="1" customHeight="1">
      <c r="A54" s="14">
        <v>3</v>
      </c>
      <c r="B54" s="13" t="s">
        <v>88</v>
      </c>
      <c r="C54" s="49" t="s">
        <v>89</v>
      </c>
      <c r="D54" s="14">
        <v>24</v>
      </c>
      <c r="E54" s="14">
        <v>1.5</v>
      </c>
      <c r="F54" s="21">
        <f>IF(E54&lt;&gt;"",IF(Weld_list[[#This Row],[尺寸]]&lt;1,1,E54),"")</f>
        <v>1.5</v>
      </c>
      <c r="G54" s="14" t="s">
        <v>92</v>
      </c>
      <c r="H54" s="14">
        <v>304</v>
      </c>
      <c r="I54" s="14" t="s">
        <v>102</v>
      </c>
      <c r="J54" s="14" t="s">
        <v>95</v>
      </c>
      <c r="K54" s="14" t="str">
        <f>IFERROR(TEXT(_xlfn.XLOOKUP(_xlfn.CONCAT(Weld_list[[#This Row],[流水號]],"_",Weld_list[[#This Row],[銲口編號]]),焊口登報表!D:D,焊口登報表!C:C,,0),"yyyy/mm/dd"),"")</f>
        <v>2025/08/25</v>
      </c>
      <c r="L54" s="14" t="s">
        <v>275</v>
      </c>
      <c r="M54" s="63">
        <v>45897</v>
      </c>
      <c r="Q5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4" s="14" t="str">
        <f>IF(Weld_list[[#This Row],[組銲完成日期]]&lt;&gt;"","已完成","未完成")</f>
        <v>已完成</v>
      </c>
      <c r="S54" s="14">
        <v>1</v>
      </c>
    </row>
    <row r="55" spans="1:19" ht="20.25" hidden="1" customHeight="1">
      <c r="A55" s="14">
        <v>3</v>
      </c>
      <c r="B55" s="13" t="s">
        <v>88</v>
      </c>
      <c r="C55" s="49" t="s">
        <v>89</v>
      </c>
      <c r="D55" s="14">
        <v>25</v>
      </c>
      <c r="E55" s="14">
        <v>4</v>
      </c>
      <c r="F55" s="21">
        <f>IF(E55&lt;&gt;"",IF(Weld_list[[#This Row],[尺寸]]&lt;1,1,E55),"")</f>
        <v>4</v>
      </c>
      <c r="G55" s="14" t="s">
        <v>73</v>
      </c>
      <c r="H55" s="14">
        <v>304</v>
      </c>
      <c r="I55" s="14" t="s">
        <v>76</v>
      </c>
      <c r="J55" s="14" t="s">
        <v>95</v>
      </c>
      <c r="K55" s="14" t="str">
        <f>IFERROR(TEXT(_xlfn.XLOOKUP(_xlfn.CONCAT(Weld_list[[#This Row],[流水號]],"_",Weld_list[[#This Row],[銲口編號]]),焊口登報表!D:D,焊口登報表!C:C,,0),"yyyy/mm/dd"),"")</f>
        <v>2025/08/25</v>
      </c>
      <c r="L55" s="14" t="s">
        <v>270</v>
      </c>
      <c r="M55" s="63">
        <v>45897</v>
      </c>
      <c r="Q5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5" s="14" t="str">
        <f>IF(Weld_list[[#This Row],[組銲完成日期]]&lt;&gt;"","已完成","未完成")</f>
        <v>已完成</v>
      </c>
      <c r="S55" s="14">
        <v>1</v>
      </c>
    </row>
    <row r="56" spans="1:19" ht="20.25" hidden="1" customHeight="1">
      <c r="A56" s="14">
        <v>3</v>
      </c>
      <c r="B56" s="13" t="s">
        <v>88</v>
      </c>
      <c r="C56" s="49" t="s">
        <v>89</v>
      </c>
      <c r="D56" s="14" t="s">
        <v>106</v>
      </c>
      <c r="E56" s="14">
        <v>4</v>
      </c>
      <c r="F56" s="21">
        <f>IF(E56&lt;&gt;"",IF(Weld_list[[#This Row],[尺寸]]&lt;1,1,E56),"")</f>
        <v>4</v>
      </c>
      <c r="G56" s="14" t="s">
        <v>73</v>
      </c>
      <c r="H56" s="14">
        <v>304</v>
      </c>
      <c r="I56" s="14" t="s">
        <v>94</v>
      </c>
      <c r="J56" s="14" t="s">
        <v>90</v>
      </c>
      <c r="K56" s="14" t="str">
        <f>IFERROR(TEXT(_xlfn.XLOOKUP(_xlfn.CONCAT(Weld_list[[#This Row],[流水號]],"_",Weld_list[[#This Row],[銲口編號]]),焊口登報表!D:D,焊口登報表!C:C,,0),"yyyy/mm/dd"),"")</f>
        <v/>
      </c>
      <c r="M56" s="15" t="str">
        <f>IFERROR(TEXT(_xlfn.XLOOKUP(_xlfn.CONCAT(Weld_list[[#This Row],[流水號]],"_",Weld_list[[#This Row],[銲口編號]]),焊口登報表!F:F,焊口登報表!E:E,,0),"yyyy/mm/dd"),"")</f>
        <v/>
      </c>
      <c r="P56" s="15" t="e">
        <f>_xlfn.TEXTJOIN("-",TRUE,INDEX(_xlfn.TEXTSPLIT(B56,"-"),1),INDEX(_xlfn.TEXTSPLIT(B56,"-"),2),INDEX(_xlfn.TEXTSPLIT(B56,"-"),3),INDEX(_xlfn.TEXTSPLIT(B56,"-"),4),INDEX(_xlfn.TEXTSPLIT(B56,"-"),5))</f>
        <v>#REF!</v>
      </c>
      <c r="Q5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6" s="14" t="str">
        <f>IF(Weld_list[[#This Row],[組銲完成日期]]&lt;&gt;"","已完成","未完成")</f>
        <v>未完成</v>
      </c>
      <c r="S56" s="14">
        <v>1</v>
      </c>
    </row>
    <row r="57" spans="1:19" ht="20.25" hidden="1" customHeight="1">
      <c r="A57" s="14">
        <v>3</v>
      </c>
      <c r="B57" s="13" t="s">
        <v>88</v>
      </c>
      <c r="C57" s="49" t="s">
        <v>89</v>
      </c>
      <c r="D57" s="14">
        <v>26</v>
      </c>
      <c r="E57" s="14">
        <v>1.5</v>
      </c>
      <c r="F57" s="21">
        <f>IF(E57&lt;&gt;"",IF(Weld_list[[#This Row],[尺寸]]&lt;1,1,E57),"")</f>
        <v>1.5</v>
      </c>
      <c r="G57" s="14" t="s">
        <v>92</v>
      </c>
      <c r="H57" s="14">
        <v>304</v>
      </c>
      <c r="I57" s="14" t="s">
        <v>101</v>
      </c>
      <c r="J57" s="14" t="s">
        <v>95</v>
      </c>
      <c r="K57" s="14" t="str">
        <f>IFERROR(TEXT(_xlfn.XLOOKUP(_xlfn.CONCAT(Weld_list[[#This Row],[流水號]],"_",Weld_list[[#This Row],[銲口編號]]),焊口登報表!D:D,焊口登報表!C:C,,0),"yyyy/mm/dd"),"")</f>
        <v>2025/08/25</v>
      </c>
      <c r="L57" s="14" t="s">
        <v>275</v>
      </c>
      <c r="M57" s="63">
        <v>45897</v>
      </c>
      <c r="Q5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7" s="14" t="str">
        <f>IF(Weld_list[[#This Row],[組銲完成日期]]&lt;&gt;"","已完成","未完成")</f>
        <v>已完成</v>
      </c>
      <c r="S57" s="14">
        <v>1</v>
      </c>
    </row>
    <row r="58" spans="1:19" ht="20.25" hidden="1" customHeight="1">
      <c r="A58" s="14">
        <v>3</v>
      </c>
      <c r="B58" s="13" t="s">
        <v>88</v>
      </c>
      <c r="C58" s="49" t="s">
        <v>89</v>
      </c>
      <c r="D58" s="14">
        <v>27</v>
      </c>
      <c r="E58" s="14">
        <v>1.5</v>
      </c>
      <c r="F58" s="21">
        <f>IF(E58&lt;&gt;"",IF(Weld_list[[#This Row],[尺寸]]&lt;1,1,E58),"")</f>
        <v>1.5</v>
      </c>
      <c r="G58" s="14" t="s">
        <v>92</v>
      </c>
      <c r="H58" s="14">
        <v>304</v>
      </c>
      <c r="I58" s="14" t="s">
        <v>101</v>
      </c>
      <c r="J58" s="14" t="s">
        <v>95</v>
      </c>
      <c r="K58" s="14" t="str">
        <f>IFERROR(TEXT(_xlfn.XLOOKUP(_xlfn.CONCAT(Weld_list[[#This Row],[流水號]],"_",Weld_list[[#This Row],[銲口編號]]),焊口登報表!D:D,焊口登報表!C:C,,0),"yyyy/mm/dd"),"")</f>
        <v>2025/08/25</v>
      </c>
      <c r="L58" s="14" t="s">
        <v>275</v>
      </c>
      <c r="M58" s="63">
        <v>45897</v>
      </c>
      <c r="Q5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8" s="14" t="str">
        <f>IF(Weld_list[[#This Row],[組銲完成日期]]&lt;&gt;"","已完成","未完成")</f>
        <v>已完成</v>
      </c>
      <c r="S58" s="14">
        <v>1</v>
      </c>
    </row>
    <row r="59" spans="1:19" ht="20.25" hidden="1" customHeight="1">
      <c r="A59" s="14">
        <v>3</v>
      </c>
      <c r="B59" s="13" t="s">
        <v>88</v>
      </c>
      <c r="C59" s="49" t="s">
        <v>89</v>
      </c>
      <c r="D59" s="14">
        <v>28</v>
      </c>
      <c r="E59" s="14">
        <v>1.5</v>
      </c>
      <c r="F59" s="21">
        <f>IF(E59&lt;&gt;"",IF(Weld_list[[#This Row],[尺寸]]&lt;1,1,E59),"")</f>
        <v>1.5</v>
      </c>
      <c r="G59" s="14" t="s">
        <v>92</v>
      </c>
      <c r="H59" s="14">
        <v>304</v>
      </c>
      <c r="I59" s="14" t="s">
        <v>101</v>
      </c>
      <c r="J59" s="14" t="s">
        <v>95</v>
      </c>
      <c r="K59" s="14" t="str">
        <f>IFERROR(TEXT(_xlfn.XLOOKUP(_xlfn.CONCAT(Weld_list[[#This Row],[流水號]],"_",Weld_list[[#This Row],[銲口編號]]),焊口登報表!D:D,焊口登報表!C:C,,0),"yyyy/mm/dd"),"")</f>
        <v>2025/08/25</v>
      </c>
      <c r="L59" s="14" t="s">
        <v>275</v>
      </c>
      <c r="M59" s="63">
        <v>45897</v>
      </c>
      <c r="Q5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59" s="14" t="str">
        <f>IF(Weld_list[[#This Row],[組銲完成日期]]&lt;&gt;"","已完成","未完成")</f>
        <v>已完成</v>
      </c>
      <c r="S59" s="14">
        <v>1</v>
      </c>
    </row>
    <row r="60" spans="1:19" ht="20.25" hidden="1" customHeight="1">
      <c r="A60" s="14">
        <v>3</v>
      </c>
      <c r="B60" s="13" t="s">
        <v>88</v>
      </c>
      <c r="C60" s="49" t="s">
        <v>89</v>
      </c>
      <c r="D60" s="14">
        <v>29</v>
      </c>
      <c r="E60" s="14">
        <v>1.5</v>
      </c>
      <c r="F60" s="21">
        <f>IF(E60&lt;&gt;"",IF(Weld_list[[#This Row],[尺寸]]&lt;1,1,E60),"")</f>
        <v>1.5</v>
      </c>
      <c r="G60" s="14" t="s">
        <v>92</v>
      </c>
      <c r="H60" s="14">
        <v>304</v>
      </c>
      <c r="I60" s="14" t="s">
        <v>257</v>
      </c>
      <c r="J60" s="14" t="s">
        <v>90</v>
      </c>
      <c r="K60" s="14" t="str">
        <f>IFERROR(TEXT(_xlfn.XLOOKUP(_xlfn.CONCAT(Weld_list[[#This Row],[流水號]],"_",Weld_list[[#This Row],[銲口編號]]),焊口登報表!D:D,焊口登報表!C:C,,0),"yyyy/mm/dd"),"")</f>
        <v>2025/08/25</v>
      </c>
      <c r="P60" s="15" t="e">
        <f>_xlfn.TEXTJOIN("-",TRUE,INDEX(_xlfn.TEXTSPLIT(B60,"-"),1),INDEX(_xlfn.TEXTSPLIT(B60,"-"),2),INDEX(_xlfn.TEXTSPLIT(B60,"-"),3),INDEX(_xlfn.TEXTSPLIT(B60,"-"),4),INDEX(_xlfn.TEXTSPLIT(B60,"-"),5))</f>
        <v>#REF!</v>
      </c>
      <c r="Q6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\\192.168.1.50\3勝一\SE-37(彰濱)\01.工程圖面\01.ISO\ISO\3.(UG)FO-90401.-S1P1FU-02.pdf</v>
      </c>
      <c r="R60" s="14" t="str">
        <f>IF(Weld_list[[#This Row],[組銲完成日期]]&lt;&gt;"","已完成","未完成")</f>
        <v>已完成</v>
      </c>
      <c r="S60" s="14">
        <v>1</v>
      </c>
    </row>
    <row r="61" spans="1:19" ht="20.25" hidden="1" customHeight="1">
      <c r="A61" s="14">
        <v>4</v>
      </c>
      <c r="B61" s="13" t="s">
        <v>91</v>
      </c>
      <c r="C61" s="49" t="s">
        <v>85</v>
      </c>
      <c r="D61" s="14">
        <v>1</v>
      </c>
      <c r="E61" s="14">
        <v>6</v>
      </c>
      <c r="F61" s="21">
        <f>IF(E61&lt;&gt;"",IF(Weld_list[[#This Row],[尺寸]]&lt;1,1,E61),"")</f>
        <v>6</v>
      </c>
      <c r="G61" s="14" t="s">
        <v>92</v>
      </c>
      <c r="H61" s="14" t="s">
        <v>93</v>
      </c>
      <c r="I61" s="14" t="s">
        <v>54</v>
      </c>
      <c r="J61" s="14" t="s">
        <v>95</v>
      </c>
      <c r="K61" s="14" t="str">
        <f>IFERROR(TEXT(_xlfn.XLOOKUP(_xlfn.CONCAT(Weld_list[[#This Row],[流水號]],"_",Weld_list[[#This Row],[銲口編號]]),焊口登報表!D:D,焊口登報表!C:C,,0),"yyyy/mm/dd"),"")</f>
        <v>2025/08/06</v>
      </c>
      <c r="L61" s="14" t="s">
        <v>270</v>
      </c>
      <c r="M61" s="63">
        <v>45877</v>
      </c>
      <c r="Q61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1" s="14"/>
      <c r="S61" s="14">
        <v>1</v>
      </c>
    </row>
    <row r="62" spans="1:19" ht="20.25" hidden="1" customHeight="1">
      <c r="A62" s="14">
        <v>4</v>
      </c>
      <c r="B62" s="13" t="s">
        <v>91</v>
      </c>
      <c r="C62" s="49" t="s">
        <v>85</v>
      </c>
      <c r="D62" s="14">
        <v>2</v>
      </c>
      <c r="E62" s="14">
        <v>6</v>
      </c>
      <c r="F62" s="21">
        <f>IF(E62&lt;&gt;"",IF(Weld_list[[#This Row],[尺寸]]&lt;1,1,E62),"")</f>
        <v>6</v>
      </c>
      <c r="G62" s="14" t="s">
        <v>92</v>
      </c>
      <c r="H62" s="14" t="s">
        <v>93</v>
      </c>
      <c r="I62" s="14" t="s">
        <v>54</v>
      </c>
      <c r="J62" s="14" t="s">
        <v>95</v>
      </c>
      <c r="K62" s="14" t="str">
        <f>IFERROR(TEXT(_xlfn.XLOOKUP(_xlfn.CONCAT(Weld_list[[#This Row],[流水號]],"_",Weld_list[[#This Row],[銲口編號]]),焊口登報表!D:D,焊口登報表!C:C,,0),"yyyy/mm/dd"),"")</f>
        <v>2025/08/06</v>
      </c>
      <c r="L62" s="14" t="s">
        <v>270</v>
      </c>
      <c r="M62" s="63">
        <v>45877</v>
      </c>
      <c r="Q62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2" s="14"/>
      <c r="S62" s="14">
        <v>1</v>
      </c>
    </row>
    <row r="63" spans="1:19" ht="20.25" hidden="1" customHeight="1">
      <c r="A63" s="14">
        <v>4</v>
      </c>
      <c r="B63" s="13" t="s">
        <v>91</v>
      </c>
      <c r="C63" s="49" t="s">
        <v>85</v>
      </c>
      <c r="D63" s="14">
        <v>3</v>
      </c>
      <c r="E63" s="14">
        <v>6</v>
      </c>
      <c r="F63" s="21">
        <f>IF(E63&lt;&gt;"",IF(Weld_list[[#This Row],[尺寸]]&lt;1,1,E63),"")</f>
        <v>6</v>
      </c>
      <c r="G63" s="14" t="s">
        <v>92</v>
      </c>
      <c r="H63" s="14" t="s">
        <v>93</v>
      </c>
      <c r="I63" s="14" t="s">
        <v>54</v>
      </c>
      <c r="J63" s="14" t="s">
        <v>95</v>
      </c>
      <c r="K63" s="14" t="str">
        <f>IFERROR(TEXT(_xlfn.XLOOKUP(_xlfn.CONCAT(Weld_list[[#This Row],[流水號]],"_",Weld_list[[#This Row],[銲口編號]]),焊口登報表!D:D,焊口登報表!C:C,,0),"yyyy/mm/dd"),"")</f>
        <v>2025/08/06</v>
      </c>
      <c r="L63" s="14" t="s">
        <v>270</v>
      </c>
      <c r="M63" s="63">
        <v>45877</v>
      </c>
      <c r="Q63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3" s="14"/>
      <c r="S63" s="14">
        <v>1</v>
      </c>
    </row>
    <row r="64" spans="1:19" ht="20.25" hidden="1" customHeight="1">
      <c r="A64" s="14">
        <v>4</v>
      </c>
      <c r="B64" s="13" t="s">
        <v>91</v>
      </c>
      <c r="C64" s="49" t="s">
        <v>85</v>
      </c>
      <c r="D64" s="14">
        <v>4</v>
      </c>
      <c r="E64" s="14">
        <v>6</v>
      </c>
      <c r="F64" s="21">
        <f>IF(E64&lt;&gt;"",IF(Weld_list[[#This Row],[尺寸]]&lt;1,1,E64),"")</f>
        <v>6</v>
      </c>
      <c r="G64" s="14" t="s">
        <v>92</v>
      </c>
      <c r="H64" s="14" t="s">
        <v>93</v>
      </c>
      <c r="I64" s="14" t="s">
        <v>54</v>
      </c>
      <c r="J64" s="14" t="s">
        <v>95</v>
      </c>
      <c r="K64" s="14" t="str">
        <f>IFERROR(TEXT(_xlfn.XLOOKUP(_xlfn.CONCAT(Weld_list[[#This Row],[流水號]],"_",Weld_list[[#This Row],[銲口編號]]),焊口登報表!D:D,焊口登報表!C:C,,0),"yyyy/mm/dd"),"")</f>
        <v>2025/12/20</v>
      </c>
      <c r="L64" s="14" t="s">
        <v>270</v>
      </c>
      <c r="M64" s="15" t="str">
        <f>IFERROR(TEXT(_xlfn.XLOOKUP(_xlfn.CONCAT(Weld_list[[#This Row],[流水號]],"_",Weld_list[[#This Row],[銲口編號]]),焊口登報表!F:F,焊口登報表!E:E,,0),"yyyy/mm/dd"),"")</f>
        <v>2025/12/21</v>
      </c>
      <c r="Q64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4" s="14"/>
      <c r="S64" s="14">
        <v>1</v>
      </c>
    </row>
    <row r="65" spans="1:19" ht="20.25" hidden="1" customHeight="1">
      <c r="A65" s="14">
        <v>4</v>
      </c>
      <c r="B65" s="13" t="s">
        <v>91</v>
      </c>
      <c r="C65" s="49" t="s">
        <v>85</v>
      </c>
      <c r="D65" s="14">
        <v>5</v>
      </c>
      <c r="E65" s="14">
        <v>6</v>
      </c>
      <c r="F65" s="21">
        <f>IF(E65&lt;&gt;"",IF(Weld_list[[#This Row],[尺寸]]&lt;1,1,E65),"")</f>
        <v>6</v>
      </c>
      <c r="G65" s="14" t="s">
        <v>92</v>
      </c>
      <c r="H65" s="14" t="s">
        <v>93</v>
      </c>
      <c r="I65" s="14" t="s">
        <v>54</v>
      </c>
      <c r="J65" s="14" t="s">
        <v>95</v>
      </c>
      <c r="K65" s="14" t="str">
        <f>IFERROR(TEXT(_xlfn.XLOOKUP(_xlfn.CONCAT(Weld_list[[#This Row],[流水號]],"_",Weld_list[[#This Row],[銲口編號]]),焊口登報表!D:D,焊口登報表!C:C,,0),"yyyy/mm/dd"),"")</f>
        <v>2025/08/06</v>
      </c>
      <c r="L65" s="14" t="s">
        <v>270</v>
      </c>
      <c r="M65" s="63">
        <v>45877</v>
      </c>
      <c r="Q65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5" s="14"/>
      <c r="S65" s="14">
        <v>1</v>
      </c>
    </row>
    <row r="66" spans="1:19" ht="20.25" hidden="1" customHeight="1">
      <c r="A66" s="14">
        <v>4</v>
      </c>
      <c r="B66" s="13" t="s">
        <v>91</v>
      </c>
      <c r="C66" s="49" t="s">
        <v>85</v>
      </c>
      <c r="D66" s="14">
        <v>6</v>
      </c>
      <c r="E66" s="14">
        <v>6</v>
      </c>
      <c r="F66" s="21">
        <f>IF(E66&lt;&gt;"",IF(Weld_list[[#This Row],[尺寸]]&lt;1,1,E66),"")</f>
        <v>6</v>
      </c>
      <c r="G66" s="14" t="s">
        <v>92</v>
      </c>
      <c r="H66" s="14" t="s">
        <v>93</v>
      </c>
      <c r="I66" s="14" t="s">
        <v>54</v>
      </c>
      <c r="J66" s="14" t="s">
        <v>95</v>
      </c>
      <c r="K66" s="14" t="str">
        <f>IFERROR(TEXT(_xlfn.XLOOKUP(_xlfn.CONCAT(Weld_list[[#This Row],[流水號]],"_",Weld_list[[#This Row],[銲口編號]]),焊口登報表!D:D,焊口登報表!C:C,,0),"yyyy/mm/dd"),"")</f>
        <v>2025/08/06</v>
      </c>
      <c r="L66" s="14" t="s">
        <v>270</v>
      </c>
      <c r="M66" s="63">
        <v>45877</v>
      </c>
      <c r="Q66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6" s="14"/>
      <c r="S66" s="14">
        <v>1</v>
      </c>
    </row>
    <row r="67" spans="1:19" ht="20.25" hidden="1" customHeight="1">
      <c r="A67" s="14">
        <v>4</v>
      </c>
      <c r="B67" s="13" t="s">
        <v>91</v>
      </c>
      <c r="C67" s="49" t="s">
        <v>85</v>
      </c>
      <c r="D67" s="14">
        <v>7</v>
      </c>
      <c r="E67" s="14">
        <v>6</v>
      </c>
      <c r="F67" s="21">
        <f>IF(E67&lt;&gt;"",IF(Weld_list[[#This Row],[尺寸]]&lt;1,1,E67),"")</f>
        <v>6</v>
      </c>
      <c r="G67" s="14" t="s">
        <v>92</v>
      </c>
      <c r="H67" s="14" t="s">
        <v>93</v>
      </c>
      <c r="I67" s="14" t="s">
        <v>54</v>
      </c>
      <c r="J67" s="14" t="s">
        <v>95</v>
      </c>
      <c r="K67" s="14" t="str">
        <f>IFERROR(TEXT(_xlfn.XLOOKUP(_xlfn.CONCAT(Weld_list[[#This Row],[流水號]],"_",Weld_list[[#This Row],[銲口編號]]),焊口登報表!D:D,焊口登報表!C:C,,0),"yyyy/mm/dd"),"")</f>
        <v>2025/12/20</v>
      </c>
      <c r="L67" s="14" t="s">
        <v>270</v>
      </c>
      <c r="M67" s="15" t="str">
        <f>IFERROR(TEXT(_xlfn.XLOOKUP(_xlfn.CONCAT(Weld_list[[#This Row],[流水號]],"_",Weld_list[[#This Row],[銲口編號]]),焊口登報表!F:F,焊口登報表!E:E,,0),"yyyy/mm/dd"),"")</f>
        <v>2025/12/21</v>
      </c>
      <c r="Q67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7" s="14"/>
      <c r="S67" s="14">
        <v>1</v>
      </c>
    </row>
    <row r="68" spans="1:19" ht="20.25" hidden="1" customHeight="1">
      <c r="A68" s="14">
        <v>4</v>
      </c>
      <c r="B68" s="13" t="s">
        <v>91</v>
      </c>
      <c r="C68" s="49" t="s">
        <v>85</v>
      </c>
      <c r="D68" s="14">
        <v>8</v>
      </c>
      <c r="E68" s="14">
        <v>6</v>
      </c>
      <c r="F68" s="21">
        <f>IF(E68&lt;&gt;"",IF(Weld_list[[#This Row],[尺寸]]&lt;1,1,E68),"")</f>
        <v>6</v>
      </c>
      <c r="G68" s="14" t="s">
        <v>92</v>
      </c>
      <c r="H68" s="14" t="s">
        <v>93</v>
      </c>
      <c r="I68" s="14" t="s">
        <v>54</v>
      </c>
      <c r="J68" s="14" t="s">
        <v>95</v>
      </c>
      <c r="K68" s="14" t="str">
        <f>IFERROR(TEXT(_xlfn.XLOOKUP(_xlfn.CONCAT(Weld_list[[#This Row],[流水號]],"_",Weld_list[[#This Row],[銲口編號]]),焊口登報表!D:D,焊口登報表!C:C,,0),"yyyy/mm/dd"),"")</f>
        <v>2025/08/06</v>
      </c>
      <c r="L68" s="14" t="s">
        <v>270</v>
      </c>
      <c r="M68" s="63">
        <v>45877</v>
      </c>
      <c r="Q68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8" s="14"/>
      <c r="S68" s="14">
        <v>1</v>
      </c>
    </row>
    <row r="69" spans="1:19" ht="20.25" hidden="1" customHeight="1">
      <c r="A69" s="14">
        <v>4</v>
      </c>
      <c r="B69" s="13" t="s">
        <v>91</v>
      </c>
      <c r="C69" s="49" t="s">
        <v>85</v>
      </c>
      <c r="D69" s="14">
        <v>9</v>
      </c>
      <c r="E69" s="14">
        <v>6</v>
      </c>
      <c r="F69" s="21">
        <f>IF(E69&lt;&gt;"",IF(Weld_list[[#This Row],[尺寸]]&lt;1,1,E69),"")</f>
        <v>6</v>
      </c>
      <c r="G69" s="14" t="s">
        <v>92</v>
      </c>
      <c r="H69" s="14" t="s">
        <v>93</v>
      </c>
      <c r="I69" s="14" t="s">
        <v>54</v>
      </c>
      <c r="J69" s="14" t="s">
        <v>95</v>
      </c>
      <c r="K69" s="14" t="str">
        <f>IFERROR(TEXT(_xlfn.XLOOKUP(_xlfn.CONCAT(Weld_list[[#This Row],[流水號]],"_",Weld_list[[#This Row],[銲口編號]]),焊口登報表!D:D,焊口登報表!C:C,,0),"yyyy/mm/dd"),"")</f>
        <v>2025/08/06</v>
      </c>
      <c r="L69" s="14" t="s">
        <v>270</v>
      </c>
      <c r="M69" s="63">
        <v>45877</v>
      </c>
      <c r="Q69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69" s="14"/>
      <c r="S69" s="14">
        <v>1</v>
      </c>
    </row>
    <row r="70" spans="1:19" ht="20.25" hidden="1" customHeight="1">
      <c r="A70" s="14">
        <v>4</v>
      </c>
      <c r="B70" s="13" t="s">
        <v>91</v>
      </c>
      <c r="C70" s="49" t="s">
        <v>85</v>
      </c>
      <c r="D70" s="14">
        <v>10</v>
      </c>
      <c r="E70" s="14">
        <v>6</v>
      </c>
      <c r="F70" s="21">
        <f>IF(E70&lt;&gt;"",IF(Weld_list[[#This Row],[尺寸]]&lt;1,1,E70),"")</f>
        <v>6</v>
      </c>
      <c r="G70" s="14" t="s">
        <v>92</v>
      </c>
      <c r="H70" s="14" t="s">
        <v>93</v>
      </c>
      <c r="I70" s="14" t="s">
        <v>54</v>
      </c>
      <c r="J70" s="14" t="s">
        <v>95</v>
      </c>
      <c r="K70" s="14" t="str">
        <f>IFERROR(TEXT(_xlfn.XLOOKUP(_xlfn.CONCAT(Weld_list[[#This Row],[流水號]],"_",Weld_list[[#This Row],[銲口編號]]),焊口登報表!D:D,焊口登報表!C:C,,0),"yyyy/mm/dd"),"")</f>
        <v>2025/08/06</v>
      </c>
      <c r="L70" s="14" t="s">
        <v>270</v>
      </c>
      <c r="M70" s="63">
        <v>45877</v>
      </c>
      <c r="Q70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70" s="14"/>
      <c r="S70" s="14">
        <v>1</v>
      </c>
    </row>
    <row r="71" spans="1:19" ht="20.25" hidden="1" customHeight="1">
      <c r="A71" s="14">
        <v>4</v>
      </c>
      <c r="B71" s="13" t="s">
        <v>91</v>
      </c>
      <c r="C71" s="49" t="s">
        <v>85</v>
      </c>
      <c r="D71" s="14">
        <v>11</v>
      </c>
      <c r="E71" s="14">
        <v>6</v>
      </c>
      <c r="F71" s="21">
        <f>IF(E71&lt;&gt;"",IF(Weld_list[[#This Row],[尺寸]]&lt;1,1,E71),"")</f>
        <v>6</v>
      </c>
      <c r="G71" s="14" t="s">
        <v>92</v>
      </c>
      <c r="H71" s="14" t="s">
        <v>93</v>
      </c>
      <c r="I71" s="14" t="s">
        <v>54</v>
      </c>
      <c r="J71" s="14" t="s">
        <v>95</v>
      </c>
      <c r="K71" s="14" t="str">
        <f>IFERROR(TEXT(_xlfn.XLOOKUP(_xlfn.CONCAT(Weld_list[[#This Row],[流水號]],"_",Weld_list[[#This Row],[銲口編號]]),焊口登報表!D:D,焊口登報表!C:C,,0),"yyyy/mm/dd"),"")</f>
        <v>2025/08/06</v>
      </c>
      <c r="L71" s="14" t="s">
        <v>270</v>
      </c>
      <c r="M71" s="63">
        <v>45877</v>
      </c>
      <c r="Q71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71" s="14"/>
      <c r="S71" s="14">
        <v>1</v>
      </c>
    </row>
    <row r="72" spans="1:19" ht="20.25" hidden="1" customHeight="1">
      <c r="A72" s="14">
        <v>4</v>
      </c>
      <c r="B72" s="13" t="s">
        <v>91</v>
      </c>
      <c r="C72" s="49" t="s">
        <v>85</v>
      </c>
      <c r="D72" s="14" t="s">
        <v>104</v>
      </c>
      <c r="E72" s="14">
        <v>6</v>
      </c>
      <c r="F72" s="21">
        <f>IF(E72&lt;&gt;"",IF(Weld_list[[#This Row],[尺寸]]&lt;1,1,E72),"")</f>
        <v>6</v>
      </c>
      <c r="G72" s="14" t="s">
        <v>92</v>
      </c>
      <c r="H72" s="14" t="s">
        <v>93</v>
      </c>
      <c r="I72" s="14" t="s">
        <v>94</v>
      </c>
      <c r="J72" s="14" t="s">
        <v>90</v>
      </c>
      <c r="K72" s="14" t="str">
        <f>IFERROR(TEXT(_xlfn.XLOOKUP(_xlfn.CONCAT(Weld_list[[#This Row],[流水號]],"_",Weld_list[[#This Row],[銲口編號]]),焊口登報表!D:D,焊口登報表!C:C,,0),"yyyy/mm/dd"),"")</f>
        <v/>
      </c>
      <c r="M72" s="15" t="str">
        <f>IFERROR(TEXT(_xlfn.XLOOKUP(_xlfn.CONCAT(Weld_list[[#This Row],[流水號]],"_",Weld_list[[#This Row],[銲口編號]]),焊口登報表!F:F,焊口登報表!E:E,,0),"yyyy/mm/dd"),"")</f>
        <v/>
      </c>
      <c r="Q72" s="18" t="str">
        <f>HYPERLINK(_xlfn.CONCAT("\\192.168.1.50\3勝一\SE-37(彰濱)\01.工程圖面\01.ISO\ISO\",Weld_list[[#This Row],[流水號]],".",Weld_list[[#This Row],[DWG NO]],".pdf"))</f>
        <v>\\192.168.1.50\3勝一\SE-37(彰濱)\01.工程圖面\01.ISO\ISO\4.(UG)FW-90201-C1AU-01.pdf</v>
      </c>
      <c r="R72" s="14"/>
      <c r="S72" s="14">
        <v>1</v>
      </c>
    </row>
    <row r="73" spans="1:19" ht="20.25" hidden="1" customHeight="1">
      <c r="A73" s="14">
        <v>5</v>
      </c>
      <c r="B73" s="13" t="s">
        <v>96</v>
      </c>
      <c r="C73" s="49" t="s">
        <v>97</v>
      </c>
      <c r="D73" s="14">
        <v>1</v>
      </c>
      <c r="E73" s="14">
        <v>8</v>
      </c>
      <c r="F73" s="21">
        <f>IF(E73&lt;&gt;"",IF(Weld_list[[#This Row],[尺寸]]&lt;1,1,E73),"")</f>
        <v>8</v>
      </c>
      <c r="G73" s="14" t="s">
        <v>92</v>
      </c>
      <c r="H73" s="14" t="s">
        <v>93</v>
      </c>
      <c r="I73" s="14" t="s">
        <v>76</v>
      </c>
      <c r="J73" s="14" t="s">
        <v>95</v>
      </c>
      <c r="K73" s="14" t="str">
        <f>IFERROR(TEXT(_xlfn.XLOOKUP(_xlfn.CONCAT(Weld_list[[#This Row],[流水號]],"_",Weld_list[[#This Row],[銲口編號]]),焊口登報表!D:D,焊口登報表!C:C,,0),"yyyy/mm/dd"),"")</f>
        <v>2025/08/06</v>
      </c>
      <c r="L73" s="14" t="s">
        <v>270</v>
      </c>
      <c r="M73" s="63">
        <v>45877</v>
      </c>
      <c r="Q73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73" s="14"/>
      <c r="S73" s="14">
        <v>1</v>
      </c>
    </row>
    <row r="74" spans="1:19" ht="20.25" hidden="1" customHeight="1">
      <c r="A74" s="14">
        <v>5</v>
      </c>
      <c r="B74" s="13" t="s">
        <v>96</v>
      </c>
      <c r="C74" s="49" t="s">
        <v>97</v>
      </c>
      <c r="D74" s="14">
        <v>2</v>
      </c>
      <c r="E74" s="14">
        <v>8</v>
      </c>
      <c r="F74" s="21">
        <f>IF(E74&lt;&gt;"",IF(Weld_list[[#This Row],[尺寸]]&lt;1,1,E74),"")</f>
        <v>8</v>
      </c>
      <c r="G74" s="14" t="s">
        <v>92</v>
      </c>
      <c r="H74" s="14" t="s">
        <v>93</v>
      </c>
      <c r="I74" s="14" t="s">
        <v>76</v>
      </c>
      <c r="J74" s="14" t="s">
        <v>95</v>
      </c>
      <c r="K74" s="14" t="str">
        <f>IFERROR(TEXT(_xlfn.XLOOKUP(_xlfn.CONCAT(Weld_list[[#This Row],[流水號]],"_",Weld_list[[#This Row],[銲口編號]]),焊口登報表!D:D,焊口登報表!C:C,,0),"yyyy/mm/dd"),"")</f>
        <v>2025/08/06</v>
      </c>
      <c r="L74" s="14" t="s">
        <v>270</v>
      </c>
      <c r="M74" s="63">
        <v>45877</v>
      </c>
      <c r="Q74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74" s="14"/>
      <c r="S74" s="14">
        <v>1</v>
      </c>
    </row>
    <row r="75" spans="1:19" ht="20.25" hidden="1" customHeight="1">
      <c r="A75" s="14">
        <v>5</v>
      </c>
      <c r="B75" s="13" t="s">
        <v>96</v>
      </c>
      <c r="C75" s="49" t="s">
        <v>97</v>
      </c>
      <c r="D75" s="14">
        <v>3</v>
      </c>
      <c r="E75" s="14">
        <v>8</v>
      </c>
      <c r="F75" s="21">
        <f>IF(E75&lt;&gt;"",IF(Weld_list[[#This Row],[尺寸]]&lt;1,1,E75),"")</f>
        <v>8</v>
      </c>
      <c r="G75" s="14" t="s">
        <v>92</v>
      </c>
      <c r="H75" s="14" t="s">
        <v>93</v>
      </c>
      <c r="I75" s="14" t="s">
        <v>76</v>
      </c>
      <c r="J75" s="14" t="s">
        <v>95</v>
      </c>
      <c r="K75" s="14" t="str">
        <f>IFERROR(TEXT(_xlfn.XLOOKUP(_xlfn.CONCAT(Weld_list[[#This Row],[流水號]],"_",Weld_list[[#This Row],[銲口編號]]),焊口登報表!D:D,焊口登報表!C:C,,0),"yyyy/mm/dd"),"")</f>
        <v>2025/08/06</v>
      </c>
      <c r="L75" s="14" t="s">
        <v>270</v>
      </c>
      <c r="M75" s="63">
        <v>45877</v>
      </c>
      <c r="Q75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75" s="14"/>
      <c r="S75" s="14">
        <v>1</v>
      </c>
    </row>
    <row r="76" spans="1:19" ht="20.25" hidden="1" customHeight="1">
      <c r="A76" s="14">
        <v>5</v>
      </c>
      <c r="B76" s="13" t="s">
        <v>96</v>
      </c>
      <c r="C76" s="49" t="s">
        <v>97</v>
      </c>
      <c r="D76" s="14">
        <v>4</v>
      </c>
      <c r="E76" s="14">
        <v>8</v>
      </c>
      <c r="F76" s="21">
        <f>IF(E76&lt;&gt;"",IF(Weld_list[[#This Row],[尺寸]]&lt;1,1,E76),"")</f>
        <v>8</v>
      </c>
      <c r="G76" s="14" t="s">
        <v>92</v>
      </c>
      <c r="H76" s="14" t="s">
        <v>93</v>
      </c>
      <c r="I76" s="14" t="s">
        <v>76</v>
      </c>
      <c r="J76" s="14" t="s">
        <v>95</v>
      </c>
      <c r="K76" s="14" t="str">
        <f>IFERROR(TEXT(_xlfn.XLOOKUP(_xlfn.CONCAT(Weld_list[[#This Row],[流水號]],"_",Weld_list[[#This Row],[銲口編號]]),焊口登報表!D:D,焊口登報表!C:C,,0),"yyyy/mm/dd"),"")</f>
        <v>2025/08/06</v>
      </c>
      <c r="L76" s="14" t="s">
        <v>270</v>
      </c>
      <c r="M76" s="63">
        <v>45877</v>
      </c>
      <c r="Q76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76" s="14"/>
      <c r="S76" s="14">
        <v>1</v>
      </c>
    </row>
    <row r="77" spans="1:19" ht="20.25" hidden="1" customHeight="1">
      <c r="A77" s="14">
        <v>5</v>
      </c>
      <c r="B77" s="13" t="s">
        <v>96</v>
      </c>
      <c r="C77" s="49" t="s">
        <v>97</v>
      </c>
      <c r="D77" s="14">
        <v>5</v>
      </c>
      <c r="E77" s="14">
        <v>8</v>
      </c>
      <c r="F77" s="21">
        <f>IF(E77&lt;&gt;"",IF(Weld_list[[#This Row],[尺寸]]&lt;1,1,E77),"")</f>
        <v>8</v>
      </c>
      <c r="G77" s="14" t="s">
        <v>92</v>
      </c>
      <c r="H77" s="14" t="s">
        <v>93</v>
      </c>
      <c r="I77" s="14" t="s">
        <v>76</v>
      </c>
      <c r="J77" s="14" t="s">
        <v>95</v>
      </c>
      <c r="K77" s="14" t="str">
        <f>IFERROR(TEXT(_xlfn.XLOOKUP(_xlfn.CONCAT(Weld_list[[#This Row],[流水號]],"_",Weld_list[[#This Row],[銲口編號]]),焊口登報表!D:D,焊口登報表!C:C,,0),"yyyy/mm/dd"),"")</f>
        <v>2025/08/06</v>
      </c>
      <c r="L77" s="14" t="s">
        <v>270</v>
      </c>
      <c r="M77" s="63">
        <v>45877</v>
      </c>
      <c r="Q77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77" s="14"/>
      <c r="S77" s="14">
        <v>1</v>
      </c>
    </row>
    <row r="78" spans="1:19" ht="20.25" hidden="1" customHeight="1">
      <c r="A78" s="14">
        <v>5</v>
      </c>
      <c r="B78" s="13" t="s">
        <v>96</v>
      </c>
      <c r="C78" s="49" t="s">
        <v>97</v>
      </c>
      <c r="D78" s="73">
        <v>6</v>
      </c>
      <c r="E78" s="14">
        <v>8</v>
      </c>
      <c r="F78" s="21">
        <f>IF(E78&lt;&gt;"",IF(Weld_list[[#This Row],[尺寸]]&lt;1,1,E78),"")</f>
        <v>8</v>
      </c>
      <c r="G78" s="14" t="s">
        <v>92</v>
      </c>
      <c r="H78" s="14" t="s">
        <v>93</v>
      </c>
      <c r="I78" s="14" t="s">
        <v>76</v>
      </c>
      <c r="J78" s="14" t="s">
        <v>95</v>
      </c>
      <c r="K78" s="63">
        <v>45974</v>
      </c>
      <c r="L78" s="14" t="s">
        <v>270</v>
      </c>
      <c r="M78" s="63">
        <v>45977</v>
      </c>
      <c r="Q78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78" s="14"/>
      <c r="S78" s="14">
        <v>1</v>
      </c>
    </row>
    <row r="79" spans="1:19" ht="20.25" hidden="1" customHeight="1">
      <c r="A79" s="14">
        <v>5</v>
      </c>
      <c r="B79" s="13" t="s">
        <v>96</v>
      </c>
      <c r="C79" s="49" t="s">
        <v>97</v>
      </c>
      <c r="D79" s="14">
        <v>7</v>
      </c>
      <c r="E79" s="14">
        <v>8</v>
      </c>
      <c r="F79" s="21">
        <f>IF(E79&lt;&gt;"",IF(Weld_list[[#This Row],[尺寸]]&lt;1,1,E79),"")</f>
        <v>8</v>
      </c>
      <c r="G79" s="14" t="s">
        <v>92</v>
      </c>
      <c r="H79" s="14" t="s">
        <v>93</v>
      </c>
      <c r="I79" s="14" t="s">
        <v>76</v>
      </c>
      <c r="J79" s="14" t="s">
        <v>95</v>
      </c>
      <c r="K79" s="14" t="str">
        <f>IFERROR(TEXT(_xlfn.XLOOKUP(_xlfn.CONCAT(Weld_list[[#This Row],[流水號]],"_",Weld_list[[#This Row],[銲口編號]]),焊口登報表!D:D,焊口登報表!C:C,,0),"yyyy/mm/dd"),"")</f>
        <v>2025/08/06</v>
      </c>
      <c r="L79" s="14" t="s">
        <v>270</v>
      </c>
      <c r="M79" s="63">
        <v>45877</v>
      </c>
      <c r="Q79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79" s="14"/>
      <c r="S79" s="14">
        <v>1</v>
      </c>
    </row>
    <row r="80" spans="1:19" ht="20.25" hidden="1" customHeight="1">
      <c r="A80" s="14">
        <v>5</v>
      </c>
      <c r="B80" s="13" t="s">
        <v>96</v>
      </c>
      <c r="C80" s="49" t="s">
        <v>97</v>
      </c>
      <c r="D80" s="14">
        <v>8</v>
      </c>
      <c r="E80" s="14">
        <v>6</v>
      </c>
      <c r="F80" s="21">
        <f>IF(E80&lt;&gt;"",IF(Weld_list[[#This Row],[尺寸]]&lt;1,1,E80),"")</f>
        <v>6</v>
      </c>
      <c r="G80" s="14" t="s">
        <v>92</v>
      </c>
      <c r="H80" s="14" t="s">
        <v>93</v>
      </c>
      <c r="I80" s="14" t="s">
        <v>76</v>
      </c>
      <c r="J80" s="14" t="s">
        <v>95</v>
      </c>
      <c r="K80" s="14" t="str">
        <f>IFERROR(TEXT(_xlfn.XLOOKUP(_xlfn.CONCAT(Weld_list[[#This Row],[流水號]],"_",Weld_list[[#This Row],[銲口編號]]),焊口登報表!D:D,焊口登報表!C:C,,0),"yyyy/mm/dd"),"")</f>
        <v>2025/08/06</v>
      </c>
      <c r="L80" s="14" t="s">
        <v>270</v>
      </c>
      <c r="M80" s="63">
        <v>45877</v>
      </c>
      <c r="Q80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0" s="14"/>
      <c r="S80" s="14">
        <v>1</v>
      </c>
    </row>
    <row r="81" spans="1:19" ht="20.25" hidden="1" customHeight="1">
      <c r="A81" s="14">
        <v>5</v>
      </c>
      <c r="B81" s="13" t="s">
        <v>96</v>
      </c>
      <c r="C81" s="49" t="s">
        <v>97</v>
      </c>
      <c r="D81" s="14">
        <v>9</v>
      </c>
      <c r="E81" s="14">
        <v>6</v>
      </c>
      <c r="F81" s="21">
        <f>IF(E81&lt;&gt;"",IF(Weld_list[[#This Row],[尺寸]]&lt;1,1,E81),"")</f>
        <v>6</v>
      </c>
      <c r="G81" s="14" t="s">
        <v>92</v>
      </c>
      <c r="H81" s="14" t="s">
        <v>93</v>
      </c>
      <c r="I81" s="14" t="s">
        <v>76</v>
      </c>
      <c r="J81" s="14" t="s">
        <v>95</v>
      </c>
      <c r="K81" s="14" t="str">
        <f>IFERROR(TEXT(_xlfn.XLOOKUP(_xlfn.CONCAT(Weld_list[[#This Row],[流水號]],"_",Weld_list[[#This Row],[銲口編號]]),焊口登報表!D:D,焊口登報表!C:C,,0),"yyyy/mm/dd"),"")</f>
        <v>2025/08/06</v>
      </c>
      <c r="L81" s="14" t="s">
        <v>270</v>
      </c>
      <c r="M81" s="63">
        <v>45877</v>
      </c>
      <c r="Q81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1" s="14"/>
      <c r="S81" s="14">
        <v>1</v>
      </c>
    </row>
    <row r="82" spans="1:19" ht="20.25" hidden="1" customHeight="1">
      <c r="A82" s="14">
        <v>5</v>
      </c>
      <c r="B82" s="13" t="s">
        <v>96</v>
      </c>
      <c r="C82" s="49" t="s">
        <v>97</v>
      </c>
      <c r="D82" s="14" t="s">
        <v>105</v>
      </c>
      <c r="E82" s="14">
        <v>6</v>
      </c>
      <c r="F82" s="21">
        <f>IF(E82&lt;&gt;"",IF(Weld_list[[#This Row],[尺寸]]&lt;1,1,E82),"")</f>
        <v>6</v>
      </c>
      <c r="G82" s="14" t="s">
        <v>92</v>
      </c>
      <c r="H82" s="14" t="s">
        <v>93</v>
      </c>
      <c r="I82" s="14" t="s">
        <v>94</v>
      </c>
      <c r="J82" s="14" t="s">
        <v>90</v>
      </c>
      <c r="K82" s="14" t="str">
        <f>IFERROR(TEXT(_xlfn.XLOOKUP(_xlfn.CONCAT(Weld_list[[#This Row],[流水號]],"_",Weld_list[[#This Row],[銲口編號]]),焊口登報表!D:D,焊口登報表!C:C,,0),"yyyy/mm/dd"),"")</f>
        <v/>
      </c>
      <c r="M82" s="15" t="str">
        <f>IFERROR(TEXT(_xlfn.XLOOKUP(_xlfn.CONCAT(Weld_list[[#This Row],[流水號]],"_",Weld_list[[#This Row],[銲口編號]]),焊口登報表!F:F,焊口登報表!E:E,,0),"yyyy/mm/dd"),"")</f>
        <v/>
      </c>
      <c r="P82" s="15" t="e">
        <f>_xlfn.TEXTJOIN("-",TRUE,INDEX(_xlfn.TEXTSPLIT(B82,"-"),1),INDEX(_xlfn.TEXTSPLIT(B82,"-"),2),INDEX(_xlfn.TEXTSPLIT(B82,"-"),3),INDEX(_xlfn.TEXTSPLIT(B82,"-"),4),INDEX(_xlfn.TEXTSPLIT(B82,"-"),5))</f>
        <v>#REF!</v>
      </c>
      <c r="Q82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2" s="14" t="str">
        <f>IF(Weld_list[[#This Row],[組銲完成日期]]&lt;&gt;"","已完成","未完成")</f>
        <v>未完成</v>
      </c>
      <c r="S82" s="14">
        <v>1</v>
      </c>
    </row>
    <row r="83" spans="1:19" ht="20.25" hidden="1" customHeight="1">
      <c r="A83" s="14">
        <v>5</v>
      </c>
      <c r="B83" s="13" t="s">
        <v>96</v>
      </c>
      <c r="C83" s="49" t="s">
        <v>97</v>
      </c>
      <c r="D83" s="14">
        <v>10</v>
      </c>
      <c r="E83" s="14">
        <v>8</v>
      </c>
      <c r="F83" s="21">
        <f>IF(E83&lt;&gt;"",IF(Weld_list[[#This Row],[尺寸]]&lt;1,1,E83),"")</f>
        <v>8</v>
      </c>
      <c r="G83" s="14" t="s">
        <v>92</v>
      </c>
      <c r="H83" s="14" t="s">
        <v>93</v>
      </c>
      <c r="I83" s="14" t="s">
        <v>76</v>
      </c>
      <c r="J83" s="14" t="s">
        <v>95</v>
      </c>
      <c r="K83" s="14" t="str">
        <f>IFERROR(TEXT(_xlfn.XLOOKUP(_xlfn.CONCAT(Weld_list[[#This Row],[流水號]],"_",Weld_list[[#This Row],[銲口編號]]),焊口登報表!D:D,焊口登報表!C:C,,0),"yyyy/mm/dd"),"")</f>
        <v>2025/08/06</v>
      </c>
      <c r="L83" s="14" t="s">
        <v>270</v>
      </c>
      <c r="M83" s="63">
        <v>45877</v>
      </c>
      <c r="Q83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3" s="14"/>
      <c r="S83" s="14">
        <v>1</v>
      </c>
    </row>
    <row r="84" spans="1:19" ht="20.25" hidden="1" customHeight="1">
      <c r="A84" s="14">
        <v>5</v>
      </c>
      <c r="B84" s="13" t="s">
        <v>96</v>
      </c>
      <c r="C84" s="49" t="s">
        <v>97</v>
      </c>
      <c r="D84" s="14">
        <v>11</v>
      </c>
      <c r="E84" s="14">
        <v>6</v>
      </c>
      <c r="F84" s="21">
        <f>IF(E84&lt;&gt;"",IF(Weld_list[[#This Row],[尺寸]]&lt;1,1,E84),"")</f>
        <v>6</v>
      </c>
      <c r="G84" s="14" t="s">
        <v>92</v>
      </c>
      <c r="H84" s="14" t="s">
        <v>93</v>
      </c>
      <c r="I84" s="14" t="s">
        <v>76</v>
      </c>
      <c r="J84" s="14" t="s">
        <v>95</v>
      </c>
      <c r="K84" s="14" t="str">
        <f>IFERROR(TEXT(_xlfn.XLOOKUP(_xlfn.CONCAT(Weld_list[[#This Row],[流水號]],"_",Weld_list[[#This Row],[銲口編號]]),焊口登報表!D:D,焊口登報表!C:C,,0),"yyyy/mm/dd"),"")</f>
        <v>2025/08/06</v>
      </c>
      <c r="L84" s="14" t="s">
        <v>270</v>
      </c>
      <c r="M84" s="63">
        <v>45877</v>
      </c>
      <c r="Q84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4" s="14"/>
      <c r="S84" s="14">
        <v>1</v>
      </c>
    </row>
    <row r="85" spans="1:19" ht="20.25" hidden="1" customHeight="1">
      <c r="A85" s="14">
        <v>5</v>
      </c>
      <c r="B85" s="13" t="s">
        <v>96</v>
      </c>
      <c r="C85" s="49" t="s">
        <v>97</v>
      </c>
      <c r="D85" s="14">
        <v>12</v>
      </c>
      <c r="E85" s="14">
        <v>6</v>
      </c>
      <c r="F85" s="21">
        <f>IF(E85&lt;&gt;"",IF(Weld_list[[#This Row],[尺寸]]&lt;1,1,E85),"")</f>
        <v>6</v>
      </c>
      <c r="G85" s="14" t="s">
        <v>92</v>
      </c>
      <c r="H85" s="14" t="s">
        <v>93</v>
      </c>
      <c r="I85" s="14" t="s">
        <v>76</v>
      </c>
      <c r="J85" s="14" t="s">
        <v>95</v>
      </c>
      <c r="K85" s="14" t="str">
        <f>IFERROR(TEXT(_xlfn.XLOOKUP(_xlfn.CONCAT(Weld_list[[#This Row],[流水號]],"_",Weld_list[[#This Row],[銲口編號]]),焊口登報表!D:D,焊口登報表!C:C,,0),"yyyy/mm/dd"),"")</f>
        <v>2025/08/06</v>
      </c>
      <c r="L85" s="14" t="s">
        <v>270</v>
      </c>
      <c r="M85" s="63">
        <v>45877</v>
      </c>
      <c r="Q85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5" s="14"/>
      <c r="S85" s="14">
        <v>1</v>
      </c>
    </row>
    <row r="86" spans="1:19" ht="20.25" hidden="1" customHeight="1">
      <c r="A86" s="14">
        <v>5</v>
      </c>
      <c r="B86" s="13" t="s">
        <v>96</v>
      </c>
      <c r="C86" s="49" t="s">
        <v>97</v>
      </c>
      <c r="D86" s="73">
        <v>13</v>
      </c>
      <c r="E86" s="14">
        <v>6</v>
      </c>
      <c r="F86" s="21">
        <f>IF(E86&lt;&gt;"",IF(Weld_list[[#This Row],[尺寸]]&lt;1,1,E86),"")</f>
        <v>6</v>
      </c>
      <c r="G86" s="14" t="s">
        <v>92</v>
      </c>
      <c r="H86" s="14" t="s">
        <v>93</v>
      </c>
      <c r="I86" s="14" t="s">
        <v>76</v>
      </c>
      <c r="J86" s="14" t="s">
        <v>95</v>
      </c>
      <c r="K86" s="63">
        <v>45974</v>
      </c>
      <c r="L86" s="14" t="s">
        <v>270</v>
      </c>
      <c r="M86" s="63">
        <v>45977</v>
      </c>
      <c r="Q86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6" s="14"/>
      <c r="S86" s="14">
        <v>1</v>
      </c>
    </row>
    <row r="87" spans="1:19" ht="20.25" hidden="1" customHeight="1">
      <c r="A87" s="14">
        <v>5</v>
      </c>
      <c r="B87" s="13" t="s">
        <v>96</v>
      </c>
      <c r="C87" s="49" t="s">
        <v>97</v>
      </c>
      <c r="D87" s="14">
        <v>14</v>
      </c>
      <c r="E87" s="14">
        <v>6</v>
      </c>
      <c r="F87" s="21">
        <f>IF(E87&lt;&gt;"",IF(Weld_list[[#This Row],[尺寸]]&lt;1,1,E87),"")</f>
        <v>6</v>
      </c>
      <c r="G87" s="14" t="s">
        <v>92</v>
      </c>
      <c r="H87" s="14" t="s">
        <v>93</v>
      </c>
      <c r="I87" s="14" t="s">
        <v>76</v>
      </c>
      <c r="J87" s="14" t="s">
        <v>95</v>
      </c>
      <c r="K87" s="14" t="str">
        <f>IFERROR(TEXT(_xlfn.XLOOKUP(_xlfn.CONCAT(Weld_list[[#This Row],[流水號]],"_",Weld_list[[#This Row],[銲口編號]]),焊口登報表!D:D,焊口登報表!C:C,,0),"yyyy/mm/dd"),"")</f>
        <v>2025/08/06</v>
      </c>
      <c r="L87" s="14" t="s">
        <v>270</v>
      </c>
      <c r="M87" s="63">
        <v>45877</v>
      </c>
      <c r="Q87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7" s="14"/>
      <c r="S87" s="14">
        <v>1</v>
      </c>
    </row>
    <row r="88" spans="1:19" ht="20.25" hidden="1" customHeight="1">
      <c r="A88" s="14">
        <v>5</v>
      </c>
      <c r="B88" s="13" t="s">
        <v>96</v>
      </c>
      <c r="C88" s="49" t="s">
        <v>97</v>
      </c>
      <c r="D88" s="14">
        <v>15</v>
      </c>
      <c r="E88" s="14">
        <v>6</v>
      </c>
      <c r="F88" s="21">
        <f>IF(E88&lt;&gt;"",IF(Weld_list[[#This Row],[尺寸]]&lt;1,1,E88),"")</f>
        <v>6</v>
      </c>
      <c r="G88" s="14" t="s">
        <v>92</v>
      </c>
      <c r="H88" s="14" t="s">
        <v>93</v>
      </c>
      <c r="I88" s="14" t="s">
        <v>76</v>
      </c>
      <c r="J88" s="14" t="s">
        <v>95</v>
      </c>
      <c r="K88" s="14" t="str">
        <f>IFERROR(TEXT(_xlfn.XLOOKUP(_xlfn.CONCAT(Weld_list[[#This Row],[流水號]],"_",Weld_list[[#This Row],[銲口編號]]),焊口登報表!D:D,焊口登報表!C:C,,0),"yyyy/mm/dd"),"")</f>
        <v>2025/08/06</v>
      </c>
      <c r="L88" s="14" t="s">
        <v>270</v>
      </c>
      <c r="M88" s="63">
        <v>45877</v>
      </c>
      <c r="Q88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8" s="14"/>
      <c r="S88" s="14">
        <v>1</v>
      </c>
    </row>
    <row r="89" spans="1:19" ht="20.25" hidden="1" customHeight="1">
      <c r="A89" s="14">
        <v>5</v>
      </c>
      <c r="B89" s="13" t="s">
        <v>96</v>
      </c>
      <c r="C89" s="49" t="s">
        <v>97</v>
      </c>
      <c r="D89" s="73">
        <v>16</v>
      </c>
      <c r="E89" s="14">
        <v>6</v>
      </c>
      <c r="F89" s="21">
        <f>IF(E89&lt;&gt;"",IF(Weld_list[[#This Row],[尺寸]]&lt;1,1,E89),"")</f>
        <v>6</v>
      </c>
      <c r="G89" s="14" t="s">
        <v>92</v>
      </c>
      <c r="H89" s="14" t="s">
        <v>93</v>
      </c>
      <c r="I89" s="14" t="s">
        <v>76</v>
      </c>
      <c r="J89" s="14" t="s">
        <v>95</v>
      </c>
      <c r="K89" s="63">
        <v>45974</v>
      </c>
      <c r="L89" s="14" t="s">
        <v>270</v>
      </c>
      <c r="M89" s="63">
        <v>45977</v>
      </c>
      <c r="Q89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89" s="14"/>
      <c r="S89" s="14">
        <v>1</v>
      </c>
    </row>
    <row r="90" spans="1:19" ht="20.25" hidden="1" customHeight="1">
      <c r="A90" s="14">
        <v>5</v>
      </c>
      <c r="B90" s="13" t="s">
        <v>96</v>
      </c>
      <c r="C90" s="49" t="s">
        <v>97</v>
      </c>
      <c r="D90" s="14">
        <v>17</v>
      </c>
      <c r="E90" s="14">
        <v>6</v>
      </c>
      <c r="F90" s="21">
        <f>IF(E90&lt;&gt;"",IF(Weld_list[[#This Row],[尺寸]]&lt;1,1,E90),"")</f>
        <v>6</v>
      </c>
      <c r="G90" s="14" t="s">
        <v>92</v>
      </c>
      <c r="H90" s="14" t="s">
        <v>93</v>
      </c>
      <c r="I90" s="14" t="s">
        <v>76</v>
      </c>
      <c r="J90" s="14" t="s">
        <v>95</v>
      </c>
      <c r="K90" s="14" t="str">
        <f>IFERROR(TEXT(_xlfn.XLOOKUP(_xlfn.CONCAT(Weld_list[[#This Row],[流水號]],"_",Weld_list[[#This Row],[銲口編號]]),焊口登報表!D:D,焊口登報表!C:C,,0),"yyyy/mm/dd"),"")</f>
        <v>2025/08/06</v>
      </c>
      <c r="L90" s="14" t="s">
        <v>270</v>
      </c>
      <c r="M90" s="63">
        <v>45877</v>
      </c>
      <c r="Q90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90" s="14"/>
      <c r="S90" s="14">
        <v>1</v>
      </c>
    </row>
    <row r="91" spans="1:19" ht="20.25" hidden="1" customHeight="1">
      <c r="A91" s="14">
        <v>5</v>
      </c>
      <c r="B91" s="13" t="s">
        <v>96</v>
      </c>
      <c r="C91" s="49" t="s">
        <v>97</v>
      </c>
      <c r="D91" s="73">
        <v>18</v>
      </c>
      <c r="E91" s="14">
        <v>6</v>
      </c>
      <c r="F91" s="21">
        <f>IF(E91&lt;&gt;"",IF(Weld_list[[#This Row],[尺寸]]&lt;1,1,E91),"")</f>
        <v>6</v>
      </c>
      <c r="G91" s="14" t="s">
        <v>92</v>
      </c>
      <c r="H91" s="14" t="s">
        <v>93</v>
      </c>
      <c r="I91" s="14" t="s">
        <v>76</v>
      </c>
      <c r="J91" s="14" t="s">
        <v>95</v>
      </c>
      <c r="K91" s="63">
        <v>45974</v>
      </c>
      <c r="L91" s="14" t="s">
        <v>270</v>
      </c>
      <c r="M91" s="63">
        <v>45977</v>
      </c>
      <c r="Q91" s="18" t="str">
        <f>HYPERLINK(_xlfn.CONCAT("\\192.168.1.50\3勝一\SE-37(彰濱)\01.工程圖面\01.ISO\ISO\",Weld_list[[#This Row],[流水號]],".",Weld_list[[#This Row],[DWG NO]],".pdf"))</f>
        <v>\\192.168.1.50\3勝一\SE-37(彰濱)\01.工程圖面\01.ISO\ISO\5.(UG)FW-90201.-C1AU-01.pdf</v>
      </c>
      <c r="R91" s="14"/>
      <c r="S91" s="14">
        <v>1</v>
      </c>
    </row>
    <row r="92" spans="1:19" ht="20.25" hidden="1" customHeight="1">
      <c r="A92" s="14">
        <v>6</v>
      </c>
      <c r="B92" s="13" t="s">
        <v>98</v>
      </c>
      <c r="C92" s="49" t="s">
        <v>99</v>
      </c>
      <c r="D92" s="73">
        <v>19</v>
      </c>
      <c r="E92" s="14">
        <v>6</v>
      </c>
      <c r="F92" s="21">
        <f>IF(E92&lt;&gt;"",IF(Weld_list[[#This Row],[尺寸]]&lt;1,1,E92),"")</f>
        <v>6</v>
      </c>
      <c r="G92" s="14" t="s">
        <v>92</v>
      </c>
      <c r="H92" s="14" t="s">
        <v>93</v>
      </c>
      <c r="I92" s="14" t="s">
        <v>76</v>
      </c>
      <c r="J92" s="14" t="s">
        <v>95</v>
      </c>
      <c r="K92" s="63">
        <v>45974</v>
      </c>
      <c r="L92" s="14" t="s">
        <v>270</v>
      </c>
      <c r="M92" s="63">
        <v>45977</v>
      </c>
      <c r="Q92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2" s="14"/>
      <c r="S92" s="14">
        <v>1</v>
      </c>
    </row>
    <row r="93" spans="1:19" ht="20.25" hidden="1" customHeight="1">
      <c r="A93" s="14">
        <v>6</v>
      </c>
      <c r="B93" s="13" t="s">
        <v>98</v>
      </c>
      <c r="C93" s="49" t="s">
        <v>99</v>
      </c>
      <c r="D93" s="14">
        <v>20</v>
      </c>
      <c r="E93" s="14">
        <v>2.5</v>
      </c>
      <c r="F93" s="21">
        <f>IF(E93&lt;&gt;"",IF(Weld_list[[#This Row],[尺寸]]&lt;1,1,E93),"")</f>
        <v>2.5</v>
      </c>
      <c r="G93" s="14" t="s">
        <v>92</v>
      </c>
      <c r="H93" s="14" t="s">
        <v>93</v>
      </c>
      <c r="I93" s="14" t="s">
        <v>76</v>
      </c>
      <c r="J93" s="14" t="s">
        <v>95</v>
      </c>
      <c r="K93" s="14" t="str">
        <f>IFERROR(TEXT(_xlfn.XLOOKUP(_xlfn.CONCAT(Weld_list[[#This Row],[流水號]],"_",Weld_list[[#This Row],[銲口編號]]),焊口登報表!D:D,焊口登報表!C:C,,0),"yyyy/mm/dd"),"")</f>
        <v>2025/08/06</v>
      </c>
      <c r="L93" s="14" t="s">
        <v>270</v>
      </c>
      <c r="M93" s="63">
        <v>45877</v>
      </c>
      <c r="Q93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3" s="14"/>
      <c r="S93" s="14">
        <v>1</v>
      </c>
    </row>
    <row r="94" spans="1:19" ht="20.25" hidden="1" customHeight="1">
      <c r="A94" s="14">
        <v>6</v>
      </c>
      <c r="B94" s="13" t="s">
        <v>98</v>
      </c>
      <c r="C94" s="49" t="s">
        <v>99</v>
      </c>
      <c r="D94" s="73">
        <v>21</v>
      </c>
      <c r="E94" s="14">
        <v>2.5</v>
      </c>
      <c r="F94" s="21">
        <f>IF(E94&lt;&gt;"",IF(Weld_list[[#This Row],[尺寸]]&lt;1,1,E94),"")</f>
        <v>2.5</v>
      </c>
      <c r="G94" s="14" t="s">
        <v>92</v>
      </c>
      <c r="H94" s="14" t="s">
        <v>93</v>
      </c>
      <c r="I94" s="14" t="s">
        <v>76</v>
      </c>
      <c r="J94" s="14" t="s">
        <v>95</v>
      </c>
      <c r="K94" s="63">
        <v>45974</v>
      </c>
      <c r="L94" s="14" t="s">
        <v>270</v>
      </c>
      <c r="M94" s="63">
        <v>45977</v>
      </c>
      <c r="Q94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4" s="14"/>
      <c r="S94" s="14">
        <v>1</v>
      </c>
    </row>
    <row r="95" spans="1:19" ht="20.25" hidden="1" customHeight="1">
      <c r="A95" s="14">
        <v>6</v>
      </c>
      <c r="B95" s="13" t="s">
        <v>98</v>
      </c>
      <c r="C95" s="49" t="s">
        <v>99</v>
      </c>
      <c r="D95" s="14">
        <v>22</v>
      </c>
      <c r="E95" s="14">
        <v>2.5</v>
      </c>
      <c r="F95" s="21">
        <f>IF(E95&lt;&gt;"",IF(Weld_list[[#This Row],[尺寸]]&lt;1,1,E95),"")</f>
        <v>2.5</v>
      </c>
      <c r="G95" s="14" t="s">
        <v>92</v>
      </c>
      <c r="H95" s="14" t="s">
        <v>93</v>
      </c>
      <c r="I95" s="14" t="s">
        <v>76</v>
      </c>
      <c r="J95" s="14" t="s">
        <v>95</v>
      </c>
      <c r="K95" s="14" t="str">
        <f>IFERROR(TEXT(_xlfn.XLOOKUP(_xlfn.CONCAT(Weld_list[[#This Row],[流水號]],"_",Weld_list[[#This Row],[銲口編號]]),焊口登報表!D:D,焊口登報表!C:C,,0),"yyyy/mm/dd"),"")</f>
        <v>2025/08/25</v>
      </c>
      <c r="L95" s="14" t="s">
        <v>270</v>
      </c>
      <c r="M95" s="63">
        <v>45897</v>
      </c>
      <c r="Q95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5" s="14"/>
      <c r="S95" s="14">
        <v>1</v>
      </c>
    </row>
    <row r="96" spans="1:19" ht="20.25" hidden="1" customHeight="1">
      <c r="A96" s="14">
        <v>6</v>
      </c>
      <c r="B96" s="13" t="s">
        <v>98</v>
      </c>
      <c r="C96" s="49" t="s">
        <v>99</v>
      </c>
      <c r="D96" s="14">
        <v>23</v>
      </c>
      <c r="E96" s="14">
        <v>2.5</v>
      </c>
      <c r="F96" s="21">
        <f>IF(E96&lt;&gt;"",IF(Weld_list[[#This Row],[尺寸]]&lt;1,1,E96),"")</f>
        <v>2.5</v>
      </c>
      <c r="G96" s="14" t="s">
        <v>92</v>
      </c>
      <c r="H96" s="14" t="s">
        <v>93</v>
      </c>
      <c r="I96" s="14" t="s">
        <v>76</v>
      </c>
      <c r="J96" s="14" t="s">
        <v>95</v>
      </c>
      <c r="K96" s="14" t="str">
        <f>IFERROR(TEXT(_xlfn.XLOOKUP(_xlfn.CONCAT(Weld_list[[#This Row],[流水號]],"_",Weld_list[[#This Row],[銲口編號]]),焊口登報表!D:D,焊口登報表!C:C,,0),"yyyy/mm/dd"),"")</f>
        <v>2025/08/25</v>
      </c>
      <c r="L96" s="14" t="s">
        <v>270</v>
      </c>
      <c r="M96" s="63">
        <v>45897</v>
      </c>
      <c r="Q96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6" s="14"/>
      <c r="S96" s="14">
        <v>1</v>
      </c>
    </row>
    <row r="97" spans="1:19" ht="20.25" hidden="1" customHeight="1">
      <c r="A97" s="14">
        <v>6</v>
      </c>
      <c r="B97" s="13" t="s">
        <v>98</v>
      </c>
      <c r="C97" s="49" t="s">
        <v>99</v>
      </c>
      <c r="D97" s="14">
        <v>24</v>
      </c>
      <c r="E97" s="14">
        <v>2.5</v>
      </c>
      <c r="F97" s="21">
        <f>IF(E97&lt;&gt;"",IF(Weld_list[[#This Row],[尺寸]]&lt;1,1,E97),"")</f>
        <v>2.5</v>
      </c>
      <c r="G97" s="14" t="s">
        <v>92</v>
      </c>
      <c r="H97" s="14" t="s">
        <v>93</v>
      </c>
      <c r="I97" s="14" t="s">
        <v>76</v>
      </c>
      <c r="J97" s="14" t="s">
        <v>95</v>
      </c>
      <c r="K97" s="14" t="str">
        <f>IFERROR(TEXT(_xlfn.XLOOKUP(_xlfn.CONCAT(Weld_list[[#This Row],[流水號]],"_",Weld_list[[#This Row],[銲口編號]]),焊口登報表!D:D,焊口登報表!C:C,,0),"yyyy/mm/dd"),"")</f>
        <v>2025/08/25</v>
      </c>
      <c r="L97" s="14" t="s">
        <v>270</v>
      </c>
      <c r="M97" s="63">
        <v>45897</v>
      </c>
      <c r="Q97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7" s="14"/>
      <c r="S97" s="14">
        <v>1</v>
      </c>
    </row>
    <row r="98" spans="1:19" ht="20.25" hidden="1" customHeight="1">
      <c r="A98" s="14">
        <v>6</v>
      </c>
      <c r="B98" s="13" t="s">
        <v>98</v>
      </c>
      <c r="C98" s="49" t="s">
        <v>99</v>
      </c>
      <c r="D98" s="14">
        <v>25</v>
      </c>
      <c r="E98" s="14">
        <v>2.5</v>
      </c>
      <c r="F98" s="21">
        <f>IF(E98&lt;&gt;"",IF(Weld_list[[#This Row],[尺寸]]&lt;1,1,E98),"")</f>
        <v>2.5</v>
      </c>
      <c r="G98" s="14" t="s">
        <v>92</v>
      </c>
      <c r="H98" s="14" t="s">
        <v>93</v>
      </c>
      <c r="I98" s="14" t="s">
        <v>76</v>
      </c>
      <c r="J98" s="14" t="s">
        <v>95</v>
      </c>
      <c r="K98" s="14" t="str">
        <f>IFERROR(TEXT(_xlfn.XLOOKUP(_xlfn.CONCAT(Weld_list[[#This Row],[流水號]],"_",Weld_list[[#This Row],[銲口編號]]),焊口登報表!D:D,焊口登報表!C:C,,0),"yyyy/mm/dd"),"")</f>
        <v>2025/08/25</v>
      </c>
      <c r="L98" s="14" t="s">
        <v>270</v>
      </c>
      <c r="M98" s="63">
        <v>45897</v>
      </c>
      <c r="Q98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8" s="14"/>
      <c r="S98" s="14">
        <v>1</v>
      </c>
    </row>
    <row r="99" spans="1:19" ht="20.25" hidden="1" customHeight="1">
      <c r="A99" s="14">
        <v>6</v>
      </c>
      <c r="B99" s="13" t="s">
        <v>98</v>
      </c>
      <c r="C99" s="49" t="s">
        <v>99</v>
      </c>
      <c r="D99" s="14" t="s">
        <v>106</v>
      </c>
      <c r="E99" s="14">
        <v>2.5</v>
      </c>
      <c r="F99" s="21">
        <f>IF(E99&lt;&gt;"",IF(Weld_list[[#This Row],[尺寸]]&lt;1,1,E99),"")</f>
        <v>2.5</v>
      </c>
      <c r="G99" s="14" t="s">
        <v>92</v>
      </c>
      <c r="H99" s="14" t="s">
        <v>93</v>
      </c>
      <c r="I99" s="14" t="s">
        <v>94</v>
      </c>
      <c r="J99" s="14" t="s">
        <v>90</v>
      </c>
      <c r="K99" s="14" t="str">
        <f>IFERROR(TEXT(_xlfn.XLOOKUP(_xlfn.CONCAT(Weld_list[[#This Row],[流水號]],"_",Weld_list[[#This Row],[銲口編號]]),焊口登報表!D:D,焊口登報表!C:C,,0),"yyyy/mm/dd"),"")</f>
        <v/>
      </c>
      <c r="M99" s="15" t="str">
        <f>IFERROR(TEXT(_xlfn.XLOOKUP(_xlfn.CONCAT(Weld_list[[#This Row],[流水號]],"_",Weld_list[[#This Row],[銲口編號]]),焊口登報表!F:F,焊口登報表!E:E,,0),"yyyy/mm/dd"),"")</f>
        <v/>
      </c>
      <c r="P99" s="15" t="e">
        <f>_xlfn.TEXTJOIN("-",TRUE,INDEX(_xlfn.TEXTSPLIT(B99,"-"),1),INDEX(_xlfn.TEXTSPLIT(B99,"-"),2),INDEX(_xlfn.TEXTSPLIT(B99,"-"),3),INDEX(_xlfn.TEXTSPLIT(B99,"-"),4),INDEX(_xlfn.TEXTSPLIT(B99,"-"),5))</f>
        <v>#REF!</v>
      </c>
      <c r="Q99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99" s="14" t="str">
        <f>IF(Weld_list[[#This Row],[組銲完成日期]]&lt;&gt;"","已完成","未完成")</f>
        <v>未完成</v>
      </c>
      <c r="S99" s="14">
        <v>1</v>
      </c>
    </row>
    <row r="100" spans="1:19" ht="20.25" hidden="1" customHeight="1">
      <c r="A100" s="14">
        <v>6</v>
      </c>
      <c r="B100" s="13" t="s">
        <v>98</v>
      </c>
      <c r="C100" s="49" t="s">
        <v>99</v>
      </c>
      <c r="D100" s="14">
        <v>26</v>
      </c>
      <c r="E100" s="14">
        <v>0.5</v>
      </c>
      <c r="F100" s="21">
        <f>IF(E100&lt;&gt;"",IF(Weld_list[[#This Row],[尺寸]]&lt;1,1,E100),"")</f>
        <v>1</v>
      </c>
      <c r="G100" s="14" t="s">
        <v>92</v>
      </c>
      <c r="H100" s="14" t="s">
        <v>93</v>
      </c>
      <c r="I100" s="14" t="s">
        <v>102</v>
      </c>
      <c r="J100" s="14" t="s">
        <v>95</v>
      </c>
      <c r="K100" s="14" t="str">
        <f>IFERROR(TEXT(_xlfn.XLOOKUP(_xlfn.CONCAT(Weld_list[[#This Row],[流水號]],"_",Weld_list[[#This Row],[銲口編號]]),焊口登報表!D:D,焊口登報表!C:C,,0),"yyyy/mm/dd"),"")</f>
        <v>2025/08/25</v>
      </c>
      <c r="L100" s="14" t="s">
        <v>275</v>
      </c>
      <c r="M100" s="63">
        <v>45897</v>
      </c>
      <c r="Q100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100" s="14"/>
      <c r="S100" s="14">
        <v>1</v>
      </c>
    </row>
    <row r="101" spans="1:19" ht="20.25" hidden="1" customHeight="1">
      <c r="A101" s="14">
        <v>6</v>
      </c>
      <c r="B101" s="13" t="s">
        <v>98</v>
      </c>
      <c r="C101" s="49" t="s">
        <v>99</v>
      </c>
      <c r="D101" s="14">
        <v>27</v>
      </c>
      <c r="E101" s="14">
        <v>0.5</v>
      </c>
      <c r="F101" s="21">
        <f>IF(E101&lt;&gt;"",IF(Weld_list[[#This Row],[尺寸]]&lt;1,1,E101),"")</f>
        <v>1</v>
      </c>
      <c r="G101" s="14" t="s">
        <v>100</v>
      </c>
      <c r="H101" s="14" t="s">
        <v>93</v>
      </c>
      <c r="I101" s="14" t="s">
        <v>101</v>
      </c>
      <c r="J101" s="14" t="s">
        <v>95</v>
      </c>
      <c r="K101" s="14" t="str">
        <f>IFERROR(TEXT(_xlfn.XLOOKUP(_xlfn.CONCAT(Weld_list[[#This Row],[流水號]],"_",Weld_list[[#This Row],[銲口編號]]),焊口登報表!D:D,焊口登報表!C:C,,0),"yyyy/mm/dd"),"")</f>
        <v>2025/08/25</v>
      </c>
      <c r="L101" s="14" t="s">
        <v>275</v>
      </c>
      <c r="M101" s="63">
        <v>45897</v>
      </c>
      <c r="Q101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101" s="14"/>
      <c r="S101" s="14">
        <v>1</v>
      </c>
    </row>
    <row r="102" spans="1:19" ht="20.25" hidden="1" customHeight="1">
      <c r="A102" s="14">
        <v>6</v>
      </c>
      <c r="B102" s="13" t="s">
        <v>98</v>
      </c>
      <c r="C102" s="49" t="s">
        <v>99</v>
      </c>
      <c r="D102" s="14">
        <v>28</v>
      </c>
      <c r="E102" s="14">
        <v>0.5</v>
      </c>
      <c r="F102" s="21">
        <f>IF(E102&lt;&gt;"",IF(Weld_list[[#This Row],[尺寸]]&lt;1,1,E102),"")</f>
        <v>1</v>
      </c>
      <c r="G102" s="14" t="s">
        <v>100</v>
      </c>
      <c r="H102" s="14" t="s">
        <v>93</v>
      </c>
      <c r="I102" s="14" t="s">
        <v>101</v>
      </c>
      <c r="J102" s="14" t="s">
        <v>95</v>
      </c>
      <c r="K102" s="14" t="str">
        <f>IFERROR(TEXT(_xlfn.XLOOKUP(_xlfn.CONCAT(Weld_list[[#This Row],[流水號]],"_",Weld_list[[#This Row],[銲口編號]]),焊口登報表!D:D,焊口登報表!C:C,,0),"yyyy/mm/dd"),"")</f>
        <v>2025/08/25</v>
      </c>
      <c r="L102" s="14" t="s">
        <v>275</v>
      </c>
      <c r="M102" s="63">
        <v>45897</v>
      </c>
      <c r="Q102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102" s="14"/>
      <c r="S102" s="14">
        <v>1</v>
      </c>
    </row>
    <row r="103" spans="1:19" ht="20.25" hidden="1" customHeight="1">
      <c r="A103" s="14">
        <v>6</v>
      </c>
      <c r="B103" s="13" t="s">
        <v>98</v>
      </c>
      <c r="C103" s="49" t="s">
        <v>99</v>
      </c>
      <c r="D103" s="14">
        <v>29</v>
      </c>
      <c r="E103" s="14">
        <v>2.5</v>
      </c>
      <c r="F103" s="21">
        <f>IF(E103&lt;&gt;"",IF(Weld_list[[#This Row],[尺寸]]&lt;1,1,E103),"")</f>
        <v>2.5</v>
      </c>
      <c r="G103" s="14" t="s">
        <v>92</v>
      </c>
      <c r="H103" s="14" t="s">
        <v>93</v>
      </c>
      <c r="I103" s="14" t="s">
        <v>76</v>
      </c>
      <c r="J103" s="14" t="s">
        <v>95</v>
      </c>
      <c r="K103" s="14" t="str">
        <f>IFERROR(TEXT(_xlfn.XLOOKUP(_xlfn.CONCAT(Weld_list[[#This Row],[流水號]],"_",Weld_list[[#This Row],[銲口編號]]),焊口登報表!D:D,焊口登報表!C:C,,0),"yyyy/mm/dd"),"")</f>
        <v>2025/08/25</v>
      </c>
      <c r="L103" s="14" t="s">
        <v>270</v>
      </c>
      <c r="M103" s="63">
        <v>45897</v>
      </c>
      <c r="Q103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103" s="14"/>
      <c r="S103" s="14">
        <v>1</v>
      </c>
    </row>
    <row r="104" spans="1:19" ht="20.25" hidden="1" customHeight="1">
      <c r="A104" s="14">
        <v>6</v>
      </c>
      <c r="B104" s="13" t="s">
        <v>98</v>
      </c>
      <c r="C104" s="49" t="s">
        <v>99</v>
      </c>
      <c r="D104" s="14">
        <v>30</v>
      </c>
      <c r="E104" s="14">
        <v>2.5</v>
      </c>
      <c r="F104" s="21">
        <f>IF(E104&lt;&gt;"",IF(Weld_list[[#This Row],[尺寸]]&lt;1,1,E104),"")</f>
        <v>2.5</v>
      </c>
      <c r="G104" s="14" t="s">
        <v>92</v>
      </c>
      <c r="H104" s="14" t="s">
        <v>93</v>
      </c>
      <c r="I104" s="14" t="s">
        <v>76</v>
      </c>
      <c r="J104" s="14" t="s">
        <v>95</v>
      </c>
      <c r="K104" s="14" t="str">
        <f>IFERROR(TEXT(_xlfn.XLOOKUP(_xlfn.CONCAT(Weld_list[[#This Row],[流水號]],"_",Weld_list[[#This Row],[銲口編號]]),焊口登報表!D:D,焊口登報表!C:C,,0),"yyyy/mm/dd"),"")</f>
        <v>2025/08/25</v>
      </c>
      <c r="L104" s="14" t="s">
        <v>270</v>
      </c>
      <c r="M104" s="63">
        <v>45897</v>
      </c>
      <c r="Q104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104" s="14"/>
      <c r="S104" s="14">
        <v>1</v>
      </c>
    </row>
    <row r="105" spans="1:19" ht="20.25" hidden="1" customHeight="1">
      <c r="A105" s="14">
        <v>6</v>
      </c>
      <c r="B105" s="13" t="s">
        <v>98</v>
      </c>
      <c r="C105" s="49" t="s">
        <v>99</v>
      </c>
      <c r="D105" s="14" t="s">
        <v>107</v>
      </c>
      <c r="E105" s="14">
        <v>2.5</v>
      </c>
      <c r="F105" s="21">
        <f>IF(E105&lt;&gt;"",IF(Weld_list[[#This Row],[尺寸]]&lt;1,1,E105),"")</f>
        <v>2.5</v>
      </c>
      <c r="G105" s="14" t="s">
        <v>92</v>
      </c>
      <c r="H105" s="14" t="s">
        <v>93</v>
      </c>
      <c r="I105" s="14" t="s">
        <v>94</v>
      </c>
      <c r="J105" s="14" t="s">
        <v>90</v>
      </c>
      <c r="K105" s="14" t="str">
        <f>IFERROR(TEXT(_xlfn.XLOOKUP(_xlfn.CONCAT(Weld_list[[#This Row],[流水號]],"_",Weld_list[[#This Row],[銲口編號]]),焊口登報表!D:D,焊口登報表!C:C,,0),"yyyy/mm/dd"),"")</f>
        <v/>
      </c>
      <c r="M105" s="15" t="str">
        <f>IFERROR(TEXT(_xlfn.XLOOKUP(_xlfn.CONCAT(Weld_list[[#This Row],[流水號]],"_",Weld_list[[#This Row],[銲口編號]]),焊口登報表!F:F,焊口登報表!E:E,,0),"yyyy/mm/dd"),"")</f>
        <v/>
      </c>
      <c r="P105" s="15" t="e">
        <f>_xlfn.TEXTJOIN("-",TRUE,INDEX(_xlfn.TEXTSPLIT(B105,"-"),1),INDEX(_xlfn.TEXTSPLIT(B105,"-"),2),INDEX(_xlfn.TEXTSPLIT(B105,"-"),3),INDEX(_xlfn.TEXTSPLIT(B105,"-"),4),INDEX(_xlfn.TEXTSPLIT(B105,"-"),5))</f>
        <v>#REF!</v>
      </c>
      <c r="Q105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105" s="14" t="str">
        <f>IF(Weld_list[[#This Row],[組銲完成日期]]&lt;&gt;"","已完成","未完成")</f>
        <v>未完成</v>
      </c>
      <c r="S105" s="14">
        <v>1</v>
      </c>
    </row>
    <row r="106" spans="1:19" ht="20.25" hidden="1" customHeight="1">
      <c r="A106" s="14">
        <v>6</v>
      </c>
      <c r="B106" s="13" t="s">
        <v>98</v>
      </c>
      <c r="C106" s="49" t="s">
        <v>99</v>
      </c>
      <c r="D106" s="14">
        <v>31</v>
      </c>
      <c r="E106" s="14">
        <v>6</v>
      </c>
      <c r="F106" s="21">
        <f>IF(E106&lt;&gt;"",IF(Weld_list[[#This Row],[尺寸]]&lt;1,1,E106),"")</f>
        <v>6</v>
      </c>
      <c r="G106" s="14" t="s">
        <v>92</v>
      </c>
      <c r="H106" s="14" t="s">
        <v>93</v>
      </c>
      <c r="I106" s="14" t="s">
        <v>76</v>
      </c>
      <c r="J106" s="14" t="s">
        <v>95</v>
      </c>
      <c r="K106" s="14" t="str">
        <f>IFERROR(TEXT(_xlfn.XLOOKUP(_xlfn.CONCAT(Weld_list[[#This Row],[流水號]],"_",Weld_list[[#This Row],[銲口編號]]),焊口登報表!D:D,焊口登報表!C:C,,0),"yyyy/mm/dd"),"")</f>
        <v>2025/08/06</v>
      </c>
      <c r="L106" s="14" t="s">
        <v>270</v>
      </c>
      <c r="M106" s="63">
        <v>45877</v>
      </c>
      <c r="Q106" s="18" t="str">
        <f>HYPERLINK(_xlfn.CONCAT("\\192.168.1.50\3勝一\SE-37(彰濱)\01.工程圖面\01.ISO\ISO\",Weld_list[[#This Row],[流水號]],".",Weld_list[[#This Row],[DWG NO]],".pdf"))</f>
        <v>\\192.168.1.50\3勝一\SE-37(彰濱)\01.工程圖面\01.ISO\ISO\6.(UG)FW-90201.-C1AU-02.pdf</v>
      </c>
      <c r="R106" s="14"/>
      <c r="S106" s="14">
        <v>1</v>
      </c>
    </row>
    <row r="107" spans="1:19" ht="20.25" hidden="1" customHeight="1">
      <c r="A107" s="14">
        <v>7</v>
      </c>
      <c r="B107" s="13" t="s">
        <v>108</v>
      </c>
      <c r="C107" s="49" t="s">
        <v>109</v>
      </c>
      <c r="D107" s="14">
        <v>32</v>
      </c>
      <c r="E107" s="14">
        <v>6</v>
      </c>
      <c r="F107" s="21">
        <f>IF(E107&lt;&gt;"",IF(Weld_list[[#This Row],[尺寸]]&lt;1,1,E107),"")</f>
        <v>6</v>
      </c>
      <c r="G107" s="14" t="s">
        <v>92</v>
      </c>
      <c r="H107" s="14" t="s">
        <v>93</v>
      </c>
      <c r="I107" s="14" t="s">
        <v>76</v>
      </c>
      <c r="J107" s="14" t="s">
        <v>95</v>
      </c>
      <c r="K107" s="14" t="str">
        <f>IFERROR(TEXT(_xlfn.XLOOKUP(_xlfn.CONCAT(Weld_list[[#This Row],[流水號]],"_",Weld_list[[#This Row],[銲口編號]]),焊口登報表!D:D,焊口登報表!C:C,,0),"yyyy/mm/dd"),"")</f>
        <v>2025/08/06</v>
      </c>
      <c r="L107" s="14" t="s">
        <v>270</v>
      </c>
      <c r="M107" s="63">
        <v>45877</v>
      </c>
      <c r="Q107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07" s="14"/>
      <c r="S107" s="14">
        <v>1</v>
      </c>
    </row>
    <row r="108" spans="1:19" ht="20.25" hidden="1" customHeight="1">
      <c r="A108" s="14">
        <v>7</v>
      </c>
      <c r="B108" s="13" t="s">
        <v>108</v>
      </c>
      <c r="C108" s="49" t="s">
        <v>109</v>
      </c>
      <c r="D108" s="73">
        <v>33</v>
      </c>
      <c r="E108" s="14">
        <v>6</v>
      </c>
      <c r="F108" s="21">
        <f>IF(E108&lt;&gt;"",IF(Weld_list[[#This Row],[尺寸]]&lt;1,1,E108),"")</f>
        <v>6</v>
      </c>
      <c r="G108" s="14" t="s">
        <v>92</v>
      </c>
      <c r="H108" s="14" t="s">
        <v>93</v>
      </c>
      <c r="I108" s="14" t="s">
        <v>76</v>
      </c>
      <c r="J108" s="14" t="s">
        <v>95</v>
      </c>
      <c r="K108" s="63">
        <v>45974</v>
      </c>
      <c r="L108" s="14" t="s">
        <v>270</v>
      </c>
      <c r="M108" s="63">
        <v>45977</v>
      </c>
      <c r="Q108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08" s="14"/>
      <c r="S108" s="14">
        <v>1</v>
      </c>
    </row>
    <row r="109" spans="1:19" ht="20.25" hidden="1" customHeight="1">
      <c r="A109" s="14">
        <v>7</v>
      </c>
      <c r="B109" s="13" t="s">
        <v>108</v>
      </c>
      <c r="C109" s="49" t="s">
        <v>109</v>
      </c>
      <c r="D109" s="14">
        <v>34</v>
      </c>
      <c r="E109" s="14">
        <v>6</v>
      </c>
      <c r="F109" s="21">
        <f>IF(E109&lt;&gt;"",IF(Weld_list[[#This Row],[尺寸]]&lt;1,1,E109),"")</f>
        <v>6</v>
      </c>
      <c r="G109" s="14" t="s">
        <v>92</v>
      </c>
      <c r="H109" s="14" t="s">
        <v>93</v>
      </c>
      <c r="I109" s="14" t="s">
        <v>76</v>
      </c>
      <c r="J109" s="14" t="s">
        <v>95</v>
      </c>
      <c r="K109" s="14" t="str">
        <f>IFERROR(TEXT(_xlfn.XLOOKUP(_xlfn.CONCAT(Weld_list[[#This Row],[流水號]],"_",Weld_list[[#This Row],[銲口編號]]),焊口登報表!D:D,焊口登報表!C:C,,0),"yyyy/mm/dd"),"")</f>
        <v>2025/08/06</v>
      </c>
      <c r="L109" s="14" t="s">
        <v>270</v>
      </c>
      <c r="M109" s="63">
        <v>45877</v>
      </c>
      <c r="Q109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09" s="14"/>
      <c r="S109" s="14">
        <v>1</v>
      </c>
    </row>
    <row r="110" spans="1:19" ht="20.25" hidden="1" customHeight="1">
      <c r="A110" s="14">
        <v>7</v>
      </c>
      <c r="B110" s="13" t="s">
        <v>108</v>
      </c>
      <c r="C110" s="49" t="s">
        <v>109</v>
      </c>
      <c r="D110" s="73">
        <v>35</v>
      </c>
      <c r="E110" s="14">
        <v>6</v>
      </c>
      <c r="F110" s="21">
        <f>IF(E110&lt;&gt;"",IF(Weld_list[[#This Row],[尺寸]]&lt;1,1,E110),"")</f>
        <v>6</v>
      </c>
      <c r="G110" s="14" t="s">
        <v>92</v>
      </c>
      <c r="H110" s="14" t="s">
        <v>93</v>
      </c>
      <c r="I110" s="14" t="s">
        <v>76</v>
      </c>
      <c r="J110" s="14" t="s">
        <v>95</v>
      </c>
      <c r="K110" s="63">
        <v>45974</v>
      </c>
      <c r="L110" s="14" t="s">
        <v>270</v>
      </c>
      <c r="M110" s="63">
        <v>45977</v>
      </c>
      <c r="Q110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0" s="14"/>
      <c r="S110" s="14">
        <v>1</v>
      </c>
    </row>
    <row r="111" spans="1:19" ht="20.25" hidden="1" customHeight="1">
      <c r="A111" s="14">
        <v>7</v>
      </c>
      <c r="B111" s="13" t="s">
        <v>108</v>
      </c>
      <c r="C111" s="49" t="s">
        <v>109</v>
      </c>
      <c r="D111" s="14">
        <v>36</v>
      </c>
      <c r="E111" s="14">
        <v>6</v>
      </c>
      <c r="F111" s="21">
        <f>IF(E111&lt;&gt;"",IF(Weld_list[[#This Row],[尺寸]]&lt;1,1,E111),"")</f>
        <v>6</v>
      </c>
      <c r="G111" s="14" t="s">
        <v>92</v>
      </c>
      <c r="H111" s="14" t="s">
        <v>93</v>
      </c>
      <c r="I111" s="14" t="s">
        <v>76</v>
      </c>
      <c r="J111" s="14" t="s">
        <v>95</v>
      </c>
      <c r="K111" s="14" t="str">
        <f>IFERROR(TEXT(_xlfn.XLOOKUP(_xlfn.CONCAT(Weld_list[[#This Row],[流水號]],"_",Weld_list[[#This Row],[銲口編號]]),焊口登報表!D:D,焊口登報表!C:C,,0),"yyyy/mm/dd"),"")</f>
        <v>2025/08/06</v>
      </c>
      <c r="L111" s="14" t="s">
        <v>270</v>
      </c>
      <c r="M111" s="63">
        <v>45877</v>
      </c>
      <c r="Q111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1" s="14"/>
      <c r="S111" s="14">
        <v>1</v>
      </c>
    </row>
    <row r="112" spans="1:19" ht="20.25" hidden="1" customHeight="1">
      <c r="A112" s="14">
        <v>7</v>
      </c>
      <c r="B112" s="13" t="s">
        <v>108</v>
      </c>
      <c r="C112" s="49" t="s">
        <v>109</v>
      </c>
      <c r="D112" s="73">
        <v>37</v>
      </c>
      <c r="E112" s="14">
        <v>6</v>
      </c>
      <c r="F112" s="21">
        <f>IF(E112&lt;&gt;"",IF(Weld_list[[#This Row],[尺寸]]&lt;1,1,E112),"")</f>
        <v>6</v>
      </c>
      <c r="G112" s="14" t="s">
        <v>92</v>
      </c>
      <c r="H112" s="14" t="s">
        <v>93</v>
      </c>
      <c r="I112" s="14" t="s">
        <v>76</v>
      </c>
      <c r="J112" s="14" t="s">
        <v>95</v>
      </c>
      <c r="K112" s="63">
        <v>45974</v>
      </c>
      <c r="L112" s="14" t="s">
        <v>270</v>
      </c>
      <c r="M112" s="63">
        <v>45977</v>
      </c>
      <c r="Q112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2" s="14"/>
      <c r="S112" s="14">
        <v>1</v>
      </c>
    </row>
    <row r="113" spans="1:19" ht="20.25" hidden="1" customHeight="1">
      <c r="A113" s="14">
        <v>7</v>
      </c>
      <c r="B113" s="13" t="s">
        <v>108</v>
      </c>
      <c r="C113" s="49" t="s">
        <v>109</v>
      </c>
      <c r="D113" s="14">
        <v>38</v>
      </c>
      <c r="E113" s="14">
        <v>6</v>
      </c>
      <c r="F113" s="21">
        <f>IF(E113&lt;&gt;"",IF(Weld_list[[#This Row],[尺寸]]&lt;1,1,E113),"")</f>
        <v>6</v>
      </c>
      <c r="G113" s="14" t="s">
        <v>92</v>
      </c>
      <c r="H113" s="14" t="s">
        <v>93</v>
      </c>
      <c r="I113" s="14" t="s">
        <v>76</v>
      </c>
      <c r="J113" s="14" t="s">
        <v>95</v>
      </c>
      <c r="K113" s="14" t="str">
        <f>IFERROR(TEXT(_xlfn.XLOOKUP(_xlfn.CONCAT(Weld_list[[#This Row],[流水號]],"_",Weld_list[[#This Row],[銲口編號]]),焊口登報表!D:D,焊口登報表!C:C,,0),"yyyy/mm/dd"),"")</f>
        <v>2025/08/06</v>
      </c>
      <c r="L113" s="14" t="s">
        <v>270</v>
      </c>
      <c r="M113" s="63">
        <v>45877</v>
      </c>
      <c r="Q113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3" s="14"/>
      <c r="S113" s="14">
        <v>1</v>
      </c>
    </row>
    <row r="114" spans="1:19" ht="20.25" hidden="1" customHeight="1">
      <c r="A114" s="14">
        <v>7</v>
      </c>
      <c r="B114" s="13" t="s">
        <v>108</v>
      </c>
      <c r="C114" s="49" t="s">
        <v>109</v>
      </c>
      <c r="D114" s="73">
        <v>39</v>
      </c>
      <c r="E114" s="14">
        <v>6</v>
      </c>
      <c r="F114" s="21">
        <f>IF(E114&lt;&gt;"",IF(Weld_list[[#This Row],[尺寸]]&lt;1,1,E114),"")</f>
        <v>6</v>
      </c>
      <c r="G114" s="14" t="s">
        <v>92</v>
      </c>
      <c r="H114" s="14" t="s">
        <v>93</v>
      </c>
      <c r="I114" s="14" t="s">
        <v>76</v>
      </c>
      <c r="J114" s="14" t="s">
        <v>95</v>
      </c>
      <c r="K114" s="63">
        <v>45974</v>
      </c>
      <c r="L114" s="14" t="s">
        <v>270</v>
      </c>
      <c r="M114" s="63">
        <v>45977</v>
      </c>
      <c r="Q114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4" s="14"/>
      <c r="S114" s="14">
        <v>1</v>
      </c>
    </row>
    <row r="115" spans="1:19" ht="20.25" hidden="1" customHeight="1">
      <c r="A115" s="14">
        <v>7</v>
      </c>
      <c r="B115" s="13" t="s">
        <v>108</v>
      </c>
      <c r="C115" s="49" t="s">
        <v>109</v>
      </c>
      <c r="D115" s="14">
        <v>40</v>
      </c>
      <c r="E115" s="14">
        <v>6</v>
      </c>
      <c r="F115" s="21">
        <f>IF(E115&lt;&gt;"",IF(Weld_list[[#This Row],[尺寸]]&lt;1,1,E115),"")</f>
        <v>6</v>
      </c>
      <c r="G115" s="14" t="s">
        <v>92</v>
      </c>
      <c r="H115" s="14" t="s">
        <v>93</v>
      </c>
      <c r="I115" s="14" t="s">
        <v>76</v>
      </c>
      <c r="J115" s="14" t="s">
        <v>95</v>
      </c>
      <c r="K115" s="14" t="str">
        <f>IFERROR(TEXT(_xlfn.XLOOKUP(_xlfn.CONCAT(Weld_list[[#This Row],[流水號]],"_",Weld_list[[#This Row],[銲口編號]]),焊口登報表!D:D,焊口登報表!C:C,,0),"yyyy/mm/dd"),"")</f>
        <v>2025/08/06</v>
      </c>
      <c r="L115" s="14" t="s">
        <v>270</v>
      </c>
      <c r="M115" s="63">
        <v>45877</v>
      </c>
      <c r="Q115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5" s="14"/>
      <c r="S115" s="14">
        <v>1</v>
      </c>
    </row>
    <row r="116" spans="1:19" ht="20.25" hidden="1" customHeight="1">
      <c r="A116" s="14">
        <v>7</v>
      </c>
      <c r="B116" s="13" t="s">
        <v>108</v>
      </c>
      <c r="C116" s="49" t="s">
        <v>109</v>
      </c>
      <c r="D116" s="14">
        <v>41</v>
      </c>
      <c r="E116" s="14">
        <v>6</v>
      </c>
      <c r="F116" s="21">
        <f>IF(E116&lt;&gt;"",IF(Weld_list[[#This Row],[尺寸]]&lt;1,1,E116),"")</f>
        <v>6</v>
      </c>
      <c r="G116" s="14" t="s">
        <v>92</v>
      </c>
      <c r="H116" s="14" t="s">
        <v>93</v>
      </c>
      <c r="I116" s="14" t="s">
        <v>76</v>
      </c>
      <c r="J116" s="14" t="s">
        <v>95</v>
      </c>
      <c r="K116" s="14" t="str">
        <f>IFERROR(TEXT(_xlfn.XLOOKUP(_xlfn.CONCAT(Weld_list[[#This Row],[流水號]],"_",Weld_list[[#This Row],[銲口編號]]),焊口登報表!D:D,焊口登報表!C:C,,0),"yyyy/mm/dd"),"")</f>
        <v>2025/08/06</v>
      </c>
      <c r="L116" s="14" t="s">
        <v>270</v>
      </c>
      <c r="M116" s="63">
        <v>45877</v>
      </c>
      <c r="Q116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6" s="14"/>
      <c r="S116" s="14">
        <v>1</v>
      </c>
    </row>
    <row r="117" spans="1:19" ht="20.25" hidden="1" customHeight="1">
      <c r="A117" s="14">
        <v>7</v>
      </c>
      <c r="B117" s="13" t="s">
        <v>108</v>
      </c>
      <c r="C117" s="49" t="s">
        <v>109</v>
      </c>
      <c r="D117" s="14" t="s">
        <v>110</v>
      </c>
      <c r="E117" s="14">
        <v>6</v>
      </c>
      <c r="F117" s="21">
        <f>IF(E117&lt;&gt;"",IF(Weld_list[[#This Row],[尺寸]]&lt;1,1,E117),"")</f>
        <v>6</v>
      </c>
      <c r="G117" s="14" t="s">
        <v>92</v>
      </c>
      <c r="H117" s="14" t="s">
        <v>93</v>
      </c>
      <c r="I117" s="14" t="s">
        <v>94</v>
      </c>
      <c r="J117" s="14" t="s">
        <v>90</v>
      </c>
      <c r="K117" s="14" t="str">
        <f>IFERROR(TEXT(_xlfn.XLOOKUP(_xlfn.CONCAT(Weld_list[[#This Row],[流水號]],"_",Weld_list[[#This Row],[銲口編號]]),焊口登報表!D:D,焊口登報表!C:C,,0),"yyyy/mm/dd"),"")</f>
        <v/>
      </c>
      <c r="M117" s="15" t="str">
        <f>IFERROR(TEXT(_xlfn.XLOOKUP(_xlfn.CONCAT(Weld_list[[#This Row],[流水號]],"_",Weld_list[[#This Row],[銲口編號]]),焊口登報表!F:F,焊口登報表!E:E,,0),"yyyy/mm/dd"),"")</f>
        <v/>
      </c>
      <c r="Q117" s="18" t="str">
        <f>HYPERLINK(_xlfn.CONCAT("\\192.168.1.50\3勝一\SE-37(彰濱)\01.工程圖面\01.ISO\ISO\",Weld_list[[#This Row],[流水號]],".",Weld_list[[#This Row],[DWG NO]],".pdf"))</f>
        <v>\\192.168.1.50\3勝一\SE-37(彰濱)\01.工程圖面\01.ISO\ISO\7.(UG)FW-90201.-C1AU-03.pdf</v>
      </c>
      <c r="R117" s="14"/>
      <c r="S117" s="14">
        <v>1</v>
      </c>
    </row>
    <row r="118" spans="1:19" ht="20.25" hidden="1" customHeight="1">
      <c r="A118" s="14">
        <v>8</v>
      </c>
      <c r="B118" s="13" t="s">
        <v>111</v>
      </c>
      <c r="C118" s="49" t="s">
        <v>87</v>
      </c>
      <c r="D118" s="14">
        <v>1</v>
      </c>
      <c r="E118" s="14">
        <v>6</v>
      </c>
      <c r="F118" s="21">
        <f>IF(E118&lt;&gt;"",IF(Weld_list[[#This Row],[尺寸]]&lt;1,1,E118),"")</f>
        <v>6</v>
      </c>
      <c r="G118" s="14" t="s">
        <v>92</v>
      </c>
      <c r="H118" s="14" t="s">
        <v>93</v>
      </c>
      <c r="I118" s="14" t="s">
        <v>76</v>
      </c>
      <c r="J118" s="14" t="s">
        <v>95</v>
      </c>
      <c r="K118" s="14" t="str">
        <f>IFERROR(TEXT(_xlfn.XLOOKUP(_xlfn.CONCAT(Weld_list[[#This Row],[流水號]],"_",Weld_list[[#This Row],[銲口編號]]),焊口登報表!D:D,焊口登報表!C:C,,0),"yyyy/mm/dd"),"")</f>
        <v>2025/08/06</v>
      </c>
      <c r="L118" s="14" t="s">
        <v>270</v>
      </c>
      <c r="M118" s="63">
        <v>45877</v>
      </c>
      <c r="Q118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18" s="14"/>
      <c r="S118" s="14">
        <v>1</v>
      </c>
    </row>
    <row r="119" spans="1:19" ht="20.25" hidden="1" customHeight="1">
      <c r="A119" s="14">
        <v>8</v>
      </c>
      <c r="B119" s="13" t="s">
        <v>111</v>
      </c>
      <c r="C119" s="49" t="s">
        <v>87</v>
      </c>
      <c r="D119" s="14">
        <v>2</v>
      </c>
      <c r="E119" s="14">
        <v>6</v>
      </c>
      <c r="F119" s="21">
        <f>IF(E119&lt;&gt;"",IF(Weld_list[[#This Row],[尺寸]]&lt;1,1,E119),"")</f>
        <v>6</v>
      </c>
      <c r="G119" s="14" t="s">
        <v>92</v>
      </c>
      <c r="H119" s="14" t="s">
        <v>93</v>
      </c>
      <c r="I119" s="14" t="s">
        <v>76</v>
      </c>
      <c r="J119" s="14" t="s">
        <v>95</v>
      </c>
      <c r="K119" s="14" t="str">
        <f>IFERROR(TEXT(_xlfn.XLOOKUP(_xlfn.CONCAT(Weld_list[[#This Row],[流水號]],"_",Weld_list[[#This Row],[銲口編號]]),焊口登報表!D:D,焊口登報表!C:C,,0),"yyyy/mm/dd"),"")</f>
        <v>2025/08/06</v>
      </c>
      <c r="L119" s="14" t="s">
        <v>270</v>
      </c>
      <c r="M119" s="63">
        <v>45877</v>
      </c>
      <c r="Q119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19" s="14"/>
      <c r="S119" s="14">
        <v>1</v>
      </c>
    </row>
    <row r="120" spans="1:19" ht="20.25" hidden="1" customHeight="1">
      <c r="A120" s="14">
        <v>8</v>
      </c>
      <c r="B120" s="13" t="s">
        <v>111</v>
      </c>
      <c r="C120" s="49" t="s">
        <v>87</v>
      </c>
      <c r="D120" s="14">
        <v>3</v>
      </c>
      <c r="E120" s="14">
        <v>6</v>
      </c>
      <c r="F120" s="21">
        <f>IF(E120&lt;&gt;"",IF(Weld_list[[#This Row],[尺寸]]&lt;1,1,E120),"")</f>
        <v>6</v>
      </c>
      <c r="G120" s="14" t="s">
        <v>92</v>
      </c>
      <c r="H120" s="14" t="s">
        <v>93</v>
      </c>
      <c r="I120" s="14" t="s">
        <v>76</v>
      </c>
      <c r="J120" s="14" t="s">
        <v>95</v>
      </c>
      <c r="K120" s="14" t="str">
        <f>IFERROR(TEXT(_xlfn.XLOOKUP(_xlfn.CONCAT(Weld_list[[#This Row],[流水號]],"_",Weld_list[[#This Row],[銲口編號]]),焊口登報表!D:D,焊口登報表!C:C,,0),"yyyy/mm/dd"),"")</f>
        <v>2025/08/06</v>
      </c>
      <c r="L120" s="14" t="s">
        <v>270</v>
      </c>
      <c r="M120" s="63">
        <v>45877</v>
      </c>
      <c r="Q120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0" s="14"/>
      <c r="S120" s="14">
        <v>1</v>
      </c>
    </row>
    <row r="121" spans="1:19" ht="20.25" hidden="1" customHeight="1">
      <c r="A121" s="14">
        <v>8</v>
      </c>
      <c r="B121" s="13" t="s">
        <v>111</v>
      </c>
      <c r="C121" s="49" t="s">
        <v>87</v>
      </c>
      <c r="D121" s="14">
        <v>4</v>
      </c>
      <c r="E121" s="14">
        <v>6</v>
      </c>
      <c r="F121" s="21">
        <f>IF(E121&lt;&gt;"",IF(Weld_list[[#This Row],[尺寸]]&lt;1,1,E121),"")</f>
        <v>6</v>
      </c>
      <c r="G121" s="14" t="s">
        <v>92</v>
      </c>
      <c r="H121" s="14" t="s">
        <v>93</v>
      </c>
      <c r="I121" s="14" t="s">
        <v>76</v>
      </c>
      <c r="J121" s="14" t="s">
        <v>95</v>
      </c>
      <c r="K121" s="14" t="str">
        <f>IFERROR(TEXT(_xlfn.XLOOKUP(_xlfn.CONCAT(Weld_list[[#This Row],[流水號]],"_",Weld_list[[#This Row],[銲口編號]]),焊口登報表!D:D,焊口登報表!C:C,,0),"yyyy/mm/dd"),"")</f>
        <v>2025/08/06</v>
      </c>
      <c r="L121" s="14" t="s">
        <v>270</v>
      </c>
      <c r="M121" s="63">
        <v>45877</v>
      </c>
      <c r="Q121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1" s="14"/>
      <c r="S121" s="14">
        <v>1</v>
      </c>
    </row>
    <row r="122" spans="1:19" ht="20.25" customHeight="1">
      <c r="A122" s="14">
        <v>8</v>
      </c>
      <c r="B122" s="13" t="s">
        <v>111</v>
      </c>
      <c r="C122" s="49" t="s">
        <v>87</v>
      </c>
      <c r="D122" s="14">
        <v>5</v>
      </c>
      <c r="E122" s="14">
        <v>6</v>
      </c>
      <c r="F122" s="21">
        <f>IF(E122&lt;&gt;"",IF(Weld_list[[#This Row],[尺寸]]&lt;1,1,E122),"")</f>
        <v>6</v>
      </c>
      <c r="G122" s="14" t="s">
        <v>92</v>
      </c>
      <c r="H122" s="14" t="s">
        <v>93</v>
      </c>
      <c r="I122" s="14" t="s">
        <v>76</v>
      </c>
      <c r="J122" s="14" t="s">
        <v>95</v>
      </c>
      <c r="K122" s="14" t="str">
        <f>IFERROR(TEXT(_xlfn.XLOOKUP(_xlfn.CONCAT(Weld_list[[#This Row],[流水號]],"_",Weld_list[[#This Row],[銲口編號]]),焊口登報表!D:D,焊口登報表!C:C,,0),"yyyy/mm/dd"),"")</f>
        <v>2025/12/25</v>
      </c>
      <c r="L122" s="14" t="s">
        <v>270</v>
      </c>
      <c r="M122" s="15" t="str">
        <f>IFERROR(TEXT(_xlfn.XLOOKUP(_xlfn.CONCAT(Weld_list[[#This Row],[流水號]],"_",Weld_list[[#This Row],[銲口編號]]),焊口登報表!F:F,焊口登報表!E:E,,0),"yyyy/mm/dd"),"")</f>
        <v>2025/12/28</v>
      </c>
      <c r="Q122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2" s="14"/>
      <c r="S122" s="14">
        <v>1</v>
      </c>
    </row>
    <row r="123" spans="1:19" ht="20.25" hidden="1" customHeight="1">
      <c r="A123" s="14">
        <v>8</v>
      </c>
      <c r="B123" s="13" t="s">
        <v>111</v>
      </c>
      <c r="C123" s="49" t="s">
        <v>87</v>
      </c>
      <c r="D123" s="14">
        <v>6</v>
      </c>
      <c r="E123" s="14">
        <v>6</v>
      </c>
      <c r="F123" s="21">
        <f>IF(E123&lt;&gt;"",IF(Weld_list[[#This Row],[尺寸]]&lt;1,1,E123),"")</f>
        <v>6</v>
      </c>
      <c r="G123" s="14" t="s">
        <v>92</v>
      </c>
      <c r="H123" s="14" t="s">
        <v>93</v>
      </c>
      <c r="I123" s="14" t="s">
        <v>76</v>
      </c>
      <c r="J123" s="14" t="s">
        <v>95</v>
      </c>
      <c r="K123" s="14" t="str">
        <f>IFERROR(TEXT(_xlfn.XLOOKUP(_xlfn.CONCAT(Weld_list[[#This Row],[流水號]],"_",Weld_list[[#This Row],[銲口編號]]),焊口登報表!D:D,焊口登報表!C:C,,0),"yyyy/mm/dd"),"")</f>
        <v>2025/08/06</v>
      </c>
      <c r="L123" s="14" t="s">
        <v>270</v>
      </c>
      <c r="M123" s="63">
        <v>45877</v>
      </c>
      <c r="Q123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3" s="14"/>
      <c r="S123" s="14">
        <v>1</v>
      </c>
    </row>
    <row r="124" spans="1:19" ht="20.25" hidden="1" customHeight="1">
      <c r="A124" s="14">
        <v>8</v>
      </c>
      <c r="B124" s="13" t="s">
        <v>111</v>
      </c>
      <c r="C124" s="49" t="s">
        <v>87</v>
      </c>
      <c r="D124" s="14">
        <v>7</v>
      </c>
      <c r="E124" s="14">
        <v>6</v>
      </c>
      <c r="F124" s="21">
        <f>IF(E124&lt;&gt;"",IF(Weld_list[[#This Row],[尺寸]]&lt;1,1,E124),"")</f>
        <v>6</v>
      </c>
      <c r="G124" s="14" t="s">
        <v>92</v>
      </c>
      <c r="H124" s="14" t="s">
        <v>93</v>
      </c>
      <c r="I124" s="14" t="s">
        <v>76</v>
      </c>
      <c r="J124" s="14" t="s">
        <v>95</v>
      </c>
      <c r="K124" s="14" t="str">
        <f>IFERROR(TEXT(_xlfn.XLOOKUP(_xlfn.CONCAT(Weld_list[[#This Row],[流水號]],"_",Weld_list[[#This Row],[銲口編號]]),焊口登報表!D:D,焊口登報表!C:C,,0),"yyyy/mm/dd"),"")</f>
        <v>2025/08/06</v>
      </c>
      <c r="L124" s="14" t="s">
        <v>270</v>
      </c>
      <c r="M124" s="63">
        <v>45877</v>
      </c>
      <c r="Q124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4" s="14"/>
      <c r="S124" s="14">
        <v>1</v>
      </c>
    </row>
    <row r="125" spans="1:19" ht="20.25" hidden="1" customHeight="1">
      <c r="A125" s="14">
        <v>8</v>
      </c>
      <c r="B125" s="13" t="s">
        <v>111</v>
      </c>
      <c r="C125" s="49" t="s">
        <v>87</v>
      </c>
      <c r="D125" s="14">
        <v>8</v>
      </c>
      <c r="E125" s="14">
        <v>6</v>
      </c>
      <c r="F125" s="21">
        <f>IF(E125&lt;&gt;"",IF(Weld_list[[#This Row],[尺寸]]&lt;1,1,E125),"")</f>
        <v>6</v>
      </c>
      <c r="G125" s="14" t="s">
        <v>92</v>
      </c>
      <c r="H125" s="14" t="s">
        <v>93</v>
      </c>
      <c r="I125" s="14" t="s">
        <v>76</v>
      </c>
      <c r="J125" s="14" t="s">
        <v>95</v>
      </c>
      <c r="K125" s="14" t="str">
        <f>IFERROR(TEXT(_xlfn.XLOOKUP(_xlfn.CONCAT(Weld_list[[#This Row],[流水號]],"_",Weld_list[[#This Row],[銲口編號]]),焊口登報表!D:D,焊口登報表!C:C,,0),"yyyy/mm/dd"),"")</f>
        <v>2025/08/06</v>
      </c>
      <c r="L125" s="14" t="s">
        <v>270</v>
      </c>
      <c r="M125" s="63">
        <v>45877</v>
      </c>
      <c r="Q125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5" s="14"/>
      <c r="S125" s="14">
        <v>1</v>
      </c>
    </row>
    <row r="126" spans="1:19" ht="20.25" customHeight="1">
      <c r="A126" s="14">
        <v>8</v>
      </c>
      <c r="B126" s="13" t="s">
        <v>111</v>
      </c>
      <c r="C126" s="49" t="s">
        <v>87</v>
      </c>
      <c r="D126" s="14">
        <v>9</v>
      </c>
      <c r="E126" s="14">
        <v>6</v>
      </c>
      <c r="F126" s="21">
        <f>IF(E126&lt;&gt;"",IF(Weld_list[[#This Row],[尺寸]]&lt;1,1,E126),"")</f>
        <v>6</v>
      </c>
      <c r="G126" s="14" t="s">
        <v>92</v>
      </c>
      <c r="H126" s="14" t="s">
        <v>93</v>
      </c>
      <c r="I126" s="14" t="s">
        <v>76</v>
      </c>
      <c r="J126" s="14" t="s">
        <v>95</v>
      </c>
      <c r="K126" s="14" t="str">
        <f>IFERROR(TEXT(_xlfn.XLOOKUP(_xlfn.CONCAT(Weld_list[[#This Row],[流水號]],"_",Weld_list[[#This Row],[銲口編號]]),焊口登報表!D:D,焊口登報表!C:C,,0),"yyyy/mm/dd"),"")</f>
        <v>2025/12/25</v>
      </c>
      <c r="L126" s="14" t="s">
        <v>270</v>
      </c>
      <c r="M126" s="15" t="str">
        <f>IFERROR(TEXT(_xlfn.XLOOKUP(_xlfn.CONCAT(Weld_list[[#This Row],[流水號]],"_",Weld_list[[#This Row],[銲口編號]]),焊口登報表!F:F,焊口登報表!E:E,,0),"yyyy/mm/dd"),"")</f>
        <v>2025/12/28</v>
      </c>
      <c r="Q126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6" s="14"/>
      <c r="S126" s="14">
        <v>1</v>
      </c>
    </row>
    <row r="127" spans="1:19" ht="20.25" hidden="1" customHeight="1">
      <c r="A127" s="14">
        <v>8</v>
      </c>
      <c r="B127" s="13" t="s">
        <v>111</v>
      </c>
      <c r="C127" s="49" t="s">
        <v>87</v>
      </c>
      <c r="D127" s="14">
        <v>10</v>
      </c>
      <c r="E127" s="14">
        <v>6</v>
      </c>
      <c r="F127" s="21">
        <f>IF(E127&lt;&gt;"",IF(Weld_list[[#This Row],[尺寸]]&lt;1,1,E127),"")</f>
        <v>6</v>
      </c>
      <c r="G127" s="14" t="s">
        <v>92</v>
      </c>
      <c r="H127" s="14" t="s">
        <v>93</v>
      </c>
      <c r="I127" s="14" t="s">
        <v>76</v>
      </c>
      <c r="J127" s="14" t="s">
        <v>95</v>
      </c>
      <c r="K127" s="14" t="str">
        <f>IFERROR(TEXT(_xlfn.XLOOKUP(_xlfn.CONCAT(Weld_list[[#This Row],[流水號]],"_",Weld_list[[#This Row],[銲口編號]]),焊口登報表!D:D,焊口登報表!C:C,,0),"yyyy/mm/dd"),"")</f>
        <v>2025/08/06</v>
      </c>
      <c r="L127" s="14" t="s">
        <v>270</v>
      </c>
      <c r="M127" s="63">
        <v>45877</v>
      </c>
      <c r="Q127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7" s="14"/>
      <c r="S127" s="14">
        <v>1</v>
      </c>
    </row>
    <row r="128" spans="1:19" ht="20.25" hidden="1" customHeight="1">
      <c r="A128" s="14">
        <v>8</v>
      </c>
      <c r="B128" s="13" t="s">
        <v>111</v>
      </c>
      <c r="C128" s="49" t="s">
        <v>87</v>
      </c>
      <c r="D128" s="14">
        <v>11</v>
      </c>
      <c r="E128" s="14">
        <v>6</v>
      </c>
      <c r="F128" s="21">
        <f>IF(E128&lt;&gt;"",IF(Weld_list[[#This Row],[尺寸]]&lt;1,1,E128),"")</f>
        <v>6</v>
      </c>
      <c r="G128" s="14" t="s">
        <v>92</v>
      </c>
      <c r="H128" s="14" t="s">
        <v>93</v>
      </c>
      <c r="I128" s="14" t="s">
        <v>76</v>
      </c>
      <c r="J128" s="14" t="s">
        <v>95</v>
      </c>
      <c r="K128" s="14" t="str">
        <f>IFERROR(TEXT(_xlfn.XLOOKUP(_xlfn.CONCAT(Weld_list[[#This Row],[流水號]],"_",Weld_list[[#This Row],[銲口編號]]),焊口登報表!D:D,焊口登報表!C:C,,0),"yyyy/mm/dd"),"")</f>
        <v>2025/08/06</v>
      </c>
      <c r="L128" s="14" t="s">
        <v>270</v>
      </c>
      <c r="M128" s="63">
        <v>45877</v>
      </c>
      <c r="Q128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8" s="14"/>
      <c r="S128" s="14">
        <v>1</v>
      </c>
    </row>
    <row r="129" spans="1:19" ht="20.25" hidden="1" customHeight="1">
      <c r="A129" s="14">
        <v>8</v>
      </c>
      <c r="B129" s="13" t="s">
        <v>111</v>
      </c>
      <c r="C129" s="49" t="s">
        <v>87</v>
      </c>
      <c r="D129" s="14">
        <v>12</v>
      </c>
      <c r="E129" s="14">
        <v>6</v>
      </c>
      <c r="F129" s="21">
        <f>IF(E129&lt;&gt;"",IF(Weld_list[[#This Row],[尺寸]]&lt;1,1,E129),"")</f>
        <v>6</v>
      </c>
      <c r="G129" s="14" t="s">
        <v>92</v>
      </c>
      <c r="H129" s="14" t="s">
        <v>93</v>
      </c>
      <c r="I129" s="14" t="s">
        <v>76</v>
      </c>
      <c r="J129" s="14" t="s">
        <v>95</v>
      </c>
      <c r="K129" s="14" t="str">
        <f>IFERROR(TEXT(_xlfn.XLOOKUP(_xlfn.CONCAT(Weld_list[[#This Row],[流水號]],"_",Weld_list[[#This Row],[銲口編號]]),焊口登報表!D:D,焊口登報表!C:C,,0),"yyyy/mm/dd"),"")</f>
        <v>2025/08/06</v>
      </c>
      <c r="L129" s="14" t="s">
        <v>270</v>
      </c>
      <c r="M129" s="63">
        <v>45877</v>
      </c>
      <c r="Q129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29" s="14"/>
      <c r="S129" s="14">
        <v>1</v>
      </c>
    </row>
    <row r="130" spans="1:19" ht="20.25" hidden="1" customHeight="1">
      <c r="A130" s="14">
        <v>8</v>
      </c>
      <c r="B130" s="13" t="s">
        <v>111</v>
      </c>
      <c r="C130" s="49" t="s">
        <v>87</v>
      </c>
      <c r="D130" s="14">
        <v>13</v>
      </c>
      <c r="E130" s="14">
        <v>6</v>
      </c>
      <c r="F130" s="21">
        <f>IF(E130&lt;&gt;"",IF(Weld_list[[#This Row],[尺寸]]&lt;1,1,E130),"")</f>
        <v>6</v>
      </c>
      <c r="G130" s="14" t="s">
        <v>92</v>
      </c>
      <c r="H130" s="14" t="s">
        <v>93</v>
      </c>
      <c r="I130" s="14" t="s">
        <v>76</v>
      </c>
      <c r="J130" s="14" t="s">
        <v>95</v>
      </c>
      <c r="K130" s="14" t="str">
        <f>IFERROR(TEXT(_xlfn.XLOOKUP(_xlfn.CONCAT(Weld_list[[#This Row],[流水號]],"_",Weld_list[[#This Row],[銲口編號]]),焊口登報表!D:D,焊口登報表!C:C,,0),"yyyy/mm/dd"),"")</f>
        <v/>
      </c>
      <c r="L130" s="14" t="s">
        <v>270</v>
      </c>
      <c r="M130" s="15" t="str">
        <f>IFERROR(TEXT(_xlfn.XLOOKUP(_xlfn.CONCAT(Weld_list[[#This Row],[流水號]],"_",Weld_list[[#This Row],[銲口編號]]),焊口登報表!F:F,焊口登報表!E:E,,0),"yyyy/mm/dd"),"")</f>
        <v/>
      </c>
      <c r="Q130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0" s="14"/>
      <c r="S130" s="14">
        <v>1</v>
      </c>
    </row>
    <row r="131" spans="1:19" ht="20.25" hidden="1" customHeight="1">
      <c r="A131" s="14">
        <v>8</v>
      </c>
      <c r="B131" s="13" t="s">
        <v>111</v>
      </c>
      <c r="C131" s="49" t="s">
        <v>87</v>
      </c>
      <c r="D131" s="14">
        <v>14</v>
      </c>
      <c r="E131" s="14">
        <v>6</v>
      </c>
      <c r="F131" s="21">
        <f>IF(E131&lt;&gt;"",IF(Weld_list[[#This Row],[尺寸]]&lt;1,1,E131),"")</f>
        <v>6</v>
      </c>
      <c r="G131" s="14" t="s">
        <v>92</v>
      </c>
      <c r="H131" s="14" t="s">
        <v>93</v>
      </c>
      <c r="I131" s="14" t="s">
        <v>76</v>
      </c>
      <c r="J131" s="14" t="s">
        <v>95</v>
      </c>
      <c r="K131" s="14" t="str">
        <f>IFERROR(TEXT(_xlfn.XLOOKUP(_xlfn.CONCAT(Weld_list[[#This Row],[流水號]],"_",Weld_list[[#This Row],[銲口編號]]),焊口登報表!D:D,焊口登報表!C:C,,0),"yyyy/mm/dd"),"")</f>
        <v>2025/08/06</v>
      </c>
      <c r="L131" s="14" t="s">
        <v>270</v>
      </c>
      <c r="M131" s="63">
        <v>45877</v>
      </c>
      <c r="Q131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1" s="14"/>
      <c r="S131" s="14">
        <v>1</v>
      </c>
    </row>
    <row r="132" spans="1:19" ht="20.25" hidden="1" customHeight="1">
      <c r="A132" s="14">
        <v>8</v>
      </c>
      <c r="B132" s="13" t="s">
        <v>111</v>
      </c>
      <c r="C132" s="49" t="s">
        <v>87</v>
      </c>
      <c r="D132" s="14">
        <v>15</v>
      </c>
      <c r="E132" s="14">
        <v>2.5</v>
      </c>
      <c r="F132" s="21">
        <f>IF(E132&lt;&gt;"",IF(Weld_list[[#This Row],[尺寸]]&lt;1,1,E132),"")</f>
        <v>2.5</v>
      </c>
      <c r="G132" s="14" t="s">
        <v>92</v>
      </c>
      <c r="H132" s="14" t="s">
        <v>93</v>
      </c>
      <c r="I132" s="14" t="s">
        <v>76</v>
      </c>
      <c r="J132" s="14" t="s">
        <v>95</v>
      </c>
      <c r="K132" s="14" t="str">
        <f>IFERROR(TEXT(_xlfn.XLOOKUP(_xlfn.CONCAT(Weld_list[[#This Row],[流水號]],"_",Weld_list[[#This Row],[銲口編號]]),焊口登報表!D:D,焊口登報表!C:C,,0),"yyyy/mm/dd"),"")</f>
        <v>2025/08/06</v>
      </c>
      <c r="L132" s="14" t="s">
        <v>270</v>
      </c>
      <c r="M132" s="63">
        <v>45877</v>
      </c>
      <c r="Q132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2" s="14"/>
      <c r="S132" s="14">
        <v>1</v>
      </c>
    </row>
    <row r="133" spans="1:19" ht="20.25" hidden="1" customHeight="1">
      <c r="A133" s="14">
        <v>8</v>
      </c>
      <c r="B133" s="13" t="s">
        <v>111</v>
      </c>
      <c r="C133" s="49" t="s">
        <v>87</v>
      </c>
      <c r="D133" s="14">
        <v>16</v>
      </c>
      <c r="E133" s="14">
        <v>6</v>
      </c>
      <c r="F133" s="21">
        <f>IF(E133&lt;&gt;"",IF(Weld_list[[#This Row],[尺寸]]&lt;1,1,E133),"")</f>
        <v>6</v>
      </c>
      <c r="G133" s="14" t="s">
        <v>92</v>
      </c>
      <c r="H133" s="14" t="s">
        <v>93</v>
      </c>
      <c r="I133" s="14" t="s">
        <v>76</v>
      </c>
      <c r="J133" s="14" t="s">
        <v>95</v>
      </c>
      <c r="K133" s="14" t="str">
        <f>IFERROR(TEXT(_xlfn.XLOOKUP(_xlfn.CONCAT(Weld_list[[#This Row],[流水號]],"_",Weld_list[[#This Row],[銲口編號]]),焊口登報表!D:D,焊口登報表!C:C,,0),"yyyy/mm/dd"),"")</f>
        <v>2025/08/06</v>
      </c>
      <c r="L133" s="14" t="s">
        <v>270</v>
      </c>
      <c r="M133" s="63">
        <v>45877</v>
      </c>
      <c r="Q133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3" s="14"/>
      <c r="S133" s="14">
        <v>1</v>
      </c>
    </row>
    <row r="134" spans="1:19" ht="20.25" hidden="1" customHeight="1">
      <c r="A134" s="14">
        <v>8</v>
      </c>
      <c r="B134" s="13" t="s">
        <v>111</v>
      </c>
      <c r="C134" s="49" t="s">
        <v>87</v>
      </c>
      <c r="D134" s="14">
        <v>17</v>
      </c>
      <c r="E134" s="14">
        <v>6</v>
      </c>
      <c r="F134" s="21">
        <f>IF(E134&lt;&gt;"",IF(Weld_list[[#This Row],[尺寸]]&lt;1,1,E134),"")</f>
        <v>6</v>
      </c>
      <c r="G134" s="14" t="s">
        <v>92</v>
      </c>
      <c r="H134" s="14" t="s">
        <v>93</v>
      </c>
      <c r="I134" s="14" t="s">
        <v>76</v>
      </c>
      <c r="J134" s="14" t="s">
        <v>95</v>
      </c>
      <c r="K134" s="14" t="str">
        <f>IFERROR(TEXT(_xlfn.XLOOKUP(_xlfn.CONCAT(Weld_list[[#This Row],[流水號]],"_",Weld_list[[#This Row],[銲口編號]]),焊口登報表!D:D,焊口登報表!C:C,,0),"yyyy/mm/dd"),"")</f>
        <v>2025/08/06</v>
      </c>
      <c r="L134" s="14" t="s">
        <v>270</v>
      </c>
      <c r="M134" s="63">
        <v>45877</v>
      </c>
      <c r="Q134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4" s="14"/>
      <c r="S134" s="14">
        <v>1</v>
      </c>
    </row>
    <row r="135" spans="1:19" ht="20.25" hidden="1" customHeight="1">
      <c r="A135" s="14">
        <v>8</v>
      </c>
      <c r="B135" s="13" t="s">
        <v>111</v>
      </c>
      <c r="C135" s="49" t="s">
        <v>87</v>
      </c>
      <c r="D135" s="14">
        <v>18</v>
      </c>
      <c r="E135" s="14">
        <v>6</v>
      </c>
      <c r="F135" s="21">
        <f>IF(E135&lt;&gt;"",IF(Weld_list[[#This Row],[尺寸]]&lt;1,1,E135),"")</f>
        <v>6</v>
      </c>
      <c r="G135" s="14" t="s">
        <v>92</v>
      </c>
      <c r="H135" s="14" t="s">
        <v>93</v>
      </c>
      <c r="I135" s="14" t="s">
        <v>76</v>
      </c>
      <c r="J135" s="14" t="s">
        <v>95</v>
      </c>
      <c r="K135" s="14" t="str">
        <f>IFERROR(TEXT(_xlfn.XLOOKUP(_xlfn.CONCAT(Weld_list[[#This Row],[流水號]],"_",Weld_list[[#This Row],[銲口編號]]),焊口登報表!D:D,焊口登報表!C:C,,0),"yyyy/mm/dd"),"")</f>
        <v>2025/08/06</v>
      </c>
      <c r="L135" s="14" t="s">
        <v>270</v>
      </c>
      <c r="M135" s="63">
        <v>45877</v>
      </c>
      <c r="Q135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5" s="14"/>
      <c r="S135" s="14">
        <v>1</v>
      </c>
    </row>
    <row r="136" spans="1:19" ht="20.25" hidden="1" customHeight="1">
      <c r="A136" s="14">
        <v>8</v>
      </c>
      <c r="B136" s="13" t="s">
        <v>111</v>
      </c>
      <c r="C136" s="49" t="s">
        <v>87</v>
      </c>
      <c r="D136" s="14">
        <v>19</v>
      </c>
      <c r="E136" s="14">
        <v>6</v>
      </c>
      <c r="F136" s="21">
        <f>IF(E136&lt;&gt;"",IF(Weld_list[[#This Row],[尺寸]]&lt;1,1,E136),"")</f>
        <v>6</v>
      </c>
      <c r="G136" s="14" t="s">
        <v>92</v>
      </c>
      <c r="H136" s="14" t="s">
        <v>93</v>
      </c>
      <c r="I136" s="14" t="s">
        <v>76</v>
      </c>
      <c r="J136" s="14" t="s">
        <v>95</v>
      </c>
      <c r="K136" s="14" t="str">
        <f>IFERROR(TEXT(_xlfn.XLOOKUP(_xlfn.CONCAT(Weld_list[[#This Row],[流水號]],"_",Weld_list[[#This Row],[銲口編號]]),焊口登報表!D:D,焊口登報表!C:C,,0),"yyyy/mm/dd"),"")</f>
        <v>2025/08/06</v>
      </c>
      <c r="L136" s="14" t="s">
        <v>270</v>
      </c>
      <c r="M136" s="63">
        <v>45877</v>
      </c>
      <c r="Q136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6" s="14"/>
      <c r="S136" s="14">
        <v>1</v>
      </c>
    </row>
    <row r="137" spans="1:19" ht="20.25" hidden="1" customHeight="1">
      <c r="A137" s="14">
        <v>8</v>
      </c>
      <c r="B137" s="13" t="s">
        <v>111</v>
      </c>
      <c r="C137" s="49" t="s">
        <v>87</v>
      </c>
      <c r="D137" s="14" t="s">
        <v>112</v>
      </c>
      <c r="E137" s="14">
        <v>6</v>
      </c>
      <c r="F137" s="21">
        <f>IF(E137&lt;&gt;"",IF(Weld_list[[#This Row],[尺寸]]&lt;1,1,E137),"")</f>
        <v>6</v>
      </c>
      <c r="G137" s="14" t="s">
        <v>92</v>
      </c>
      <c r="H137" s="14" t="s">
        <v>93</v>
      </c>
      <c r="I137" s="14" t="s">
        <v>94</v>
      </c>
      <c r="J137" s="14" t="s">
        <v>90</v>
      </c>
      <c r="K137" s="14" t="str">
        <f>IFERROR(TEXT(_xlfn.XLOOKUP(_xlfn.CONCAT(Weld_list[[#This Row],[流水號]],"_",Weld_list[[#This Row],[銲口編號]]),焊口登報表!D:D,焊口登報表!C:C,,0),"yyyy/mm/dd"),"")</f>
        <v/>
      </c>
      <c r="M137" s="15" t="str">
        <f>IFERROR(TEXT(_xlfn.XLOOKUP(_xlfn.CONCAT(Weld_list[[#This Row],[流水號]],"_",Weld_list[[#This Row],[銲口編號]]),焊口登報表!F:F,焊口登報表!E:E,,0),"yyyy/mm/dd"),"")</f>
        <v/>
      </c>
      <c r="Q137" s="18" t="str">
        <f>HYPERLINK(_xlfn.CONCAT("\\192.168.1.50\3勝一\SE-37(彰濱)\01.工程圖面\01.ISO\ISO\",Weld_list[[#This Row],[流水號]],".",Weld_list[[#This Row],[DWG NO]],".pdf"))</f>
        <v>\\192.168.1.50\3勝一\SE-37(彰濱)\01.工程圖面\01.ISO\ISO\8.(UG)FW-90201..-C1AU-01.pdf</v>
      </c>
      <c r="R137" s="14"/>
      <c r="S137" s="14">
        <v>1</v>
      </c>
    </row>
    <row r="138" spans="1:19" ht="20.25" customHeight="1">
      <c r="A138" s="14">
        <v>9</v>
      </c>
      <c r="B138" s="13" t="s">
        <v>113</v>
      </c>
      <c r="C138" s="49" t="s">
        <v>89</v>
      </c>
      <c r="D138" s="14">
        <v>20</v>
      </c>
      <c r="E138" s="14">
        <v>2.5</v>
      </c>
      <c r="F138" s="21">
        <f>IF(E138&lt;&gt;"",IF(Weld_list[[#This Row],[尺寸]]&lt;1,1,E138),"")</f>
        <v>2.5</v>
      </c>
      <c r="G138" s="14" t="s">
        <v>92</v>
      </c>
      <c r="H138" s="14" t="s">
        <v>93</v>
      </c>
      <c r="I138" s="14" t="s">
        <v>76</v>
      </c>
      <c r="J138" s="14" t="s">
        <v>95</v>
      </c>
      <c r="K138" s="14" t="str">
        <f>IFERROR(TEXT(_xlfn.XLOOKUP(_xlfn.CONCAT(Weld_list[[#This Row],[流水號]],"_",Weld_list[[#This Row],[銲口編號]]),焊口登報表!D:D,焊口登報表!C:C,,0),"yyyy/mm/dd"),"")</f>
        <v>2025/12/25</v>
      </c>
      <c r="L138" s="14" t="s">
        <v>270</v>
      </c>
      <c r="M138" s="15" t="str">
        <f>IFERROR(TEXT(_xlfn.XLOOKUP(_xlfn.CONCAT(Weld_list[[#This Row],[流水號]],"_",Weld_list[[#This Row],[銲口編號]]),焊口登報表!F:F,焊口登報表!E:E,,0),"yyyy/mm/dd"),"")</f>
        <v>2025/12/28</v>
      </c>
      <c r="Q138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38" s="14"/>
      <c r="S138" s="14">
        <v>1</v>
      </c>
    </row>
    <row r="139" spans="1:19" ht="20.25" hidden="1" customHeight="1">
      <c r="A139" s="14">
        <v>9</v>
      </c>
      <c r="B139" s="13" t="s">
        <v>113</v>
      </c>
      <c r="C139" s="49" t="s">
        <v>89</v>
      </c>
      <c r="D139" s="14">
        <v>21</v>
      </c>
      <c r="E139" s="14">
        <v>2.5</v>
      </c>
      <c r="F139" s="21">
        <f>IF(E139&lt;&gt;"",IF(Weld_list[[#This Row],[尺寸]]&lt;1,1,E139),"")</f>
        <v>2.5</v>
      </c>
      <c r="G139" s="14" t="s">
        <v>92</v>
      </c>
      <c r="H139" s="14" t="s">
        <v>93</v>
      </c>
      <c r="I139" s="14" t="s">
        <v>76</v>
      </c>
      <c r="J139" s="14" t="s">
        <v>95</v>
      </c>
      <c r="K139" s="14" t="str">
        <f>IFERROR(TEXT(_xlfn.XLOOKUP(_xlfn.CONCAT(Weld_list[[#This Row],[流水號]],"_",Weld_list[[#This Row],[銲口編號]]),焊口登報表!D:D,焊口登報表!C:C,,0),"yyyy/mm/dd"),"")</f>
        <v>2025/08/25</v>
      </c>
      <c r="L139" s="14" t="s">
        <v>270</v>
      </c>
      <c r="M139" s="63">
        <v>45897</v>
      </c>
      <c r="Q139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39" s="14"/>
      <c r="S139" s="14">
        <v>1</v>
      </c>
    </row>
    <row r="140" spans="1:19" ht="20.25" hidden="1" customHeight="1">
      <c r="A140" s="14">
        <v>9</v>
      </c>
      <c r="B140" s="13" t="s">
        <v>113</v>
      </c>
      <c r="C140" s="49" t="s">
        <v>89</v>
      </c>
      <c r="D140" s="14">
        <v>22</v>
      </c>
      <c r="E140" s="14">
        <v>2.5</v>
      </c>
      <c r="F140" s="21">
        <f>IF(E140&lt;&gt;"",IF(Weld_list[[#This Row],[尺寸]]&lt;1,1,E140),"")</f>
        <v>2.5</v>
      </c>
      <c r="G140" s="14" t="s">
        <v>92</v>
      </c>
      <c r="H140" s="14" t="s">
        <v>93</v>
      </c>
      <c r="I140" s="14" t="s">
        <v>76</v>
      </c>
      <c r="J140" s="14" t="s">
        <v>95</v>
      </c>
      <c r="K140" s="14" t="str">
        <f>IFERROR(TEXT(_xlfn.XLOOKUP(_xlfn.CONCAT(Weld_list[[#This Row],[流水號]],"_",Weld_list[[#This Row],[銲口編號]]),焊口登報表!D:D,焊口登報表!C:C,,0),"yyyy/mm/dd"),"")</f>
        <v>2025/08/25</v>
      </c>
      <c r="L140" s="14" t="s">
        <v>270</v>
      </c>
      <c r="M140" s="63">
        <v>45897</v>
      </c>
      <c r="Q140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0" s="14"/>
      <c r="S140" s="14">
        <v>1</v>
      </c>
    </row>
    <row r="141" spans="1:19" ht="20.25" hidden="1" customHeight="1">
      <c r="A141" s="14">
        <v>9</v>
      </c>
      <c r="B141" s="13" t="s">
        <v>113</v>
      </c>
      <c r="C141" s="49" t="s">
        <v>89</v>
      </c>
      <c r="D141" s="14">
        <v>23</v>
      </c>
      <c r="E141" s="14">
        <v>2.5</v>
      </c>
      <c r="F141" s="21">
        <f>IF(E141&lt;&gt;"",IF(Weld_list[[#This Row],[尺寸]]&lt;1,1,E141),"")</f>
        <v>2.5</v>
      </c>
      <c r="G141" s="14" t="s">
        <v>92</v>
      </c>
      <c r="H141" s="14" t="s">
        <v>93</v>
      </c>
      <c r="I141" s="14" t="s">
        <v>76</v>
      </c>
      <c r="J141" s="14" t="s">
        <v>95</v>
      </c>
      <c r="K141" s="14" t="str">
        <f>IFERROR(TEXT(_xlfn.XLOOKUP(_xlfn.CONCAT(Weld_list[[#This Row],[流水號]],"_",Weld_list[[#This Row],[銲口編號]]),焊口登報表!D:D,焊口登報表!C:C,,0),"yyyy/mm/dd"),"")</f>
        <v>2025/08/25</v>
      </c>
      <c r="L141" s="14" t="s">
        <v>270</v>
      </c>
      <c r="M141" s="63">
        <v>45897</v>
      </c>
      <c r="Q141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1" s="14"/>
      <c r="S141" s="14">
        <v>1</v>
      </c>
    </row>
    <row r="142" spans="1:19" ht="20.25" hidden="1" customHeight="1">
      <c r="A142" s="14">
        <v>9</v>
      </c>
      <c r="B142" s="13" t="s">
        <v>113</v>
      </c>
      <c r="C142" s="49" t="s">
        <v>89</v>
      </c>
      <c r="D142" s="14">
        <v>24</v>
      </c>
      <c r="E142" s="14">
        <v>2.5</v>
      </c>
      <c r="F142" s="21">
        <f>IF(E142&lt;&gt;"",IF(Weld_list[[#This Row],[尺寸]]&lt;1,1,E142),"")</f>
        <v>2.5</v>
      </c>
      <c r="G142" s="14" t="s">
        <v>92</v>
      </c>
      <c r="H142" s="14" t="s">
        <v>93</v>
      </c>
      <c r="I142" s="14" t="s">
        <v>76</v>
      </c>
      <c r="J142" s="14" t="s">
        <v>95</v>
      </c>
      <c r="K142" s="14" t="str">
        <f>IFERROR(TEXT(_xlfn.XLOOKUP(_xlfn.CONCAT(Weld_list[[#This Row],[流水號]],"_",Weld_list[[#This Row],[銲口編號]]),焊口登報表!D:D,焊口登報表!C:C,,0),"yyyy/mm/dd"),"")</f>
        <v>2025/08/25</v>
      </c>
      <c r="L142" s="14" t="s">
        <v>270</v>
      </c>
      <c r="M142" s="63">
        <v>45897</v>
      </c>
      <c r="Q142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2" s="14"/>
      <c r="S142" s="14">
        <v>1</v>
      </c>
    </row>
    <row r="143" spans="1:19" ht="20.25" hidden="1" customHeight="1">
      <c r="A143" s="14">
        <v>9</v>
      </c>
      <c r="B143" s="13" t="s">
        <v>113</v>
      </c>
      <c r="C143" s="49" t="s">
        <v>89</v>
      </c>
      <c r="D143" s="14" t="s">
        <v>114</v>
      </c>
      <c r="E143" s="14">
        <v>2.5</v>
      </c>
      <c r="F143" s="21">
        <f>IF(E143&lt;&gt;"",IF(Weld_list[[#This Row],[尺寸]]&lt;1,1,E143),"")</f>
        <v>2.5</v>
      </c>
      <c r="G143" s="14" t="s">
        <v>92</v>
      </c>
      <c r="H143" s="14" t="s">
        <v>93</v>
      </c>
      <c r="I143" s="14" t="s">
        <v>94</v>
      </c>
      <c r="J143" s="14" t="s">
        <v>90</v>
      </c>
      <c r="K143" s="14" t="str">
        <f>IFERROR(TEXT(_xlfn.XLOOKUP(_xlfn.CONCAT(Weld_list[[#This Row],[流水號]],"_",Weld_list[[#This Row],[銲口編號]]),焊口登報表!D:D,焊口登報表!C:C,,0),"yyyy/mm/dd"),"")</f>
        <v/>
      </c>
      <c r="M143" s="15" t="str">
        <f>IFERROR(TEXT(_xlfn.XLOOKUP(_xlfn.CONCAT(Weld_list[[#This Row],[流水號]],"_",Weld_list[[#This Row],[銲口編號]]),焊口登報表!F:F,焊口登報表!E:E,,0),"yyyy/mm/dd"),"")</f>
        <v/>
      </c>
      <c r="Q143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3" s="14" t="str">
        <f>IF(Weld_list[[#This Row],[組銲完成日期]]&lt;&gt;"","已完成","未完成")</f>
        <v>未完成</v>
      </c>
      <c r="S143" s="14">
        <v>1</v>
      </c>
    </row>
    <row r="144" spans="1:19" ht="20.25" hidden="1" customHeight="1">
      <c r="A144" s="14">
        <v>9</v>
      </c>
      <c r="B144" s="13" t="s">
        <v>113</v>
      </c>
      <c r="C144" s="49" t="s">
        <v>89</v>
      </c>
      <c r="D144" s="14">
        <v>25</v>
      </c>
      <c r="E144" s="14">
        <v>0.5</v>
      </c>
      <c r="F144" s="21">
        <f>IF(E144&lt;&gt;"",IF(Weld_list[[#This Row],[尺寸]]&lt;1,1,E144),"")</f>
        <v>1</v>
      </c>
      <c r="G144" s="14" t="s">
        <v>100</v>
      </c>
      <c r="H144" s="14" t="s">
        <v>93</v>
      </c>
      <c r="I144" s="14" t="s">
        <v>102</v>
      </c>
      <c r="J144" s="14" t="s">
        <v>95</v>
      </c>
      <c r="K144" s="14" t="str">
        <f>IFERROR(TEXT(_xlfn.XLOOKUP(_xlfn.CONCAT(Weld_list[[#This Row],[流水號]],"_",Weld_list[[#This Row],[銲口編號]]),焊口登報表!D:D,焊口登報表!C:C,,0),"yyyy/mm/dd"),"")</f>
        <v>2025/08/25</v>
      </c>
      <c r="L144" s="14" t="s">
        <v>275</v>
      </c>
      <c r="M144" s="63">
        <v>45897</v>
      </c>
      <c r="Q144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4" s="14"/>
      <c r="S144" s="14">
        <v>1</v>
      </c>
    </row>
    <row r="145" spans="1:19" ht="20.25" hidden="1" customHeight="1">
      <c r="A145" s="14">
        <v>9</v>
      </c>
      <c r="B145" s="13" t="s">
        <v>113</v>
      </c>
      <c r="C145" s="49" t="s">
        <v>89</v>
      </c>
      <c r="D145" s="14">
        <v>26</v>
      </c>
      <c r="E145" s="14">
        <v>0.5</v>
      </c>
      <c r="F145" s="21">
        <f>IF(E145&lt;&gt;"",IF(Weld_list[[#This Row],[尺寸]]&lt;1,1,E145),"")</f>
        <v>1</v>
      </c>
      <c r="G145" s="14" t="s">
        <v>100</v>
      </c>
      <c r="H145" s="14" t="s">
        <v>93</v>
      </c>
      <c r="I145" s="14" t="s">
        <v>101</v>
      </c>
      <c r="J145" s="14" t="s">
        <v>95</v>
      </c>
      <c r="K145" s="14" t="str">
        <f>IFERROR(TEXT(_xlfn.XLOOKUP(_xlfn.CONCAT(Weld_list[[#This Row],[流水號]],"_",Weld_list[[#This Row],[銲口編號]]),焊口登報表!D:D,焊口登報表!C:C,,0),"yyyy/mm/dd"),"")</f>
        <v>2025/08/25</v>
      </c>
      <c r="L145" s="14" t="s">
        <v>275</v>
      </c>
      <c r="M145" s="63">
        <v>45897</v>
      </c>
      <c r="Q145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5" s="14"/>
      <c r="S145" s="14">
        <v>1</v>
      </c>
    </row>
    <row r="146" spans="1:19" ht="20.25" hidden="1" customHeight="1">
      <c r="A146" s="14">
        <v>9</v>
      </c>
      <c r="B146" s="13" t="s">
        <v>113</v>
      </c>
      <c r="C146" s="49" t="s">
        <v>89</v>
      </c>
      <c r="D146" s="14">
        <v>27</v>
      </c>
      <c r="E146" s="14">
        <v>0.5</v>
      </c>
      <c r="F146" s="21">
        <f>IF(E146&lt;&gt;"",IF(Weld_list[[#This Row],[尺寸]]&lt;1,1,E146),"")</f>
        <v>1</v>
      </c>
      <c r="G146" s="14" t="s">
        <v>100</v>
      </c>
      <c r="H146" s="14" t="s">
        <v>93</v>
      </c>
      <c r="I146" s="14" t="s">
        <v>101</v>
      </c>
      <c r="J146" s="14" t="s">
        <v>95</v>
      </c>
      <c r="K146" s="14" t="str">
        <f>IFERROR(TEXT(_xlfn.XLOOKUP(_xlfn.CONCAT(Weld_list[[#This Row],[流水號]],"_",Weld_list[[#This Row],[銲口編號]]),焊口登報表!D:D,焊口登報表!C:C,,0),"yyyy/mm/dd"),"")</f>
        <v>2025/08/25</v>
      </c>
      <c r="L146" s="14" t="s">
        <v>275</v>
      </c>
      <c r="M146" s="63">
        <v>45897</v>
      </c>
      <c r="Q146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6" s="14"/>
      <c r="S146" s="14">
        <v>1</v>
      </c>
    </row>
    <row r="147" spans="1:19" ht="20.25" hidden="1" customHeight="1">
      <c r="A147" s="14">
        <v>9</v>
      </c>
      <c r="B147" s="13" t="s">
        <v>113</v>
      </c>
      <c r="C147" s="49" t="s">
        <v>89</v>
      </c>
      <c r="D147" s="14">
        <v>28</v>
      </c>
      <c r="E147" s="14">
        <v>2.5</v>
      </c>
      <c r="F147" s="21">
        <f>IF(E147&lt;&gt;"",IF(Weld_list[[#This Row],[尺寸]]&lt;1,1,E147),"")</f>
        <v>2.5</v>
      </c>
      <c r="G147" s="14" t="s">
        <v>92</v>
      </c>
      <c r="H147" s="14" t="s">
        <v>93</v>
      </c>
      <c r="I147" s="14" t="s">
        <v>76</v>
      </c>
      <c r="J147" s="14" t="s">
        <v>95</v>
      </c>
      <c r="K147" s="14" t="str">
        <f>IFERROR(TEXT(_xlfn.XLOOKUP(_xlfn.CONCAT(Weld_list[[#This Row],[流水號]],"_",Weld_list[[#This Row],[銲口編號]]),焊口登報表!D:D,焊口登報表!C:C,,0),"yyyy/mm/dd"),"")</f>
        <v>2025/08/25</v>
      </c>
      <c r="L147" s="14" t="s">
        <v>270</v>
      </c>
      <c r="M147" s="63">
        <v>45897</v>
      </c>
      <c r="Q147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7" s="14"/>
      <c r="S147" s="14">
        <v>1</v>
      </c>
    </row>
    <row r="148" spans="1:19" ht="20.25" hidden="1" customHeight="1">
      <c r="A148" s="14">
        <v>9</v>
      </c>
      <c r="B148" s="13" t="s">
        <v>113</v>
      </c>
      <c r="C148" s="49" t="s">
        <v>89</v>
      </c>
      <c r="D148" s="14">
        <v>29</v>
      </c>
      <c r="E148" s="14">
        <v>2.5</v>
      </c>
      <c r="F148" s="21">
        <f>IF(E148&lt;&gt;"",IF(Weld_list[[#This Row],[尺寸]]&lt;1,1,E148),"")</f>
        <v>2.5</v>
      </c>
      <c r="G148" s="14" t="s">
        <v>92</v>
      </c>
      <c r="H148" s="14" t="s">
        <v>93</v>
      </c>
      <c r="I148" s="14" t="s">
        <v>76</v>
      </c>
      <c r="J148" s="14" t="s">
        <v>95</v>
      </c>
      <c r="K148" s="14" t="str">
        <f>IFERROR(TEXT(_xlfn.XLOOKUP(_xlfn.CONCAT(Weld_list[[#This Row],[流水號]],"_",Weld_list[[#This Row],[銲口編號]]),焊口登報表!D:D,焊口登報表!C:C,,0),"yyyy/mm/dd"),"")</f>
        <v>2025/08/25</v>
      </c>
      <c r="L148" s="14" t="s">
        <v>270</v>
      </c>
      <c r="M148" s="63">
        <v>45897</v>
      </c>
      <c r="Q148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8" s="14"/>
      <c r="S148" s="14">
        <v>1</v>
      </c>
    </row>
    <row r="149" spans="1:19" ht="20.25" hidden="1" customHeight="1">
      <c r="A149" s="14">
        <v>9</v>
      </c>
      <c r="B149" s="13" t="s">
        <v>113</v>
      </c>
      <c r="C149" s="49" t="s">
        <v>89</v>
      </c>
      <c r="D149" s="14" t="s">
        <v>115</v>
      </c>
      <c r="E149" s="14">
        <v>2.5</v>
      </c>
      <c r="F149" s="21">
        <f>IF(E149&lt;&gt;"",IF(Weld_list[[#This Row],[尺寸]]&lt;1,1,E149),"")</f>
        <v>2.5</v>
      </c>
      <c r="G149" s="14" t="s">
        <v>100</v>
      </c>
      <c r="H149" s="14" t="s">
        <v>93</v>
      </c>
      <c r="I149" s="14" t="s">
        <v>94</v>
      </c>
      <c r="J149" s="14" t="s">
        <v>90</v>
      </c>
      <c r="K149" s="14" t="str">
        <f>IFERROR(TEXT(_xlfn.XLOOKUP(_xlfn.CONCAT(Weld_list[[#This Row],[流水號]],"_",Weld_list[[#This Row],[銲口編號]]),焊口登報表!D:D,焊口登報表!C:C,,0),"yyyy/mm/dd"),"")</f>
        <v/>
      </c>
      <c r="M149" s="15" t="str">
        <f>IFERROR(TEXT(_xlfn.XLOOKUP(_xlfn.CONCAT(Weld_list[[#This Row],[流水號]],"_",Weld_list[[#This Row],[銲口編號]]),焊口登報表!F:F,焊口登報表!E:E,,0),"yyyy/mm/dd"),"")</f>
        <v/>
      </c>
      <c r="Q149" s="18" t="str">
        <f>HYPERLINK(_xlfn.CONCAT("\\192.168.1.50\3勝一\SE-37(彰濱)\01.工程圖面\01.ISO\ISO\",Weld_list[[#This Row],[流水號]],".",Weld_list[[#This Row],[DWG NO]],".pdf"))</f>
        <v>\\192.168.1.50\3勝一\SE-37(彰濱)\01.工程圖面\01.ISO\ISO\9.(UG)FW-90201..-C1AU-02.pdf</v>
      </c>
      <c r="R149" s="14"/>
      <c r="S149" s="14">
        <v>1</v>
      </c>
    </row>
    <row r="150" spans="1:19" ht="20.25" hidden="1" customHeight="1">
      <c r="A150" s="14">
        <v>10</v>
      </c>
      <c r="B150" s="17" t="s">
        <v>116</v>
      </c>
      <c r="C150" s="49" t="s">
        <v>87</v>
      </c>
      <c r="D150" s="14">
        <v>1</v>
      </c>
      <c r="E150" s="14">
        <v>6</v>
      </c>
      <c r="F150" s="21">
        <f>IF(E150&lt;&gt;"",IF(Weld_list[[#This Row],[尺寸]]&lt;1,1,E150),"")</f>
        <v>6</v>
      </c>
      <c r="G150" s="14" t="s">
        <v>92</v>
      </c>
      <c r="H150" s="14" t="s">
        <v>93</v>
      </c>
      <c r="I150" s="14" t="s">
        <v>76</v>
      </c>
      <c r="J150" s="14" t="s">
        <v>95</v>
      </c>
      <c r="K150" s="14" t="str">
        <f>IFERROR(TEXT(_xlfn.XLOOKUP(_xlfn.CONCAT(Weld_list[[#This Row],[流水號]],"_",Weld_list[[#This Row],[銲口編號]]),焊口登報表!D:D,焊口登報表!C:C,,0),"yyyy/mm/dd"),"")</f>
        <v>2025/08/06</v>
      </c>
      <c r="L150" s="14" t="s">
        <v>270</v>
      </c>
      <c r="M150" s="63">
        <v>45877</v>
      </c>
      <c r="Q15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0" s="14"/>
      <c r="S150" s="14">
        <v>1</v>
      </c>
    </row>
    <row r="151" spans="1:19" ht="20.25" hidden="1" customHeight="1">
      <c r="A151" s="14">
        <v>10</v>
      </c>
      <c r="B151" s="17" t="s">
        <v>116</v>
      </c>
      <c r="C151" s="49" t="s">
        <v>87</v>
      </c>
      <c r="D151" s="14">
        <v>2</v>
      </c>
      <c r="E151" s="14">
        <v>6</v>
      </c>
      <c r="F151" s="21">
        <f>IF(E151&lt;&gt;"",IF(Weld_list[[#This Row],[尺寸]]&lt;1,1,E151),"")</f>
        <v>6</v>
      </c>
      <c r="G151" s="14" t="s">
        <v>92</v>
      </c>
      <c r="H151" s="14" t="s">
        <v>93</v>
      </c>
      <c r="I151" s="14" t="s">
        <v>76</v>
      </c>
      <c r="J151" s="14" t="s">
        <v>95</v>
      </c>
      <c r="K151" s="14" t="str">
        <f>IFERROR(TEXT(_xlfn.XLOOKUP(_xlfn.CONCAT(Weld_list[[#This Row],[流水號]],"_",Weld_list[[#This Row],[銲口編號]]),焊口登報表!D:D,焊口登報表!C:C,,0),"yyyy/mm/dd"),"")</f>
        <v>2025/08/06</v>
      </c>
      <c r="L151" s="14" t="s">
        <v>270</v>
      </c>
      <c r="M151" s="63">
        <v>45877</v>
      </c>
      <c r="Q15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1" s="14"/>
      <c r="S151" s="14">
        <v>1</v>
      </c>
    </row>
    <row r="152" spans="1:19" ht="20.25" hidden="1" customHeight="1">
      <c r="A152" s="14">
        <v>10</v>
      </c>
      <c r="B152" s="17" t="s">
        <v>116</v>
      </c>
      <c r="C152" s="49" t="s">
        <v>87</v>
      </c>
      <c r="D152" s="14">
        <v>3</v>
      </c>
      <c r="E152" s="14">
        <v>6</v>
      </c>
      <c r="F152" s="21">
        <f>IF(E152&lt;&gt;"",IF(Weld_list[[#This Row],[尺寸]]&lt;1,1,E152),"")</f>
        <v>6</v>
      </c>
      <c r="G152" s="14" t="s">
        <v>92</v>
      </c>
      <c r="H152" s="14" t="s">
        <v>93</v>
      </c>
      <c r="I152" s="14" t="s">
        <v>76</v>
      </c>
      <c r="J152" s="14" t="s">
        <v>95</v>
      </c>
      <c r="K152" s="14" t="str">
        <f>IFERROR(TEXT(_xlfn.XLOOKUP(_xlfn.CONCAT(Weld_list[[#This Row],[流水號]],"_",Weld_list[[#This Row],[銲口編號]]),焊口登報表!D:D,焊口登報表!C:C,,0),"yyyy/mm/dd"),"")</f>
        <v>2025/08/06</v>
      </c>
      <c r="L152" s="14" t="s">
        <v>270</v>
      </c>
      <c r="M152" s="63">
        <v>45877</v>
      </c>
      <c r="Q15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2" s="14"/>
      <c r="S152" s="14">
        <v>1</v>
      </c>
    </row>
    <row r="153" spans="1:19" ht="20.25" hidden="1" customHeight="1">
      <c r="A153" s="14">
        <v>10</v>
      </c>
      <c r="B153" s="17" t="s">
        <v>116</v>
      </c>
      <c r="C153" s="49" t="s">
        <v>87</v>
      </c>
      <c r="D153" s="14">
        <v>4</v>
      </c>
      <c r="E153" s="14">
        <v>6</v>
      </c>
      <c r="F153" s="21">
        <f>IF(E153&lt;&gt;"",IF(Weld_list[[#This Row],[尺寸]]&lt;1,1,E153),"")</f>
        <v>6</v>
      </c>
      <c r="G153" s="14" t="s">
        <v>92</v>
      </c>
      <c r="H153" s="14" t="s">
        <v>93</v>
      </c>
      <c r="I153" s="14" t="s">
        <v>76</v>
      </c>
      <c r="J153" s="14" t="s">
        <v>95</v>
      </c>
      <c r="K153" s="14" t="str">
        <f>IFERROR(TEXT(_xlfn.XLOOKUP(_xlfn.CONCAT(Weld_list[[#This Row],[流水號]],"_",Weld_list[[#This Row],[銲口編號]]),焊口登報表!D:D,焊口登報表!C:C,,0),"yyyy/mm/dd"),"")</f>
        <v>2025/08/06</v>
      </c>
      <c r="L153" s="14" t="s">
        <v>270</v>
      </c>
      <c r="M153" s="63">
        <v>45877</v>
      </c>
      <c r="Q15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3" s="14"/>
      <c r="S153" s="14">
        <v>1</v>
      </c>
    </row>
    <row r="154" spans="1:19" ht="20.25" hidden="1" customHeight="1">
      <c r="A154" s="14">
        <v>10</v>
      </c>
      <c r="B154" s="17" t="s">
        <v>116</v>
      </c>
      <c r="C154" s="49" t="s">
        <v>87</v>
      </c>
      <c r="D154" s="14">
        <v>5</v>
      </c>
      <c r="E154" s="14">
        <v>6</v>
      </c>
      <c r="F154" s="21">
        <f>IF(E154&lt;&gt;"",IF(Weld_list[[#This Row],[尺寸]]&lt;1,1,E154),"")</f>
        <v>6</v>
      </c>
      <c r="G154" s="14" t="s">
        <v>92</v>
      </c>
      <c r="H154" s="14" t="s">
        <v>93</v>
      </c>
      <c r="I154" s="14" t="s">
        <v>76</v>
      </c>
      <c r="J154" s="14" t="s">
        <v>95</v>
      </c>
      <c r="K154" s="14" t="str">
        <f>IFERROR(TEXT(_xlfn.XLOOKUP(_xlfn.CONCAT(Weld_list[[#This Row],[流水號]],"_",Weld_list[[#This Row],[銲口編號]]),焊口登報表!D:D,焊口登報表!C:C,,0),"yyyy/mm/dd"),"")</f>
        <v>2025/12/13</v>
      </c>
      <c r="L154" s="14" t="s">
        <v>270</v>
      </c>
      <c r="M154" s="15" t="str">
        <f>IFERROR(TEXT(_xlfn.XLOOKUP(_xlfn.CONCAT(Weld_list[[#This Row],[流水號]],"_",Weld_list[[#This Row],[銲口編號]]),焊口登報表!F:F,焊口登報表!E:E,,0),"yyyy/mm/dd"),"")</f>
        <v>2025/12/14</v>
      </c>
      <c r="Q15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4" s="14"/>
      <c r="S154" s="14">
        <v>1</v>
      </c>
    </row>
    <row r="155" spans="1:19" ht="20.25" hidden="1" customHeight="1">
      <c r="A155" s="14">
        <v>10</v>
      </c>
      <c r="B155" s="17" t="s">
        <v>116</v>
      </c>
      <c r="C155" s="49" t="s">
        <v>87</v>
      </c>
      <c r="D155" s="14">
        <v>6</v>
      </c>
      <c r="E155" s="14">
        <v>2.5</v>
      </c>
      <c r="F155" s="21">
        <f>IF(E155&lt;&gt;"",IF(Weld_list[[#This Row],[尺寸]]&lt;1,1,E155),"")</f>
        <v>2.5</v>
      </c>
      <c r="G155" s="14" t="s">
        <v>92</v>
      </c>
      <c r="H155" s="14" t="s">
        <v>93</v>
      </c>
      <c r="I155" s="14" t="s">
        <v>102</v>
      </c>
      <c r="J155" s="14" t="s">
        <v>95</v>
      </c>
      <c r="K155" s="14" t="str">
        <f>IFERROR(TEXT(_xlfn.XLOOKUP(_xlfn.CONCAT(Weld_list[[#This Row],[流水號]],"_",Weld_list[[#This Row],[銲口編號]]),焊口登報表!D:D,焊口登報表!C:C,,0),"yyyy/mm/dd"),"")</f>
        <v>2025/08/25</v>
      </c>
      <c r="L155" s="14" t="s">
        <v>275</v>
      </c>
      <c r="M155" s="63">
        <v>45897</v>
      </c>
      <c r="Q15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5" s="14"/>
      <c r="S155" s="14">
        <v>1</v>
      </c>
    </row>
    <row r="156" spans="1:19" ht="20.25" hidden="1" customHeight="1">
      <c r="A156" s="14">
        <v>10</v>
      </c>
      <c r="B156" s="17" t="s">
        <v>116</v>
      </c>
      <c r="C156" s="49" t="s">
        <v>87</v>
      </c>
      <c r="D156" s="14">
        <v>7</v>
      </c>
      <c r="E156" s="14">
        <v>2.5</v>
      </c>
      <c r="F156" s="21">
        <f>IF(E156&lt;&gt;"",IF(Weld_list[[#This Row],[尺寸]]&lt;1,1,E156),"")</f>
        <v>2.5</v>
      </c>
      <c r="G156" s="14" t="s">
        <v>92</v>
      </c>
      <c r="H156" s="14" t="s">
        <v>93</v>
      </c>
      <c r="I156" s="14" t="s">
        <v>76</v>
      </c>
      <c r="J156" s="14" t="s">
        <v>95</v>
      </c>
      <c r="K156" s="14" t="str">
        <f>IFERROR(TEXT(_xlfn.XLOOKUP(_xlfn.CONCAT(Weld_list[[#This Row],[流水號]],"_",Weld_list[[#This Row],[銲口編號]]),焊口登報表!D:D,焊口登報表!C:C,,0),"yyyy/mm/dd"),"")</f>
        <v>2025/12/13</v>
      </c>
      <c r="L156" s="14" t="s">
        <v>270</v>
      </c>
      <c r="M156" s="15" t="str">
        <f>IFERROR(TEXT(_xlfn.XLOOKUP(_xlfn.CONCAT(Weld_list[[#This Row],[流水號]],"_",Weld_list[[#This Row],[銲口編號]]),焊口登報表!F:F,焊口登報表!E:E,,0),"yyyy/mm/dd"),"")</f>
        <v>2025/12/14</v>
      </c>
      <c r="Q15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6" s="14"/>
      <c r="S156" s="14">
        <v>1</v>
      </c>
    </row>
    <row r="157" spans="1:19" ht="20.25" hidden="1" customHeight="1">
      <c r="A157" s="14">
        <v>10</v>
      </c>
      <c r="B157" s="17" t="s">
        <v>116</v>
      </c>
      <c r="C157" s="49" t="s">
        <v>87</v>
      </c>
      <c r="D157" s="14">
        <v>8</v>
      </c>
      <c r="E157" s="14">
        <v>2.5</v>
      </c>
      <c r="F157" s="21">
        <f>IF(E157&lt;&gt;"",IF(Weld_list[[#This Row],[尺寸]]&lt;1,1,E157),"")</f>
        <v>2.5</v>
      </c>
      <c r="G157" s="14" t="s">
        <v>92</v>
      </c>
      <c r="H157" s="14" t="s">
        <v>93</v>
      </c>
      <c r="I157" s="14" t="s">
        <v>76</v>
      </c>
      <c r="J157" s="14" t="s">
        <v>95</v>
      </c>
      <c r="K157" s="14" t="str">
        <f>IFERROR(TEXT(_xlfn.XLOOKUP(_xlfn.CONCAT(Weld_list[[#This Row],[流水號]],"_",Weld_list[[#This Row],[銲口編號]]),焊口登報表!D:D,焊口登報表!C:C,,0),"yyyy/mm/dd"),"")</f>
        <v>2025/08/25</v>
      </c>
      <c r="L157" s="14" t="s">
        <v>270</v>
      </c>
      <c r="M157" s="63">
        <v>45897</v>
      </c>
      <c r="Q15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7" s="14"/>
      <c r="S157" s="14">
        <v>1</v>
      </c>
    </row>
    <row r="158" spans="1:19" ht="20.25" hidden="1" customHeight="1">
      <c r="A158" s="14">
        <v>10</v>
      </c>
      <c r="B158" s="17" t="s">
        <v>116</v>
      </c>
      <c r="C158" s="49" t="s">
        <v>87</v>
      </c>
      <c r="D158" s="14">
        <v>9</v>
      </c>
      <c r="E158" s="14">
        <v>2.5</v>
      </c>
      <c r="F158" s="21">
        <f>IF(E158&lt;&gt;"",IF(Weld_list[[#This Row],[尺寸]]&lt;1,1,E158),"")</f>
        <v>2.5</v>
      </c>
      <c r="G158" s="14" t="s">
        <v>92</v>
      </c>
      <c r="H158" s="14" t="s">
        <v>93</v>
      </c>
      <c r="I158" s="14" t="s">
        <v>76</v>
      </c>
      <c r="J158" s="14" t="s">
        <v>95</v>
      </c>
      <c r="K158" s="14" t="str">
        <f>IFERROR(TEXT(_xlfn.XLOOKUP(_xlfn.CONCAT(Weld_list[[#This Row],[流水號]],"_",Weld_list[[#This Row],[銲口編號]]),焊口登報表!D:D,焊口登報表!C:C,,0),"yyyy/mm/dd"),"")</f>
        <v>2025/08/25</v>
      </c>
      <c r="L158" s="14" t="s">
        <v>270</v>
      </c>
      <c r="M158" s="63">
        <v>45897</v>
      </c>
      <c r="Q15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8" s="14"/>
      <c r="S158" s="14">
        <v>1</v>
      </c>
    </row>
    <row r="159" spans="1:19" ht="20.25" hidden="1" customHeight="1">
      <c r="A159" s="14">
        <v>10</v>
      </c>
      <c r="B159" s="17" t="s">
        <v>116</v>
      </c>
      <c r="C159" s="49" t="s">
        <v>87</v>
      </c>
      <c r="D159" s="14">
        <v>10</v>
      </c>
      <c r="E159" s="14">
        <v>6</v>
      </c>
      <c r="F159" s="21">
        <f>IF(E159&lt;&gt;"",IF(Weld_list[[#This Row],[尺寸]]&lt;1,1,E159),"")</f>
        <v>6</v>
      </c>
      <c r="G159" s="14" t="s">
        <v>92</v>
      </c>
      <c r="H159" s="14" t="s">
        <v>93</v>
      </c>
      <c r="I159" s="14" t="s">
        <v>76</v>
      </c>
      <c r="J159" s="14" t="s">
        <v>95</v>
      </c>
      <c r="K159" s="14" t="str">
        <f>IFERROR(TEXT(_xlfn.XLOOKUP(_xlfn.CONCAT(Weld_list[[#This Row],[流水號]],"_",Weld_list[[#This Row],[銲口編號]]),焊口登報表!D:D,焊口登報表!C:C,,0),"yyyy/mm/dd"),"")</f>
        <v>2025/08/06</v>
      </c>
      <c r="L159" s="14" t="s">
        <v>270</v>
      </c>
      <c r="M159" s="63">
        <v>45897</v>
      </c>
      <c r="Q15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59" s="14"/>
      <c r="S159" s="14">
        <v>1</v>
      </c>
    </row>
    <row r="160" spans="1:19" ht="20.25" hidden="1" customHeight="1">
      <c r="A160" s="14">
        <v>10</v>
      </c>
      <c r="B160" s="17" t="s">
        <v>116</v>
      </c>
      <c r="C160" s="49" t="s">
        <v>87</v>
      </c>
      <c r="D160" s="14">
        <v>11</v>
      </c>
      <c r="E160" s="14">
        <v>6</v>
      </c>
      <c r="F160" s="21">
        <f>IF(E160&lt;&gt;"",IF(Weld_list[[#This Row],[尺寸]]&lt;1,1,E160),"")</f>
        <v>6</v>
      </c>
      <c r="G160" s="14" t="s">
        <v>92</v>
      </c>
      <c r="H160" s="14" t="s">
        <v>93</v>
      </c>
      <c r="I160" s="14" t="s">
        <v>76</v>
      </c>
      <c r="J160" s="14" t="s">
        <v>95</v>
      </c>
      <c r="K160" s="14" t="str">
        <f>IFERROR(TEXT(_xlfn.XLOOKUP(_xlfn.CONCAT(Weld_list[[#This Row],[流水號]],"_",Weld_list[[#This Row],[銲口編號]]),焊口登報表!D:D,焊口登報表!C:C,,0),"yyyy/mm/dd"),"")</f>
        <v>2025/08/06</v>
      </c>
      <c r="L160" s="14" t="s">
        <v>270</v>
      </c>
      <c r="M160" s="63">
        <v>45897</v>
      </c>
      <c r="Q16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60" s="14"/>
      <c r="S160" s="14">
        <v>1</v>
      </c>
    </row>
    <row r="161" spans="1:19" ht="20.25" hidden="1" customHeight="1">
      <c r="A161" s="14">
        <v>10</v>
      </c>
      <c r="B161" s="17" t="s">
        <v>116</v>
      </c>
      <c r="C161" s="49" t="s">
        <v>87</v>
      </c>
      <c r="D161" s="14">
        <v>12</v>
      </c>
      <c r="E161" s="14">
        <v>6</v>
      </c>
      <c r="F161" s="21">
        <f>IF(E161&lt;&gt;"",IF(Weld_list[[#This Row],[尺寸]]&lt;1,1,E161),"")</f>
        <v>6</v>
      </c>
      <c r="G161" s="14" t="s">
        <v>92</v>
      </c>
      <c r="H161" s="14" t="s">
        <v>93</v>
      </c>
      <c r="I161" s="14" t="s">
        <v>76</v>
      </c>
      <c r="J161" s="14" t="s">
        <v>95</v>
      </c>
      <c r="K161" s="14" t="str">
        <f>IFERROR(TEXT(_xlfn.XLOOKUP(_xlfn.CONCAT(Weld_list[[#This Row],[流水號]],"_",Weld_list[[#This Row],[銲口編號]]),焊口登報表!D:D,焊口登報表!C:C,,0),"yyyy/mm/dd"),"")</f>
        <v>2025/08/06</v>
      </c>
      <c r="L161" s="14" t="s">
        <v>270</v>
      </c>
      <c r="M161" s="63">
        <v>45897</v>
      </c>
      <c r="Q16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61" s="14"/>
      <c r="S161" s="14">
        <v>1</v>
      </c>
    </row>
    <row r="162" spans="1:19" ht="20.25" hidden="1" customHeight="1">
      <c r="A162" s="14">
        <v>10</v>
      </c>
      <c r="B162" s="17" t="s">
        <v>116</v>
      </c>
      <c r="C162" s="49" t="s">
        <v>87</v>
      </c>
      <c r="D162" s="14">
        <v>13</v>
      </c>
      <c r="E162" s="14">
        <v>6</v>
      </c>
      <c r="F162" s="21">
        <f>IF(E162&lt;&gt;"",IF(Weld_list[[#This Row],[尺寸]]&lt;1,1,E162),"")</f>
        <v>6</v>
      </c>
      <c r="G162" s="14" t="s">
        <v>92</v>
      </c>
      <c r="H162" s="14" t="s">
        <v>93</v>
      </c>
      <c r="I162" s="14" t="s">
        <v>76</v>
      </c>
      <c r="J162" s="14" t="s">
        <v>95</v>
      </c>
      <c r="K162" s="14" t="str">
        <f>IFERROR(TEXT(_xlfn.XLOOKUP(_xlfn.CONCAT(Weld_list[[#This Row],[流水號]],"_",Weld_list[[#This Row],[銲口編號]]),焊口登報表!D:D,焊口登報表!C:C,,0),"yyyy/mm/dd"),"")</f>
        <v>2025/08/06</v>
      </c>
      <c r="L162" s="14" t="s">
        <v>270</v>
      </c>
      <c r="M162" s="63">
        <v>45897</v>
      </c>
      <c r="Q16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62" s="14"/>
      <c r="S162" s="14">
        <v>1</v>
      </c>
    </row>
    <row r="163" spans="1:19" ht="20.25" hidden="1" customHeight="1">
      <c r="A163" s="14">
        <v>10</v>
      </c>
      <c r="B163" s="17" t="s">
        <v>116</v>
      </c>
      <c r="C163" s="49" t="s">
        <v>87</v>
      </c>
      <c r="D163" s="14" t="s">
        <v>117</v>
      </c>
      <c r="E163" s="14">
        <v>6</v>
      </c>
      <c r="F163" s="21">
        <f>IF(E163&lt;&gt;"",IF(Weld_list[[#This Row],[尺寸]]&lt;1,1,E163),"")</f>
        <v>6</v>
      </c>
      <c r="G163" s="14" t="s">
        <v>92</v>
      </c>
      <c r="H163" s="14" t="s">
        <v>93</v>
      </c>
      <c r="I163" s="14" t="s">
        <v>94</v>
      </c>
      <c r="J163" s="14" t="s">
        <v>90</v>
      </c>
      <c r="K163" s="14" t="str">
        <f>IFERROR(TEXT(_xlfn.XLOOKUP(_xlfn.CONCAT(Weld_list[[#This Row],[流水號]],"_",Weld_list[[#This Row],[銲口編號]]),焊口登報表!D:D,焊口登報表!C:C,,0),"yyyy/mm/dd"),"")</f>
        <v/>
      </c>
      <c r="M163" s="15" t="str">
        <f>IFERROR(TEXT(_xlfn.XLOOKUP(_xlfn.CONCAT(Weld_list[[#This Row],[流水號]],"_",Weld_list[[#This Row],[銲口編號]]),焊口登報表!F:F,焊口登報表!E:E,,0),"yyyy/mm/dd"),"")</f>
        <v/>
      </c>
      <c r="Q16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\\192.168.1.50\3勝一\SE-37(彰濱)\01.工程圖面\01.ISO\ISO\10.(UG)FW-90201...-C1AU-01.pdf</v>
      </c>
      <c r="R163" s="14"/>
      <c r="S163" s="14">
        <v>1</v>
      </c>
    </row>
    <row r="164" spans="1:19" ht="20.25" hidden="1" customHeight="1">
      <c r="A164" s="14">
        <v>11</v>
      </c>
      <c r="B164" s="17" t="s">
        <v>118</v>
      </c>
      <c r="C164" s="49" t="s">
        <v>89</v>
      </c>
      <c r="D164" s="14">
        <v>14</v>
      </c>
      <c r="E164" s="14">
        <v>2.5</v>
      </c>
      <c r="F164" s="21">
        <f>IF(E164&lt;&gt;"",IF(Weld_list[[#This Row],[尺寸]]&lt;1,1,E164),"")</f>
        <v>2.5</v>
      </c>
      <c r="G164" s="14" t="s">
        <v>92</v>
      </c>
      <c r="H164" s="14" t="s">
        <v>93</v>
      </c>
      <c r="I164" s="14" t="s">
        <v>76</v>
      </c>
      <c r="J164" s="14" t="s">
        <v>95</v>
      </c>
      <c r="K164" s="14" t="str">
        <f>IFERROR(TEXT(_xlfn.XLOOKUP(_xlfn.CONCAT(Weld_list[[#This Row],[流水號]],"_",Weld_list[[#This Row],[銲口編號]]),焊口登報表!D:D,焊口登報表!C:C,,0),"yyyy/mm/dd"),"")</f>
        <v>2025/08/25</v>
      </c>
      <c r="L164" s="14" t="s">
        <v>270</v>
      </c>
      <c r="M164" s="63">
        <v>45897</v>
      </c>
      <c r="Q16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64" s="14"/>
      <c r="S164" s="14">
        <v>1</v>
      </c>
    </row>
    <row r="165" spans="1:19" ht="20.25" hidden="1" customHeight="1">
      <c r="A165" s="14">
        <v>11</v>
      </c>
      <c r="B165" s="17" t="s">
        <v>118</v>
      </c>
      <c r="C165" s="49" t="s">
        <v>89</v>
      </c>
      <c r="D165" s="14" t="s">
        <v>119</v>
      </c>
      <c r="E165" s="14">
        <v>2.5</v>
      </c>
      <c r="F165" s="21">
        <f>IF(E165&lt;&gt;"",IF(Weld_list[[#This Row],[尺寸]]&lt;1,1,E165),"")</f>
        <v>2.5</v>
      </c>
      <c r="G165" s="14" t="s">
        <v>92</v>
      </c>
      <c r="H165" s="14" t="s">
        <v>93</v>
      </c>
      <c r="I165" s="14" t="s">
        <v>94</v>
      </c>
      <c r="J165" s="14" t="s">
        <v>90</v>
      </c>
      <c r="K165" s="14" t="str">
        <f>IFERROR(TEXT(_xlfn.XLOOKUP(_xlfn.CONCAT(Weld_list[[#This Row],[流水號]],"_",Weld_list[[#This Row],[銲口編號]]),焊口登報表!D:D,焊口登報表!C:C,,0),"yyyy/mm/dd"),"")</f>
        <v/>
      </c>
      <c r="M165" s="15" t="str">
        <f>IFERROR(TEXT(_xlfn.XLOOKUP(_xlfn.CONCAT(Weld_list[[#This Row],[流水號]],"_",Weld_list[[#This Row],[銲口編號]]),焊口登報表!F:F,焊口登報表!E:E,,0),"yyyy/mm/dd"),"")</f>
        <v/>
      </c>
      <c r="Q16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65" s="14"/>
      <c r="S165" s="14">
        <v>1</v>
      </c>
    </row>
    <row r="166" spans="1:19" ht="20.25" hidden="1" customHeight="1">
      <c r="A166" s="14">
        <v>11</v>
      </c>
      <c r="B166" s="17" t="s">
        <v>118</v>
      </c>
      <c r="C166" s="49" t="s">
        <v>89</v>
      </c>
      <c r="D166" s="14">
        <v>15</v>
      </c>
      <c r="E166" s="14">
        <v>0.5</v>
      </c>
      <c r="F166" s="21">
        <f>IF(E166&lt;&gt;"",IF(Weld_list[[#This Row],[尺寸]]&lt;1,1,E166),"")</f>
        <v>1</v>
      </c>
      <c r="G166" s="14" t="s">
        <v>100</v>
      </c>
      <c r="H166" s="14" t="s">
        <v>93</v>
      </c>
      <c r="I166" s="14" t="s">
        <v>102</v>
      </c>
      <c r="J166" s="14" t="s">
        <v>95</v>
      </c>
      <c r="K166" s="14" t="str">
        <f>IFERROR(TEXT(_xlfn.XLOOKUP(_xlfn.CONCAT(Weld_list[[#This Row],[流水號]],"_",Weld_list[[#This Row],[銲口編號]]),焊口登報表!D:D,焊口登報表!C:C,,0),"yyyy/mm/dd"),"")</f>
        <v>2025/08/25</v>
      </c>
      <c r="L166" s="14" t="s">
        <v>275</v>
      </c>
      <c r="M166" s="63">
        <v>45897</v>
      </c>
      <c r="Q16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66" s="14"/>
      <c r="S166" s="14">
        <v>1</v>
      </c>
    </row>
    <row r="167" spans="1:19" ht="20.25" hidden="1" customHeight="1">
      <c r="A167" s="14">
        <v>11</v>
      </c>
      <c r="B167" s="17" t="s">
        <v>118</v>
      </c>
      <c r="C167" s="49" t="s">
        <v>89</v>
      </c>
      <c r="D167" s="14">
        <v>16</v>
      </c>
      <c r="E167" s="14">
        <v>0.5</v>
      </c>
      <c r="F167" s="21">
        <f>IF(E167&lt;&gt;"",IF(Weld_list[[#This Row],[尺寸]]&lt;1,1,E167),"")</f>
        <v>1</v>
      </c>
      <c r="G167" s="14" t="s">
        <v>100</v>
      </c>
      <c r="H167" s="14" t="s">
        <v>93</v>
      </c>
      <c r="I167" s="14" t="s">
        <v>101</v>
      </c>
      <c r="J167" s="14" t="s">
        <v>95</v>
      </c>
      <c r="K167" s="14" t="str">
        <f>IFERROR(TEXT(_xlfn.XLOOKUP(_xlfn.CONCAT(Weld_list[[#This Row],[流水號]],"_",Weld_list[[#This Row],[銲口編號]]),焊口登報表!D:D,焊口登報表!C:C,,0),"yyyy/mm/dd"),"")</f>
        <v>2025/08/25</v>
      </c>
      <c r="L167" s="14" t="s">
        <v>275</v>
      </c>
      <c r="M167" s="63">
        <v>45897</v>
      </c>
      <c r="Q16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67" s="14"/>
      <c r="S167" s="14">
        <v>1</v>
      </c>
    </row>
    <row r="168" spans="1:19" ht="20.25" hidden="1" customHeight="1">
      <c r="A168" s="14">
        <v>11</v>
      </c>
      <c r="B168" s="17" t="s">
        <v>118</v>
      </c>
      <c r="C168" s="49" t="s">
        <v>89</v>
      </c>
      <c r="D168" s="14">
        <v>17</v>
      </c>
      <c r="E168" s="14">
        <v>0.5</v>
      </c>
      <c r="F168" s="21">
        <f>IF(E168&lt;&gt;"",IF(Weld_list[[#This Row],[尺寸]]&lt;1,1,E168),"")</f>
        <v>1</v>
      </c>
      <c r="G168" s="14" t="s">
        <v>100</v>
      </c>
      <c r="H168" s="14" t="s">
        <v>93</v>
      </c>
      <c r="I168" s="14" t="s">
        <v>101</v>
      </c>
      <c r="J168" s="14" t="s">
        <v>95</v>
      </c>
      <c r="K168" s="14" t="str">
        <f>IFERROR(TEXT(_xlfn.XLOOKUP(_xlfn.CONCAT(Weld_list[[#This Row],[流水號]],"_",Weld_list[[#This Row],[銲口編號]]),焊口登報表!D:D,焊口登報表!C:C,,0),"yyyy/mm/dd"),"")</f>
        <v>2025/08/25</v>
      </c>
      <c r="L168" s="14" t="s">
        <v>275</v>
      </c>
      <c r="M168" s="63">
        <v>45897</v>
      </c>
      <c r="Q16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68" s="14"/>
      <c r="S168" s="14">
        <v>1</v>
      </c>
    </row>
    <row r="169" spans="1:19" ht="20.25" hidden="1" customHeight="1">
      <c r="A169" s="14">
        <v>11</v>
      </c>
      <c r="B169" s="17" t="s">
        <v>118</v>
      </c>
      <c r="C169" s="49" t="s">
        <v>89</v>
      </c>
      <c r="D169" s="14">
        <v>18</v>
      </c>
      <c r="E169" s="14">
        <v>2.5</v>
      </c>
      <c r="F169" s="21">
        <f>IF(E169&lt;&gt;"",IF(Weld_list[[#This Row],[尺寸]]&lt;1,1,E169),"")</f>
        <v>2.5</v>
      </c>
      <c r="G169" s="14" t="s">
        <v>92</v>
      </c>
      <c r="H169" s="14" t="s">
        <v>93</v>
      </c>
      <c r="I169" s="14" t="s">
        <v>76</v>
      </c>
      <c r="J169" s="14" t="s">
        <v>95</v>
      </c>
      <c r="K169" s="14" t="str">
        <f>IFERROR(TEXT(_xlfn.XLOOKUP(_xlfn.CONCAT(Weld_list[[#This Row],[流水號]],"_",Weld_list[[#This Row],[銲口編號]]),焊口登報表!D:D,焊口登報表!C:C,,0),"yyyy/mm/dd"),"")</f>
        <v>2025/08/25</v>
      </c>
      <c r="L169" s="14" t="s">
        <v>270</v>
      </c>
      <c r="M169" s="63">
        <v>45897</v>
      </c>
      <c r="Q16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69" s="14"/>
      <c r="S169" s="14">
        <v>1</v>
      </c>
    </row>
    <row r="170" spans="1:19" ht="20.25" hidden="1" customHeight="1">
      <c r="A170" s="14">
        <v>11</v>
      </c>
      <c r="B170" s="17" t="s">
        <v>118</v>
      </c>
      <c r="C170" s="49" t="s">
        <v>89</v>
      </c>
      <c r="D170" s="14">
        <v>19</v>
      </c>
      <c r="E170" s="14">
        <v>2.5</v>
      </c>
      <c r="F170" s="21">
        <f>IF(E170&lt;&gt;"",IF(Weld_list[[#This Row],[尺寸]]&lt;1,1,E170),"")</f>
        <v>2.5</v>
      </c>
      <c r="G170" s="14" t="s">
        <v>92</v>
      </c>
      <c r="H170" s="14" t="s">
        <v>93</v>
      </c>
      <c r="I170" s="14" t="s">
        <v>76</v>
      </c>
      <c r="J170" s="14" t="s">
        <v>95</v>
      </c>
      <c r="K170" s="14" t="str">
        <f>IFERROR(TEXT(_xlfn.XLOOKUP(_xlfn.CONCAT(Weld_list[[#This Row],[流水號]],"_",Weld_list[[#This Row],[銲口編號]]),焊口登報表!D:D,焊口登報表!C:C,,0),"yyyy/mm/dd"),"")</f>
        <v>2025/08/25</v>
      </c>
      <c r="L170" s="14" t="s">
        <v>270</v>
      </c>
      <c r="M170" s="63">
        <v>45897</v>
      </c>
      <c r="Q17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70" s="14"/>
      <c r="S170" s="14">
        <v>1</v>
      </c>
    </row>
    <row r="171" spans="1:19" ht="20.25" hidden="1" customHeight="1">
      <c r="A171" s="14">
        <v>11</v>
      </c>
      <c r="B171" s="17" t="s">
        <v>118</v>
      </c>
      <c r="C171" s="49" t="s">
        <v>89</v>
      </c>
      <c r="D171" s="14" t="s">
        <v>112</v>
      </c>
      <c r="E171" s="14">
        <v>2.5</v>
      </c>
      <c r="F171" s="21">
        <f>IF(E171&lt;&gt;"",IF(Weld_list[[#This Row],[尺寸]]&lt;1,1,E171),"")</f>
        <v>2.5</v>
      </c>
      <c r="G171" s="14" t="s">
        <v>92</v>
      </c>
      <c r="H171" s="14" t="s">
        <v>93</v>
      </c>
      <c r="I171" s="14" t="s">
        <v>94</v>
      </c>
      <c r="J171" s="14" t="s">
        <v>90</v>
      </c>
      <c r="K171" s="14" t="str">
        <f>IFERROR(TEXT(_xlfn.XLOOKUP(_xlfn.CONCAT(Weld_list[[#This Row],[流水號]],"_",Weld_list[[#This Row],[銲口編號]]),焊口登報表!D:D,焊口登報表!C:C,,0),"yyyy/mm/dd"),"")</f>
        <v/>
      </c>
      <c r="M171" s="15" t="str">
        <f>IFERROR(TEXT(_xlfn.XLOOKUP(_xlfn.CONCAT(Weld_list[[#This Row],[流水號]],"_",Weld_list[[#This Row],[銲口編號]]),焊口登報表!F:F,焊口登報表!E:E,,0),"yyyy/mm/dd"),"")</f>
        <v/>
      </c>
      <c r="Q17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\\192.168.1.50\3勝一\SE-37(彰濱)\01.工程圖面\01.ISO\ISO\11.(UG)FW-90201...-C1AU-02.pdf</v>
      </c>
      <c r="R171" s="14"/>
      <c r="S171" s="14">
        <v>1</v>
      </c>
    </row>
    <row r="172" spans="1:19" ht="20.25" hidden="1" customHeight="1">
      <c r="A172" s="14">
        <v>12</v>
      </c>
      <c r="B172" s="17" t="s">
        <v>120</v>
      </c>
      <c r="C172" s="49" t="s">
        <v>85</v>
      </c>
      <c r="D172" s="14">
        <v>1</v>
      </c>
      <c r="E172" s="14">
        <v>6</v>
      </c>
      <c r="F172" s="21">
        <f>IF(E172&lt;&gt;"",IF(Weld_list[[#This Row],[尺寸]]&lt;1,1,E172),"")</f>
        <v>6</v>
      </c>
      <c r="G172" s="14" t="s">
        <v>92</v>
      </c>
      <c r="H172" s="14" t="s">
        <v>93</v>
      </c>
      <c r="I172" s="14" t="s">
        <v>76</v>
      </c>
      <c r="J172" s="14" t="s">
        <v>95</v>
      </c>
      <c r="K172" s="14" t="str">
        <f>IFERROR(TEXT(_xlfn.XLOOKUP(_xlfn.CONCAT(Weld_list[[#This Row],[流水號]],"_",Weld_list[[#This Row],[銲口編號]]),焊口登報表!D:D,焊口登報表!C:C,,0),"yyyy/mm/dd"),"")</f>
        <v>2025/08/06</v>
      </c>
      <c r="L172" s="14" t="s">
        <v>270</v>
      </c>
      <c r="M172" s="63">
        <v>45877</v>
      </c>
      <c r="Q17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2" s="14"/>
      <c r="S172" s="14">
        <v>1</v>
      </c>
    </row>
    <row r="173" spans="1:19" ht="20.25" hidden="1" customHeight="1">
      <c r="A173" s="14">
        <v>12</v>
      </c>
      <c r="B173" s="17" t="s">
        <v>120</v>
      </c>
      <c r="C173" s="49" t="s">
        <v>85</v>
      </c>
      <c r="D173" s="14">
        <v>2</v>
      </c>
      <c r="E173" s="14">
        <v>6</v>
      </c>
      <c r="F173" s="21">
        <f>IF(E173&lt;&gt;"",IF(Weld_list[[#This Row],[尺寸]]&lt;1,1,E173),"")</f>
        <v>6</v>
      </c>
      <c r="G173" s="14" t="s">
        <v>92</v>
      </c>
      <c r="H173" s="14" t="s">
        <v>93</v>
      </c>
      <c r="I173" s="14" t="s">
        <v>76</v>
      </c>
      <c r="J173" s="14" t="s">
        <v>95</v>
      </c>
      <c r="K173" s="14" t="str">
        <f>IFERROR(TEXT(_xlfn.XLOOKUP(_xlfn.CONCAT(Weld_list[[#This Row],[流水號]],"_",Weld_list[[#This Row],[銲口編號]]),焊口登報表!D:D,焊口登報表!C:C,,0),"yyyy/mm/dd"),"")</f>
        <v>2025/08/06</v>
      </c>
      <c r="L173" s="14" t="s">
        <v>270</v>
      </c>
      <c r="M173" s="63">
        <v>45877</v>
      </c>
      <c r="Q17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3" s="14"/>
      <c r="S173" s="14">
        <v>1</v>
      </c>
    </row>
    <row r="174" spans="1:19" ht="20.25" hidden="1" customHeight="1">
      <c r="A174" s="14">
        <v>12</v>
      </c>
      <c r="B174" s="17" t="s">
        <v>120</v>
      </c>
      <c r="C174" s="49" t="s">
        <v>85</v>
      </c>
      <c r="D174" s="14">
        <v>3</v>
      </c>
      <c r="E174" s="14">
        <v>6</v>
      </c>
      <c r="F174" s="21">
        <f>IF(E174&lt;&gt;"",IF(Weld_list[[#This Row],[尺寸]]&lt;1,1,E174),"")</f>
        <v>6</v>
      </c>
      <c r="G174" s="14" t="s">
        <v>92</v>
      </c>
      <c r="H174" s="14" t="s">
        <v>93</v>
      </c>
      <c r="I174" s="14" t="s">
        <v>76</v>
      </c>
      <c r="J174" s="14" t="s">
        <v>95</v>
      </c>
      <c r="K174" s="14" t="str">
        <f>IFERROR(TEXT(_xlfn.XLOOKUP(_xlfn.CONCAT(Weld_list[[#This Row],[流水號]],"_",Weld_list[[#This Row],[銲口編號]]),焊口登報表!D:D,焊口登報表!C:C,,0),"yyyy/mm/dd"),"")</f>
        <v>2025/08/06</v>
      </c>
      <c r="L174" s="14" t="s">
        <v>270</v>
      </c>
      <c r="M174" s="63">
        <v>45877</v>
      </c>
      <c r="Q17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4" s="14"/>
      <c r="S174" s="14">
        <v>1</v>
      </c>
    </row>
    <row r="175" spans="1:19" ht="20.25" hidden="1" customHeight="1">
      <c r="A175" s="14">
        <v>12</v>
      </c>
      <c r="B175" s="17" t="s">
        <v>120</v>
      </c>
      <c r="C175" s="49" t="s">
        <v>85</v>
      </c>
      <c r="D175" s="14">
        <v>4</v>
      </c>
      <c r="E175" s="14">
        <v>6</v>
      </c>
      <c r="F175" s="21">
        <f>IF(E175&lt;&gt;"",IF(Weld_list[[#This Row],[尺寸]]&lt;1,1,E175),"")</f>
        <v>6</v>
      </c>
      <c r="G175" s="14" t="s">
        <v>92</v>
      </c>
      <c r="H175" s="14" t="s">
        <v>93</v>
      </c>
      <c r="I175" s="14" t="s">
        <v>76</v>
      </c>
      <c r="J175" s="14" t="s">
        <v>95</v>
      </c>
      <c r="K175" s="14" t="str">
        <f>IFERROR(TEXT(_xlfn.XLOOKUP(_xlfn.CONCAT(Weld_list[[#This Row],[流水號]],"_",Weld_list[[#This Row],[銲口編號]]),焊口登報表!D:D,焊口登報表!C:C,,0),"yyyy/mm/dd"),"")</f>
        <v>2025/08/06</v>
      </c>
      <c r="L175" s="14" t="s">
        <v>270</v>
      </c>
      <c r="M175" s="63">
        <v>45877</v>
      </c>
      <c r="Q17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5" s="14"/>
      <c r="S175" s="14">
        <v>1</v>
      </c>
    </row>
    <row r="176" spans="1:19" ht="20.25" customHeight="1">
      <c r="A176" s="14">
        <v>12</v>
      </c>
      <c r="B176" s="17" t="s">
        <v>120</v>
      </c>
      <c r="C176" s="49" t="s">
        <v>85</v>
      </c>
      <c r="D176" s="14">
        <v>5</v>
      </c>
      <c r="E176" s="14">
        <v>6</v>
      </c>
      <c r="F176" s="21">
        <f>IF(E176&lt;&gt;"",IF(Weld_list[[#This Row],[尺寸]]&lt;1,1,E176),"")</f>
        <v>6</v>
      </c>
      <c r="G176" s="14" t="s">
        <v>92</v>
      </c>
      <c r="H176" s="14" t="s">
        <v>93</v>
      </c>
      <c r="I176" s="14" t="s">
        <v>76</v>
      </c>
      <c r="J176" s="14" t="s">
        <v>95</v>
      </c>
      <c r="K176" s="14" t="str">
        <f>IFERROR(TEXT(_xlfn.XLOOKUP(_xlfn.CONCAT(Weld_list[[#This Row],[流水號]],"_",Weld_list[[#This Row],[銲口編號]]),焊口登報表!D:D,焊口登報表!C:C,,0),"yyyy/mm/dd"),"")</f>
        <v>2025/12/25</v>
      </c>
      <c r="L176" s="14" t="s">
        <v>270</v>
      </c>
      <c r="M176" s="15" t="str">
        <f>IFERROR(TEXT(_xlfn.XLOOKUP(_xlfn.CONCAT(Weld_list[[#This Row],[流水號]],"_",Weld_list[[#This Row],[銲口編號]]),焊口登報表!F:F,焊口登報表!E:E,,0),"yyyy/mm/dd"),"")</f>
        <v>2025/12/28</v>
      </c>
      <c r="Q17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6" s="14"/>
      <c r="S176" s="14">
        <v>1</v>
      </c>
    </row>
    <row r="177" spans="1:19" ht="20.25" hidden="1" customHeight="1">
      <c r="A177" s="14">
        <v>12</v>
      </c>
      <c r="B177" s="17" t="s">
        <v>120</v>
      </c>
      <c r="C177" s="49" t="s">
        <v>85</v>
      </c>
      <c r="D177" s="14">
        <v>6</v>
      </c>
      <c r="E177" s="14">
        <v>6</v>
      </c>
      <c r="F177" s="21">
        <f>IF(E177&lt;&gt;"",IF(Weld_list[[#This Row],[尺寸]]&lt;1,1,E177),"")</f>
        <v>6</v>
      </c>
      <c r="G177" s="14" t="s">
        <v>92</v>
      </c>
      <c r="H177" s="14" t="s">
        <v>93</v>
      </c>
      <c r="I177" s="14" t="s">
        <v>76</v>
      </c>
      <c r="J177" s="14" t="s">
        <v>95</v>
      </c>
      <c r="K177" s="14" t="str">
        <f>IFERROR(TEXT(_xlfn.XLOOKUP(_xlfn.CONCAT(Weld_list[[#This Row],[流水號]],"_",Weld_list[[#This Row],[銲口編號]]),焊口登報表!D:D,焊口登報表!C:C,,0),"yyyy/mm/dd"),"")</f>
        <v>2025/08/06</v>
      </c>
      <c r="L177" s="14" t="s">
        <v>270</v>
      </c>
      <c r="M177" s="63">
        <v>45877</v>
      </c>
      <c r="Q17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7" s="14"/>
      <c r="S177" s="14">
        <v>1</v>
      </c>
    </row>
    <row r="178" spans="1:19" ht="20.25" hidden="1" customHeight="1">
      <c r="A178" s="14">
        <v>12</v>
      </c>
      <c r="B178" s="17" t="s">
        <v>120</v>
      </c>
      <c r="C178" s="49" t="s">
        <v>85</v>
      </c>
      <c r="D178" s="14">
        <v>7</v>
      </c>
      <c r="E178" s="14">
        <v>6</v>
      </c>
      <c r="F178" s="21">
        <f>IF(E178&lt;&gt;"",IF(Weld_list[[#This Row],[尺寸]]&lt;1,1,E178),"")</f>
        <v>6</v>
      </c>
      <c r="G178" s="14" t="s">
        <v>92</v>
      </c>
      <c r="H178" s="14" t="s">
        <v>93</v>
      </c>
      <c r="I178" s="14" t="s">
        <v>76</v>
      </c>
      <c r="J178" s="14" t="s">
        <v>95</v>
      </c>
      <c r="K178" s="14" t="str">
        <f>IFERROR(TEXT(_xlfn.XLOOKUP(_xlfn.CONCAT(Weld_list[[#This Row],[流水號]],"_",Weld_list[[#This Row],[銲口編號]]),焊口登報表!D:D,焊口登報表!C:C,,0),"yyyy/mm/dd"),"")</f>
        <v>2025/08/06</v>
      </c>
      <c r="L178" s="14" t="s">
        <v>270</v>
      </c>
      <c r="M178" s="63">
        <v>45877</v>
      </c>
      <c r="Q17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8" s="14"/>
      <c r="S178" s="14">
        <v>1</v>
      </c>
    </row>
    <row r="179" spans="1:19" ht="20.25" customHeight="1">
      <c r="A179" s="14">
        <v>12</v>
      </c>
      <c r="B179" s="17" t="s">
        <v>120</v>
      </c>
      <c r="C179" s="49" t="s">
        <v>85</v>
      </c>
      <c r="D179" s="14">
        <v>8</v>
      </c>
      <c r="E179" s="14">
        <v>6</v>
      </c>
      <c r="F179" s="21">
        <f>IF(E179&lt;&gt;"",IF(Weld_list[[#This Row],[尺寸]]&lt;1,1,E179),"")</f>
        <v>6</v>
      </c>
      <c r="G179" s="14" t="s">
        <v>92</v>
      </c>
      <c r="H179" s="14" t="s">
        <v>93</v>
      </c>
      <c r="I179" s="14" t="s">
        <v>76</v>
      </c>
      <c r="J179" s="14" t="s">
        <v>95</v>
      </c>
      <c r="K179" s="14" t="str">
        <f>IFERROR(TEXT(_xlfn.XLOOKUP(_xlfn.CONCAT(Weld_list[[#This Row],[流水號]],"_",Weld_list[[#This Row],[銲口編號]]),焊口登報表!D:D,焊口登報表!C:C,,0),"yyyy/mm/dd"),"")</f>
        <v>2025/12/25</v>
      </c>
      <c r="L179" s="14" t="s">
        <v>270</v>
      </c>
      <c r="M179" s="15" t="str">
        <f>IFERROR(TEXT(_xlfn.XLOOKUP(_xlfn.CONCAT(Weld_list[[#This Row],[流水號]],"_",Weld_list[[#This Row],[銲口編號]]),焊口登報表!F:F,焊口登報表!E:E,,0),"yyyy/mm/dd"),"")</f>
        <v>2025/12/28</v>
      </c>
      <c r="Q17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79" s="14"/>
      <c r="S179" s="14">
        <v>1</v>
      </c>
    </row>
    <row r="180" spans="1:19" ht="20.25" hidden="1" customHeight="1">
      <c r="A180" s="14">
        <v>12</v>
      </c>
      <c r="B180" s="17" t="s">
        <v>120</v>
      </c>
      <c r="C180" s="49" t="s">
        <v>85</v>
      </c>
      <c r="D180" s="14">
        <v>9</v>
      </c>
      <c r="E180" s="14">
        <v>6</v>
      </c>
      <c r="F180" s="21">
        <f>IF(E180&lt;&gt;"",IF(Weld_list[[#This Row],[尺寸]]&lt;1,1,E180),"")</f>
        <v>6</v>
      </c>
      <c r="G180" s="14" t="s">
        <v>92</v>
      </c>
      <c r="H180" s="14" t="s">
        <v>93</v>
      </c>
      <c r="I180" s="14" t="s">
        <v>76</v>
      </c>
      <c r="J180" s="14" t="s">
        <v>95</v>
      </c>
      <c r="K180" s="14" t="str">
        <f>IFERROR(TEXT(_xlfn.XLOOKUP(_xlfn.CONCAT(Weld_list[[#This Row],[流水號]],"_",Weld_list[[#This Row],[銲口編號]]),焊口登報表!D:D,焊口登報表!C:C,,0),"yyyy/mm/dd"),"")</f>
        <v>2025/08/06</v>
      </c>
      <c r="L180" s="14" t="s">
        <v>270</v>
      </c>
      <c r="M180" s="63">
        <v>45877</v>
      </c>
      <c r="Q18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0" s="14"/>
      <c r="S180" s="14">
        <v>1</v>
      </c>
    </row>
    <row r="181" spans="1:19" ht="20.25" hidden="1" customHeight="1">
      <c r="A181" s="14">
        <v>12</v>
      </c>
      <c r="B181" s="17" t="s">
        <v>120</v>
      </c>
      <c r="C181" s="49" t="s">
        <v>85</v>
      </c>
      <c r="D181" s="14">
        <v>10</v>
      </c>
      <c r="E181" s="14">
        <v>6</v>
      </c>
      <c r="F181" s="21">
        <f>IF(E181&lt;&gt;"",IF(Weld_list[[#This Row],[尺寸]]&lt;1,1,E181),"")</f>
        <v>6</v>
      </c>
      <c r="G181" s="14" t="s">
        <v>92</v>
      </c>
      <c r="H181" s="14" t="s">
        <v>93</v>
      </c>
      <c r="I181" s="14" t="s">
        <v>76</v>
      </c>
      <c r="J181" s="14" t="s">
        <v>95</v>
      </c>
      <c r="K181" s="14" t="str">
        <f>IFERROR(TEXT(_xlfn.XLOOKUP(_xlfn.CONCAT(Weld_list[[#This Row],[流水號]],"_",Weld_list[[#This Row],[銲口編號]]),焊口登報表!D:D,焊口登報表!C:C,,0),"yyyy/mm/dd"),"")</f>
        <v>2025/08/06</v>
      </c>
      <c r="L181" s="14" t="s">
        <v>270</v>
      </c>
      <c r="M181" s="63">
        <v>45877</v>
      </c>
      <c r="Q18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1" s="14"/>
      <c r="S181" s="14">
        <v>1</v>
      </c>
    </row>
    <row r="182" spans="1:19" ht="20.25" hidden="1" customHeight="1">
      <c r="A182" s="14">
        <v>12</v>
      </c>
      <c r="B182" s="17" t="s">
        <v>120</v>
      </c>
      <c r="C182" s="49" t="s">
        <v>85</v>
      </c>
      <c r="D182" s="14">
        <v>11</v>
      </c>
      <c r="E182" s="14">
        <v>6</v>
      </c>
      <c r="F182" s="21">
        <f>IF(E182&lt;&gt;"",IF(Weld_list[[#This Row],[尺寸]]&lt;1,1,E182),"")</f>
        <v>6</v>
      </c>
      <c r="G182" s="14" t="s">
        <v>92</v>
      </c>
      <c r="H182" s="14" t="s">
        <v>93</v>
      </c>
      <c r="I182" s="14" t="s">
        <v>76</v>
      </c>
      <c r="J182" s="14" t="s">
        <v>95</v>
      </c>
      <c r="K182" s="14" t="str">
        <f>IFERROR(TEXT(_xlfn.XLOOKUP(_xlfn.CONCAT(Weld_list[[#This Row],[流水號]],"_",Weld_list[[#This Row],[銲口編號]]),焊口登報表!D:D,焊口登報表!C:C,,0),"yyyy/mm/dd"),"")</f>
        <v>2025/08/06</v>
      </c>
      <c r="L182" s="14" t="s">
        <v>270</v>
      </c>
      <c r="M182" s="63">
        <v>45877</v>
      </c>
      <c r="Q18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2" s="14"/>
      <c r="S182" s="14">
        <v>1</v>
      </c>
    </row>
    <row r="183" spans="1:19" ht="20.25" hidden="1" customHeight="1">
      <c r="A183" s="14">
        <v>12</v>
      </c>
      <c r="B183" s="17" t="s">
        <v>120</v>
      </c>
      <c r="C183" s="49" t="s">
        <v>85</v>
      </c>
      <c r="D183" s="14">
        <v>12</v>
      </c>
      <c r="E183" s="14">
        <v>6</v>
      </c>
      <c r="F183" s="21">
        <f>IF(E183&lt;&gt;"",IF(Weld_list[[#This Row],[尺寸]]&lt;1,1,E183),"")</f>
        <v>6</v>
      </c>
      <c r="G183" s="14" t="s">
        <v>92</v>
      </c>
      <c r="H183" s="14" t="s">
        <v>93</v>
      </c>
      <c r="I183" s="14" t="s">
        <v>76</v>
      </c>
      <c r="J183" s="14" t="s">
        <v>95</v>
      </c>
      <c r="K183" s="14" t="str">
        <f>IFERROR(TEXT(_xlfn.XLOOKUP(_xlfn.CONCAT(Weld_list[[#This Row],[流水號]],"_",Weld_list[[#This Row],[銲口編號]]),焊口登報表!D:D,焊口登報表!C:C,,0),"yyyy/mm/dd"),"")</f>
        <v>2025/08/06</v>
      </c>
      <c r="L183" s="14" t="s">
        <v>270</v>
      </c>
      <c r="M183" s="63">
        <v>45877</v>
      </c>
      <c r="Q18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3" s="14"/>
      <c r="S183" s="14">
        <v>1</v>
      </c>
    </row>
    <row r="184" spans="1:19" ht="20.25" hidden="1" customHeight="1">
      <c r="A184" s="14">
        <v>12</v>
      </c>
      <c r="B184" s="17" t="s">
        <v>120</v>
      </c>
      <c r="C184" s="49" t="s">
        <v>85</v>
      </c>
      <c r="D184" s="14">
        <v>13</v>
      </c>
      <c r="E184" s="14">
        <v>6</v>
      </c>
      <c r="F184" s="21">
        <f>IF(E184&lt;&gt;"",IF(Weld_list[[#This Row],[尺寸]]&lt;1,1,E184),"")</f>
        <v>6</v>
      </c>
      <c r="G184" s="14" t="s">
        <v>92</v>
      </c>
      <c r="H184" s="14" t="s">
        <v>93</v>
      </c>
      <c r="I184" s="14" t="s">
        <v>76</v>
      </c>
      <c r="J184" s="14" t="s">
        <v>95</v>
      </c>
      <c r="K184" s="14" t="str">
        <f>IFERROR(TEXT(_xlfn.XLOOKUP(_xlfn.CONCAT(Weld_list[[#This Row],[流水號]],"_",Weld_list[[#This Row],[銲口編號]]),焊口登報表!D:D,焊口登報表!C:C,,0),"yyyy/mm/dd"),"")</f>
        <v>2025/08/06</v>
      </c>
      <c r="L184" s="14" t="s">
        <v>270</v>
      </c>
      <c r="M184" s="63">
        <v>45877</v>
      </c>
      <c r="Q18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4" s="14"/>
      <c r="S184" s="14">
        <v>1</v>
      </c>
    </row>
    <row r="185" spans="1:19" ht="20.25" hidden="1" customHeight="1">
      <c r="A185" s="14">
        <v>12</v>
      </c>
      <c r="B185" s="17" t="s">
        <v>120</v>
      </c>
      <c r="C185" s="49" t="s">
        <v>85</v>
      </c>
      <c r="D185" s="14">
        <v>14</v>
      </c>
      <c r="E185" s="14">
        <v>6</v>
      </c>
      <c r="F185" s="21">
        <f>IF(E185&lt;&gt;"",IF(Weld_list[[#This Row],[尺寸]]&lt;1,1,E185),"")</f>
        <v>6</v>
      </c>
      <c r="G185" s="14" t="s">
        <v>92</v>
      </c>
      <c r="H185" s="14" t="s">
        <v>93</v>
      </c>
      <c r="I185" s="14" t="s">
        <v>76</v>
      </c>
      <c r="J185" s="14" t="s">
        <v>95</v>
      </c>
      <c r="K185" s="14" t="str">
        <f>IFERROR(TEXT(_xlfn.XLOOKUP(_xlfn.CONCAT(Weld_list[[#This Row],[流水號]],"_",Weld_list[[#This Row],[銲口編號]]),焊口登報表!D:D,焊口登報表!C:C,,0),"yyyy/mm/dd"),"")</f>
        <v>2025/08/06</v>
      </c>
      <c r="L185" s="14" t="s">
        <v>270</v>
      </c>
      <c r="M185" s="63">
        <v>45877</v>
      </c>
      <c r="Q18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5" s="14"/>
      <c r="S185" s="14">
        <v>1</v>
      </c>
    </row>
    <row r="186" spans="1:19" ht="20.25" customHeight="1">
      <c r="A186" s="14">
        <v>12</v>
      </c>
      <c r="B186" s="17" t="s">
        <v>120</v>
      </c>
      <c r="C186" s="49" t="s">
        <v>85</v>
      </c>
      <c r="D186" s="14">
        <v>15</v>
      </c>
      <c r="E186" s="14">
        <v>6</v>
      </c>
      <c r="F186" s="21">
        <f>IF(E186&lt;&gt;"",IF(Weld_list[[#This Row],[尺寸]]&lt;1,1,E186),"")</f>
        <v>6</v>
      </c>
      <c r="G186" s="14" t="s">
        <v>92</v>
      </c>
      <c r="H186" s="14" t="s">
        <v>93</v>
      </c>
      <c r="I186" s="14" t="s">
        <v>76</v>
      </c>
      <c r="J186" s="14" t="s">
        <v>95</v>
      </c>
      <c r="K186" s="14" t="str">
        <f>IFERROR(TEXT(_xlfn.XLOOKUP(_xlfn.CONCAT(Weld_list[[#This Row],[流水號]],"_",Weld_list[[#This Row],[銲口編號]]),焊口登報表!D:D,焊口登報表!C:C,,0),"yyyy/mm/dd"),"")</f>
        <v>2025/12/25</v>
      </c>
      <c r="L186" s="14" t="s">
        <v>270</v>
      </c>
      <c r="M186" s="15" t="str">
        <f>IFERROR(TEXT(_xlfn.XLOOKUP(_xlfn.CONCAT(Weld_list[[#This Row],[流水號]],"_",Weld_list[[#This Row],[銲口編號]]),焊口登報表!F:F,焊口登報表!E:E,,0),"yyyy/mm/dd"),"")</f>
        <v>2025/12/28</v>
      </c>
      <c r="Q18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6" s="14"/>
      <c r="S186" s="14">
        <v>1</v>
      </c>
    </row>
    <row r="187" spans="1:19" ht="20.25" hidden="1" customHeight="1">
      <c r="A187" s="14">
        <v>12</v>
      </c>
      <c r="B187" s="17" t="s">
        <v>120</v>
      </c>
      <c r="C187" s="49" t="s">
        <v>85</v>
      </c>
      <c r="D187" s="14">
        <v>16</v>
      </c>
      <c r="E187" s="14">
        <v>6</v>
      </c>
      <c r="F187" s="21">
        <f>IF(E187&lt;&gt;"",IF(Weld_list[[#This Row],[尺寸]]&lt;1,1,E187),"")</f>
        <v>6</v>
      </c>
      <c r="G187" s="14" t="s">
        <v>92</v>
      </c>
      <c r="H187" s="14" t="s">
        <v>93</v>
      </c>
      <c r="I187" s="14" t="s">
        <v>76</v>
      </c>
      <c r="J187" s="14" t="s">
        <v>95</v>
      </c>
      <c r="K187" s="14" t="str">
        <f>IFERROR(TEXT(_xlfn.XLOOKUP(_xlfn.CONCAT(Weld_list[[#This Row],[流水號]],"_",Weld_list[[#This Row],[銲口編號]]),焊口登報表!D:D,焊口登報表!C:C,,0),"yyyy/mm/dd"),"")</f>
        <v>2025/08/06</v>
      </c>
      <c r="L187" s="14" t="s">
        <v>270</v>
      </c>
      <c r="M187" s="63">
        <v>45877</v>
      </c>
      <c r="Q18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7" s="14"/>
      <c r="S187" s="14">
        <v>1</v>
      </c>
    </row>
    <row r="188" spans="1:19" ht="20.25" hidden="1" customHeight="1">
      <c r="A188" s="14">
        <v>12</v>
      </c>
      <c r="B188" s="17" t="s">
        <v>120</v>
      </c>
      <c r="C188" s="49" t="s">
        <v>85</v>
      </c>
      <c r="D188" s="14">
        <v>17</v>
      </c>
      <c r="E188" s="14">
        <v>6</v>
      </c>
      <c r="F188" s="21">
        <f>IF(E188&lt;&gt;"",IF(Weld_list[[#This Row],[尺寸]]&lt;1,1,E188),"")</f>
        <v>6</v>
      </c>
      <c r="G188" s="14" t="s">
        <v>92</v>
      </c>
      <c r="H188" s="14" t="s">
        <v>93</v>
      </c>
      <c r="I188" s="14" t="s">
        <v>76</v>
      </c>
      <c r="J188" s="14" t="s">
        <v>95</v>
      </c>
      <c r="K188" s="14" t="str">
        <f>IFERROR(TEXT(_xlfn.XLOOKUP(_xlfn.CONCAT(Weld_list[[#This Row],[流水號]],"_",Weld_list[[#This Row],[銲口編號]]),焊口登報表!D:D,焊口登報表!C:C,,0),"yyyy/mm/dd"),"")</f>
        <v>2025/08/06</v>
      </c>
      <c r="L188" s="14" t="s">
        <v>270</v>
      </c>
      <c r="M188" s="63">
        <v>45877</v>
      </c>
      <c r="Q18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8" s="14"/>
      <c r="S188" s="14">
        <v>1</v>
      </c>
    </row>
    <row r="189" spans="1:19" ht="20.25" hidden="1" customHeight="1">
      <c r="A189" s="14">
        <v>12</v>
      </c>
      <c r="B189" s="17" t="s">
        <v>120</v>
      </c>
      <c r="C189" s="49" t="s">
        <v>85</v>
      </c>
      <c r="D189" s="14">
        <v>18</v>
      </c>
      <c r="E189" s="14">
        <v>6</v>
      </c>
      <c r="F189" s="21">
        <f>IF(E189&lt;&gt;"",IF(Weld_list[[#This Row],[尺寸]]&lt;1,1,E189),"")</f>
        <v>6</v>
      </c>
      <c r="G189" s="14" t="s">
        <v>92</v>
      </c>
      <c r="H189" s="14" t="s">
        <v>93</v>
      </c>
      <c r="I189" s="14" t="s">
        <v>76</v>
      </c>
      <c r="J189" s="14" t="s">
        <v>95</v>
      </c>
      <c r="K189" s="14" t="str">
        <f>IFERROR(TEXT(_xlfn.XLOOKUP(_xlfn.CONCAT(Weld_list[[#This Row],[流水號]],"_",Weld_list[[#This Row],[銲口編號]]),焊口登報表!D:D,焊口登報表!C:C,,0),"yyyy/mm/dd"),"")</f>
        <v>2025/08/06</v>
      </c>
      <c r="L189" s="14" t="s">
        <v>270</v>
      </c>
      <c r="M189" s="63">
        <v>45877</v>
      </c>
      <c r="Q18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89" s="14"/>
      <c r="S189" s="14">
        <v>1</v>
      </c>
    </row>
    <row r="190" spans="1:19" ht="20.25" hidden="1" customHeight="1">
      <c r="A190" s="14">
        <v>12</v>
      </c>
      <c r="B190" s="17" t="s">
        <v>120</v>
      </c>
      <c r="C190" s="49" t="s">
        <v>85</v>
      </c>
      <c r="D190" s="14">
        <v>19</v>
      </c>
      <c r="E190" s="14">
        <v>6</v>
      </c>
      <c r="F190" s="21">
        <f>IF(E190&lt;&gt;"",IF(Weld_list[[#This Row],[尺寸]]&lt;1,1,E190),"")</f>
        <v>6</v>
      </c>
      <c r="G190" s="14" t="s">
        <v>92</v>
      </c>
      <c r="H190" s="14" t="s">
        <v>93</v>
      </c>
      <c r="I190" s="14" t="s">
        <v>76</v>
      </c>
      <c r="J190" s="14" t="s">
        <v>95</v>
      </c>
      <c r="K190" s="14" t="str">
        <f>IFERROR(TEXT(_xlfn.XLOOKUP(_xlfn.CONCAT(Weld_list[[#This Row],[流水號]],"_",Weld_list[[#This Row],[銲口編號]]),焊口登報表!D:D,焊口登報表!C:C,,0),"yyyy/mm/dd"),"")</f>
        <v>2025/08/06</v>
      </c>
      <c r="L190" s="14" t="s">
        <v>270</v>
      </c>
      <c r="M190" s="63">
        <v>45877</v>
      </c>
      <c r="Q19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90" s="14"/>
      <c r="S190" s="14">
        <v>1</v>
      </c>
    </row>
    <row r="191" spans="1:19" ht="20.25" hidden="1" customHeight="1">
      <c r="A191" s="14">
        <v>12</v>
      </c>
      <c r="B191" s="17" t="s">
        <v>120</v>
      </c>
      <c r="C191" s="49" t="s">
        <v>85</v>
      </c>
      <c r="D191" s="14" t="s">
        <v>112</v>
      </c>
      <c r="E191" s="14">
        <v>6</v>
      </c>
      <c r="F191" s="21">
        <f>IF(E191&lt;&gt;"",IF(Weld_list[[#This Row],[尺寸]]&lt;1,1,E191),"")</f>
        <v>6</v>
      </c>
      <c r="G191" s="14" t="s">
        <v>92</v>
      </c>
      <c r="H191" s="14" t="s">
        <v>93</v>
      </c>
      <c r="I191" s="14" t="s">
        <v>94</v>
      </c>
      <c r="J191" s="14" t="s">
        <v>90</v>
      </c>
      <c r="K191" s="14" t="str">
        <f>IFERROR(TEXT(_xlfn.XLOOKUP(_xlfn.CONCAT(Weld_list[[#This Row],[流水號]],"_",Weld_list[[#This Row],[銲口編號]]),焊口登報表!D:D,焊口登報表!C:C,,0),"yyyy/mm/dd"),"")</f>
        <v/>
      </c>
      <c r="M191" s="15" t="str">
        <f>IFERROR(TEXT(_xlfn.XLOOKUP(_xlfn.CONCAT(Weld_list[[#This Row],[流水號]],"_",Weld_list[[#This Row],[銲口編號]]),焊口登報表!F:F,焊口登報表!E:E,,0),"yyyy/mm/dd"),"")</f>
        <v/>
      </c>
      <c r="Q19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\\192.168.1.50\3勝一\SE-37(彰濱)\01.工程圖面\01.ISO\ISO\12.(UG)FW-90202-C1AU-01.pdf</v>
      </c>
      <c r="R191" s="14"/>
      <c r="S191" s="14">
        <v>1</v>
      </c>
    </row>
    <row r="192" spans="1:19" ht="20.25" hidden="1" customHeight="1">
      <c r="A192" s="14">
        <v>13</v>
      </c>
      <c r="B192" s="17" t="s">
        <v>121</v>
      </c>
      <c r="C192" s="49" t="s">
        <v>85</v>
      </c>
      <c r="D192" s="14">
        <v>1</v>
      </c>
      <c r="E192" s="14">
        <v>4</v>
      </c>
      <c r="F192" s="21">
        <f>IF(E192&lt;&gt;"",IF(Weld_list[[#This Row],[尺寸]]&lt;1,1,E192),"")</f>
        <v>4</v>
      </c>
      <c r="G192" s="14" t="s">
        <v>92</v>
      </c>
      <c r="H192" s="14" t="s">
        <v>93</v>
      </c>
      <c r="I192" s="14" t="s">
        <v>76</v>
      </c>
      <c r="J192" s="14" t="s">
        <v>95</v>
      </c>
      <c r="K192" s="14" t="str">
        <f>IFERROR(TEXT(_xlfn.XLOOKUP(_xlfn.CONCAT(Weld_list[[#This Row],[流水號]],"_",Weld_list[[#This Row],[銲口編號]]),焊口登報表!D:D,焊口登報表!C:C,,0),"yyyy/mm/dd"),"")</f>
        <v>2025/08/06</v>
      </c>
      <c r="L192" s="14" t="s">
        <v>270</v>
      </c>
      <c r="M192" s="63">
        <v>45877</v>
      </c>
      <c r="Q19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2" s="14"/>
      <c r="S192" s="14">
        <v>1</v>
      </c>
    </row>
    <row r="193" spans="1:19" ht="20.25" hidden="1" customHeight="1">
      <c r="A193" s="14">
        <v>13</v>
      </c>
      <c r="B193" s="17" t="s">
        <v>121</v>
      </c>
      <c r="C193" s="49" t="s">
        <v>85</v>
      </c>
      <c r="D193" s="14">
        <v>2</v>
      </c>
      <c r="E193" s="14">
        <v>4</v>
      </c>
      <c r="F193" s="21">
        <f>IF(E193&lt;&gt;"",IF(Weld_list[[#This Row],[尺寸]]&lt;1,1,E193),"")</f>
        <v>4</v>
      </c>
      <c r="G193" s="14" t="s">
        <v>92</v>
      </c>
      <c r="H193" s="14" t="s">
        <v>93</v>
      </c>
      <c r="I193" s="14" t="s">
        <v>76</v>
      </c>
      <c r="J193" s="14" t="s">
        <v>95</v>
      </c>
      <c r="K193" s="14" t="str">
        <f>IFERROR(TEXT(_xlfn.XLOOKUP(_xlfn.CONCAT(Weld_list[[#This Row],[流水號]],"_",Weld_list[[#This Row],[銲口編號]]),焊口登報表!D:D,焊口登報表!C:C,,0),"yyyy/mm/dd"),"")</f>
        <v>2025/08/06</v>
      </c>
      <c r="L193" s="14" t="s">
        <v>270</v>
      </c>
      <c r="M193" s="63">
        <v>45877</v>
      </c>
      <c r="Q19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3" s="14"/>
      <c r="S193" s="14">
        <v>1</v>
      </c>
    </row>
    <row r="194" spans="1:19" ht="20.25" hidden="1" customHeight="1">
      <c r="A194" s="14">
        <v>13</v>
      </c>
      <c r="B194" s="17" t="s">
        <v>121</v>
      </c>
      <c r="C194" s="49" t="s">
        <v>85</v>
      </c>
      <c r="D194" s="14">
        <v>3</v>
      </c>
      <c r="E194" s="14">
        <v>4</v>
      </c>
      <c r="F194" s="21">
        <f>IF(E194&lt;&gt;"",IF(Weld_list[[#This Row],[尺寸]]&lt;1,1,E194),"")</f>
        <v>4</v>
      </c>
      <c r="G194" s="14" t="s">
        <v>92</v>
      </c>
      <c r="H194" s="14" t="s">
        <v>93</v>
      </c>
      <c r="I194" s="14" t="s">
        <v>76</v>
      </c>
      <c r="J194" s="14" t="s">
        <v>95</v>
      </c>
      <c r="K194" s="14" t="str">
        <f>IFERROR(TEXT(_xlfn.XLOOKUP(_xlfn.CONCAT(Weld_list[[#This Row],[流水號]],"_",Weld_list[[#This Row],[銲口編號]]),焊口登報表!D:D,焊口登報表!C:C,,0),"yyyy/mm/dd"),"")</f>
        <v>2025/08/06</v>
      </c>
      <c r="L194" s="14" t="s">
        <v>270</v>
      </c>
      <c r="M194" s="63">
        <v>45877</v>
      </c>
      <c r="Q19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4" s="14"/>
      <c r="S194" s="14">
        <v>1</v>
      </c>
    </row>
    <row r="195" spans="1:19" ht="20.25" hidden="1" customHeight="1">
      <c r="A195" s="14">
        <v>13</v>
      </c>
      <c r="B195" s="17" t="s">
        <v>121</v>
      </c>
      <c r="C195" s="49" t="s">
        <v>85</v>
      </c>
      <c r="D195" s="14">
        <v>4</v>
      </c>
      <c r="E195" s="14">
        <v>4</v>
      </c>
      <c r="F195" s="21">
        <f>IF(E195&lt;&gt;"",IF(Weld_list[[#This Row],[尺寸]]&lt;1,1,E195),"")</f>
        <v>4</v>
      </c>
      <c r="G195" s="14" t="s">
        <v>92</v>
      </c>
      <c r="H195" s="14" t="s">
        <v>93</v>
      </c>
      <c r="I195" s="14" t="s">
        <v>76</v>
      </c>
      <c r="J195" s="14" t="s">
        <v>95</v>
      </c>
      <c r="K195" s="14" t="str">
        <f>IFERROR(TEXT(_xlfn.XLOOKUP(_xlfn.CONCAT(Weld_list[[#This Row],[流水號]],"_",Weld_list[[#This Row],[銲口編號]]),焊口登報表!D:D,焊口登報表!C:C,,0),"yyyy/mm/dd"),"")</f>
        <v>2025/11/29</v>
      </c>
      <c r="L195" s="14" t="s">
        <v>270</v>
      </c>
      <c r="M195" s="15" t="str">
        <f>IFERROR(TEXT(_xlfn.XLOOKUP(_xlfn.CONCAT(Weld_list[[#This Row],[流水號]],"_",Weld_list[[#This Row],[銲口編號]]),焊口登報表!F:F,焊口登報表!E:E,,0),"yyyy/mm/dd"),"")</f>
        <v>2025/11/30</v>
      </c>
      <c r="Q19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5" s="14"/>
      <c r="S195" s="14">
        <v>1</v>
      </c>
    </row>
    <row r="196" spans="1:19" ht="20.25" hidden="1" customHeight="1">
      <c r="A196" s="14">
        <v>13</v>
      </c>
      <c r="B196" s="17" t="s">
        <v>121</v>
      </c>
      <c r="C196" s="49" t="s">
        <v>85</v>
      </c>
      <c r="D196" s="14">
        <v>5</v>
      </c>
      <c r="E196" s="14">
        <v>4</v>
      </c>
      <c r="F196" s="21">
        <f>IF(E196&lt;&gt;"",IF(Weld_list[[#This Row],[尺寸]]&lt;1,1,E196),"")</f>
        <v>4</v>
      </c>
      <c r="G196" s="14" t="s">
        <v>92</v>
      </c>
      <c r="H196" s="14" t="s">
        <v>93</v>
      </c>
      <c r="I196" s="14" t="s">
        <v>76</v>
      </c>
      <c r="J196" s="14" t="s">
        <v>95</v>
      </c>
      <c r="K196" s="14" t="str">
        <f>IFERROR(TEXT(_xlfn.XLOOKUP(_xlfn.CONCAT(Weld_list[[#This Row],[流水號]],"_",Weld_list[[#This Row],[銲口編號]]),焊口登報表!D:D,焊口登報表!C:C,,0),"yyyy/mm/dd"),"")</f>
        <v>2025/08/06</v>
      </c>
      <c r="L196" s="14" t="s">
        <v>270</v>
      </c>
      <c r="M196" s="63">
        <v>45877</v>
      </c>
      <c r="Q19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6" s="14"/>
      <c r="S196" s="14">
        <v>1</v>
      </c>
    </row>
    <row r="197" spans="1:19" ht="20.25" hidden="1" customHeight="1">
      <c r="A197" s="14">
        <v>13</v>
      </c>
      <c r="B197" s="17" t="s">
        <v>121</v>
      </c>
      <c r="C197" s="49" t="s">
        <v>85</v>
      </c>
      <c r="D197" s="14">
        <v>6</v>
      </c>
      <c r="E197" s="14">
        <v>4</v>
      </c>
      <c r="F197" s="21">
        <f>IF(E197&lt;&gt;"",IF(Weld_list[[#This Row],[尺寸]]&lt;1,1,E197),"")</f>
        <v>4</v>
      </c>
      <c r="G197" s="14" t="s">
        <v>92</v>
      </c>
      <c r="H197" s="14" t="s">
        <v>93</v>
      </c>
      <c r="I197" s="14" t="s">
        <v>76</v>
      </c>
      <c r="J197" s="14" t="s">
        <v>95</v>
      </c>
      <c r="K197" s="14" t="str">
        <f>IFERROR(TEXT(_xlfn.XLOOKUP(_xlfn.CONCAT(Weld_list[[#This Row],[流水號]],"_",Weld_list[[#This Row],[銲口編號]]),焊口登報表!D:D,焊口登報表!C:C,,0),"yyyy/mm/dd"),"")</f>
        <v>2025/11/29</v>
      </c>
      <c r="L197" s="14" t="s">
        <v>270</v>
      </c>
      <c r="M197" s="15" t="str">
        <f>IFERROR(TEXT(_xlfn.XLOOKUP(_xlfn.CONCAT(Weld_list[[#This Row],[流水號]],"_",Weld_list[[#This Row],[銲口編號]]),焊口登報表!F:F,焊口登報表!E:E,,0),"yyyy/mm/dd"),"")</f>
        <v>2025/11/30</v>
      </c>
      <c r="Q19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7" s="14"/>
      <c r="S197" s="14">
        <v>1</v>
      </c>
    </row>
    <row r="198" spans="1:19" ht="20.25" hidden="1" customHeight="1">
      <c r="A198" s="14">
        <v>13</v>
      </c>
      <c r="B198" s="17" t="s">
        <v>121</v>
      </c>
      <c r="C198" s="49" t="s">
        <v>85</v>
      </c>
      <c r="D198" s="14">
        <v>7</v>
      </c>
      <c r="E198" s="14">
        <v>4</v>
      </c>
      <c r="F198" s="21">
        <f>IF(E198&lt;&gt;"",IF(Weld_list[[#This Row],[尺寸]]&lt;1,1,E198),"")</f>
        <v>4</v>
      </c>
      <c r="G198" s="14" t="s">
        <v>92</v>
      </c>
      <c r="H198" s="14" t="s">
        <v>93</v>
      </c>
      <c r="I198" s="14" t="s">
        <v>76</v>
      </c>
      <c r="J198" s="14" t="s">
        <v>95</v>
      </c>
      <c r="K198" s="14" t="str">
        <f>IFERROR(TEXT(_xlfn.XLOOKUP(_xlfn.CONCAT(Weld_list[[#This Row],[流水號]],"_",Weld_list[[#This Row],[銲口編號]]),焊口登報表!D:D,焊口登報表!C:C,,0),"yyyy/mm/dd"),"")</f>
        <v>2025/08/06</v>
      </c>
      <c r="L198" s="14" t="s">
        <v>270</v>
      </c>
      <c r="M198" s="63">
        <v>45877</v>
      </c>
      <c r="Q19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8" s="14"/>
      <c r="S198" s="14">
        <v>1</v>
      </c>
    </row>
    <row r="199" spans="1:19" ht="20.25" hidden="1" customHeight="1">
      <c r="A199" s="14">
        <v>13</v>
      </c>
      <c r="B199" s="17" t="s">
        <v>121</v>
      </c>
      <c r="C199" s="49" t="s">
        <v>85</v>
      </c>
      <c r="D199" s="14">
        <v>8</v>
      </c>
      <c r="E199" s="14">
        <v>4</v>
      </c>
      <c r="F199" s="21">
        <f>IF(E199&lt;&gt;"",IF(Weld_list[[#This Row],[尺寸]]&lt;1,1,E199),"")</f>
        <v>4</v>
      </c>
      <c r="G199" s="14" t="s">
        <v>92</v>
      </c>
      <c r="H199" s="14" t="s">
        <v>93</v>
      </c>
      <c r="I199" s="14" t="s">
        <v>76</v>
      </c>
      <c r="J199" s="14" t="s">
        <v>95</v>
      </c>
      <c r="K199" s="14" t="str">
        <f>IFERROR(TEXT(_xlfn.XLOOKUP(_xlfn.CONCAT(Weld_list[[#This Row],[流水號]],"_",Weld_list[[#This Row],[銲口編號]]),焊口登報表!D:D,焊口登報表!C:C,,0),"yyyy/mm/dd"),"")</f>
        <v>2025/11/29</v>
      </c>
      <c r="L199" s="14" t="s">
        <v>270</v>
      </c>
      <c r="M199" s="15" t="str">
        <f>IFERROR(TEXT(_xlfn.XLOOKUP(_xlfn.CONCAT(Weld_list[[#This Row],[流水號]],"_",Weld_list[[#This Row],[銲口編號]]),焊口登報表!F:F,焊口登報表!E:E,,0),"yyyy/mm/dd"),"")</f>
        <v>2025/11/30</v>
      </c>
      <c r="Q19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199" s="14"/>
      <c r="S199" s="14">
        <v>1</v>
      </c>
    </row>
    <row r="200" spans="1:19" ht="20.25" hidden="1" customHeight="1">
      <c r="A200" s="14">
        <v>13</v>
      </c>
      <c r="B200" s="17" t="s">
        <v>121</v>
      </c>
      <c r="C200" s="49" t="s">
        <v>85</v>
      </c>
      <c r="D200" s="14">
        <v>9</v>
      </c>
      <c r="E200" s="14">
        <v>4</v>
      </c>
      <c r="F200" s="21">
        <f>IF(E200&lt;&gt;"",IF(Weld_list[[#This Row],[尺寸]]&lt;1,1,E200),"")</f>
        <v>4</v>
      </c>
      <c r="G200" s="14" t="s">
        <v>92</v>
      </c>
      <c r="H200" s="14" t="s">
        <v>93</v>
      </c>
      <c r="I200" s="14" t="s">
        <v>76</v>
      </c>
      <c r="J200" s="14" t="s">
        <v>95</v>
      </c>
      <c r="K200" s="14" t="str">
        <f>IFERROR(TEXT(_xlfn.XLOOKUP(_xlfn.CONCAT(Weld_list[[#This Row],[流水號]],"_",Weld_list[[#This Row],[銲口編號]]),焊口登報表!D:D,焊口登報表!C:C,,0),"yyyy/mm/dd"),"")</f>
        <v>2025/08/06</v>
      </c>
      <c r="L200" s="14" t="s">
        <v>270</v>
      </c>
      <c r="M200" s="63">
        <v>45877</v>
      </c>
      <c r="Q20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200" s="14"/>
      <c r="S200" s="14">
        <v>1</v>
      </c>
    </row>
    <row r="201" spans="1:19" ht="20.25" hidden="1" customHeight="1">
      <c r="A201" s="14">
        <v>13</v>
      </c>
      <c r="B201" s="17" t="s">
        <v>121</v>
      </c>
      <c r="C201" s="49" t="s">
        <v>85</v>
      </c>
      <c r="D201" s="14">
        <v>10</v>
      </c>
      <c r="E201" s="14">
        <v>4</v>
      </c>
      <c r="F201" s="21">
        <f>IF(E201&lt;&gt;"",IF(Weld_list[[#This Row],[尺寸]]&lt;1,1,E201),"")</f>
        <v>4</v>
      </c>
      <c r="G201" s="14" t="s">
        <v>92</v>
      </c>
      <c r="H201" s="14" t="s">
        <v>93</v>
      </c>
      <c r="I201" s="14" t="s">
        <v>76</v>
      </c>
      <c r="J201" s="14" t="s">
        <v>95</v>
      </c>
      <c r="K201" s="14" t="str">
        <f>IFERROR(TEXT(_xlfn.XLOOKUP(_xlfn.CONCAT(Weld_list[[#This Row],[流水號]],"_",Weld_list[[#This Row],[銲口編號]]),焊口登報表!D:D,焊口登報表!C:C,,0),"yyyy/mm/dd"),"")</f>
        <v>2025/11/29</v>
      </c>
      <c r="L201" s="14" t="s">
        <v>270</v>
      </c>
      <c r="M201" s="15" t="str">
        <f>IFERROR(TEXT(_xlfn.XLOOKUP(_xlfn.CONCAT(Weld_list[[#This Row],[流水號]],"_",Weld_list[[#This Row],[銲口編號]]),焊口登報表!F:F,焊口登報表!E:E,,0),"yyyy/mm/dd"),"")</f>
        <v>2025/11/30</v>
      </c>
      <c r="Q20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201" s="14"/>
      <c r="S201" s="14">
        <v>1</v>
      </c>
    </row>
    <row r="202" spans="1:19" ht="20.25" hidden="1" customHeight="1">
      <c r="A202" s="14">
        <v>13</v>
      </c>
      <c r="B202" s="17" t="s">
        <v>121</v>
      </c>
      <c r="C202" s="49" t="s">
        <v>85</v>
      </c>
      <c r="D202" s="14">
        <v>11</v>
      </c>
      <c r="E202" s="14">
        <v>4</v>
      </c>
      <c r="F202" s="21">
        <f>IF(E202&lt;&gt;"",IF(Weld_list[[#This Row],[尺寸]]&lt;1,1,E202),"")</f>
        <v>4</v>
      </c>
      <c r="G202" s="14" t="s">
        <v>92</v>
      </c>
      <c r="H202" s="14" t="s">
        <v>93</v>
      </c>
      <c r="I202" s="14" t="s">
        <v>76</v>
      </c>
      <c r="J202" s="14" t="s">
        <v>95</v>
      </c>
      <c r="K202" s="14" t="str">
        <f>IFERROR(TEXT(_xlfn.XLOOKUP(_xlfn.CONCAT(Weld_list[[#This Row],[流水號]],"_",Weld_list[[#This Row],[銲口編號]]),焊口登報表!D:D,焊口登報表!C:C,,0),"yyyy/mm/dd"),"")</f>
        <v>2025/08/06</v>
      </c>
      <c r="L202" s="14" t="s">
        <v>270</v>
      </c>
      <c r="M202" s="63">
        <v>45877</v>
      </c>
      <c r="Q20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202" s="14"/>
      <c r="S202" s="14">
        <v>1</v>
      </c>
    </row>
    <row r="203" spans="1:19" ht="20.25" hidden="1" customHeight="1">
      <c r="A203" s="14">
        <v>13</v>
      </c>
      <c r="B203" s="17" t="s">
        <v>121</v>
      </c>
      <c r="C203" s="49" t="s">
        <v>85</v>
      </c>
      <c r="D203" s="14">
        <v>12</v>
      </c>
      <c r="E203" s="14">
        <v>4</v>
      </c>
      <c r="F203" s="21">
        <f>IF(E203&lt;&gt;"",IF(Weld_list[[#This Row],[尺寸]]&lt;1,1,E203),"")</f>
        <v>4</v>
      </c>
      <c r="G203" s="14" t="s">
        <v>92</v>
      </c>
      <c r="H203" s="14" t="s">
        <v>93</v>
      </c>
      <c r="I203" s="14" t="s">
        <v>76</v>
      </c>
      <c r="J203" s="14" t="s">
        <v>95</v>
      </c>
      <c r="K203" s="14" t="str">
        <f>IFERROR(TEXT(_xlfn.XLOOKUP(_xlfn.CONCAT(Weld_list[[#This Row],[流水號]],"_",Weld_list[[#This Row],[銲口編號]]),焊口登報表!D:D,焊口登報表!C:C,,0),"yyyy/mm/dd"),"")</f>
        <v>2025/11/29</v>
      </c>
      <c r="L203" s="14" t="s">
        <v>270</v>
      </c>
      <c r="M203" s="15" t="str">
        <f>IFERROR(TEXT(_xlfn.XLOOKUP(_xlfn.CONCAT(Weld_list[[#This Row],[流水號]],"_",Weld_list[[#This Row],[銲口編號]]),焊口登報表!F:F,焊口登報表!E:E,,0),"yyyy/mm/dd"),"")</f>
        <v>2025/11/30</v>
      </c>
      <c r="Q20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203" s="14"/>
      <c r="S203" s="14">
        <v>1</v>
      </c>
    </row>
    <row r="204" spans="1:19" ht="20.25" hidden="1" customHeight="1">
      <c r="A204" s="14">
        <v>13</v>
      </c>
      <c r="B204" s="17" t="s">
        <v>121</v>
      </c>
      <c r="C204" s="49" t="s">
        <v>85</v>
      </c>
      <c r="D204" s="14">
        <v>13</v>
      </c>
      <c r="E204" s="14">
        <v>4</v>
      </c>
      <c r="F204" s="21">
        <f>IF(E204&lt;&gt;"",IF(Weld_list[[#This Row],[尺寸]]&lt;1,1,E204),"")</f>
        <v>4</v>
      </c>
      <c r="G204" s="14" t="s">
        <v>92</v>
      </c>
      <c r="H204" s="14" t="s">
        <v>93</v>
      </c>
      <c r="I204" s="14" t="s">
        <v>76</v>
      </c>
      <c r="J204" s="14" t="s">
        <v>95</v>
      </c>
      <c r="K204" s="14" t="str">
        <f>IFERROR(TEXT(_xlfn.XLOOKUP(_xlfn.CONCAT(Weld_list[[#This Row],[流水號]],"_",Weld_list[[#This Row],[銲口編號]]),焊口登報表!D:D,焊口登報表!C:C,,0),"yyyy/mm/dd"),"")</f>
        <v>2025/08/06</v>
      </c>
      <c r="L204" s="14" t="s">
        <v>270</v>
      </c>
      <c r="M204" s="63">
        <v>45877</v>
      </c>
      <c r="Q20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204" s="14"/>
      <c r="S204" s="14">
        <v>1</v>
      </c>
    </row>
    <row r="205" spans="1:19" ht="20.25" hidden="1" customHeight="1">
      <c r="A205" s="14">
        <v>13</v>
      </c>
      <c r="B205" s="17" t="s">
        <v>121</v>
      </c>
      <c r="C205" s="49" t="s">
        <v>85</v>
      </c>
      <c r="D205" s="14">
        <v>14</v>
      </c>
      <c r="E205" s="14">
        <v>4</v>
      </c>
      <c r="F205" s="21">
        <f>IF(E205&lt;&gt;"",IF(Weld_list[[#This Row],[尺寸]]&lt;1,1,E205),"")</f>
        <v>4</v>
      </c>
      <c r="G205" s="14" t="s">
        <v>92</v>
      </c>
      <c r="H205" s="14" t="s">
        <v>93</v>
      </c>
      <c r="I205" s="14" t="s">
        <v>76</v>
      </c>
      <c r="J205" s="14" t="s">
        <v>95</v>
      </c>
      <c r="K205" s="14" t="str">
        <f>IFERROR(TEXT(_xlfn.XLOOKUP(_xlfn.CONCAT(Weld_list[[#This Row],[流水號]],"_",Weld_list[[#This Row],[銲口編號]]),焊口登報表!D:D,焊口登報表!C:C,,0),"yyyy/mm/dd"),"")</f>
        <v>2025/08/06</v>
      </c>
      <c r="L205" s="14" t="s">
        <v>270</v>
      </c>
      <c r="M205" s="63">
        <v>45877</v>
      </c>
      <c r="Q20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\\192.168.1.50\3勝一\SE-37(彰濱)\01.工程圖面\01.ISO\ISO\13.(UG)IW-11001-C1AU-01.pdf</v>
      </c>
      <c r="R205" s="14"/>
      <c r="S205" s="14">
        <v>1</v>
      </c>
    </row>
    <row r="206" spans="1:19" ht="20.25" hidden="1" customHeight="1">
      <c r="A206" s="14">
        <v>14</v>
      </c>
      <c r="B206" s="17" t="s">
        <v>122</v>
      </c>
      <c r="C206" s="49" t="s">
        <v>85</v>
      </c>
      <c r="D206" s="14">
        <v>1</v>
      </c>
      <c r="E206" s="14">
        <v>4</v>
      </c>
      <c r="F206" s="21">
        <f>IF(E206&lt;&gt;"",IF(Weld_list[[#This Row],[尺寸]]&lt;1,1,E206),"")</f>
        <v>4</v>
      </c>
      <c r="G206" s="14" t="s">
        <v>92</v>
      </c>
      <c r="H206" s="14">
        <v>304</v>
      </c>
      <c r="I206" s="14" t="s">
        <v>76</v>
      </c>
      <c r="J206" s="14" t="s">
        <v>95</v>
      </c>
      <c r="K206" s="14" t="str">
        <f>IFERROR(TEXT(_xlfn.XLOOKUP(_xlfn.CONCAT(Weld_list[[#This Row],[流水號]],"_",Weld_list[[#This Row],[銲口編號]]),焊口登報表!D:D,焊口登報表!C:C,,0),"yyyy/mm/dd"),"")</f>
        <v>2025/08/25</v>
      </c>
      <c r="L206" s="14" t="s">
        <v>270</v>
      </c>
      <c r="M206" s="63">
        <v>45897</v>
      </c>
      <c r="Q20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06" s="14"/>
      <c r="S206" s="14">
        <v>1</v>
      </c>
    </row>
    <row r="207" spans="1:19" ht="20.25" hidden="1" customHeight="1">
      <c r="A207" s="14">
        <v>14</v>
      </c>
      <c r="B207" s="17" t="s">
        <v>122</v>
      </c>
      <c r="C207" s="49" t="s">
        <v>85</v>
      </c>
      <c r="D207" s="14">
        <v>2</v>
      </c>
      <c r="E207" s="14">
        <v>4</v>
      </c>
      <c r="F207" s="21">
        <f>IF(E207&lt;&gt;"",IF(Weld_list[[#This Row],[尺寸]]&lt;1,1,E207),"")</f>
        <v>4</v>
      </c>
      <c r="G207" s="14" t="s">
        <v>92</v>
      </c>
      <c r="H207" s="14">
        <v>304</v>
      </c>
      <c r="I207" s="14" t="s">
        <v>76</v>
      </c>
      <c r="J207" s="14" t="s">
        <v>95</v>
      </c>
      <c r="K207" s="14" t="str">
        <f>IFERROR(TEXT(_xlfn.XLOOKUP(_xlfn.CONCAT(Weld_list[[#This Row],[流水號]],"_",Weld_list[[#This Row],[銲口編號]]),焊口登報表!D:D,焊口登報表!C:C,,0),"yyyy/mm/dd"),"")</f>
        <v>2025/08/25</v>
      </c>
      <c r="L207" s="14" t="s">
        <v>270</v>
      </c>
      <c r="M207" s="63">
        <v>45897</v>
      </c>
      <c r="Q20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07" s="14"/>
      <c r="S207" s="14">
        <v>1</v>
      </c>
    </row>
    <row r="208" spans="1:19" ht="20.25" hidden="1" customHeight="1">
      <c r="A208" s="14">
        <v>14</v>
      </c>
      <c r="B208" s="17" t="s">
        <v>122</v>
      </c>
      <c r="C208" s="49" t="s">
        <v>85</v>
      </c>
      <c r="D208" s="14">
        <v>3</v>
      </c>
      <c r="E208" s="14">
        <v>4</v>
      </c>
      <c r="F208" s="21">
        <f>IF(E208&lt;&gt;"",IF(Weld_list[[#This Row],[尺寸]]&lt;1,1,E208),"")</f>
        <v>4</v>
      </c>
      <c r="G208" s="14" t="s">
        <v>92</v>
      </c>
      <c r="H208" s="14">
        <v>304</v>
      </c>
      <c r="I208" s="14" t="s">
        <v>76</v>
      </c>
      <c r="J208" s="14" t="s">
        <v>95</v>
      </c>
      <c r="K208" s="14" t="str">
        <f>IFERROR(TEXT(_xlfn.XLOOKUP(_xlfn.CONCAT(Weld_list[[#This Row],[流水號]],"_",Weld_list[[#This Row],[銲口編號]]),焊口登報表!D:D,焊口登報表!C:C,,0),"yyyy/mm/dd"),"")</f>
        <v>2025/08/25</v>
      </c>
      <c r="L208" s="14" t="s">
        <v>270</v>
      </c>
      <c r="M208" s="63">
        <v>45897</v>
      </c>
      <c r="Q20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08" s="14"/>
      <c r="S208" s="14">
        <v>1</v>
      </c>
    </row>
    <row r="209" spans="1:19" ht="20.25" hidden="1" customHeight="1">
      <c r="A209" s="14">
        <v>14</v>
      </c>
      <c r="B209" s="17" t="s">
        <v>122</v>
      </c>
      <c r="C209" s="49" t="s">
        <v>85</v>
      </c>
      <c r="D209" s="14">
        <v>4</v>
      </c>
      <c r="E209" s="14">
        <v>4</v>
      </c>
      <c r="F209" s="21">
        <f>IF(E209&lt;&gt;"",IF(Weld_list[[#This Row],[尺寸]]&lt;1,1,E209),"")</f>
        <v>4</v>
      </c>
      <c r="G209" s="14" t="s">
        <v>92</v>
      </c>
      <c r="H209" s="14">
        <v>304</v>
      </c>
      <c r="I209" s="14" t="s">
        <v>76</v>
      </c>
      <c r="J209" s="14" t="s">
        <v>95</v>
      </c>
      <c r="K209" s="14" t="str">
        <f>IFERROR(TEXT(_xlfn.XLOOKUP(_xlfn.CONCAT(Weld_list[[#This Row],[流水號]],"_",Weld_list[[#This Row],[銲口編號]]),焊口登報表!D:D,焊口登報表!C:C,,0),"yyyy/mm/dd"),"")</f>
        <v>2025/11/29</v>
      </c>
      <c r="L209" s="14" t="s">
        <v>270</v>
      </c>
      <c r="M209" s="15" t="str">
        <f>IFERROR(TEXT(_xlfn.XLOOKUP(_xlfn.CONCAT(Weld_list[[#This Row],[流水號]],"_",Weld_list[[#This Row],[銲口編號]]),焊口登報表!F:F,焊口登報表!E:E,,0),"yyyy/mm/dd"),"")</f>
        <v>2025/11/30</v>
      </c>
      <c r="Q20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09" s="14"/>
      <c r="S209" s="14">
        <v>1</v>
      </c>
    </row>
    <row r="210" spans="1:19" ht="20.25" hidden="1" customHeight="1">
      <c r="A210" s="14">
        <v>14</v>
      </c>
      <c r="B210" s="17" t="s">
        <v>122</v>
      </c>
      <c r="C210" s="49" t="s">
        <v>85</v>
      </c>
      <c r="D210" s="14">
        <v>5</v>
      </c>
      <c r="E210" s="14">
        <v>4</v>
      </c>
      <c r="F210" s="21">
        <f>IF(E210&lt;&gt;"",IF(Weld_list[[#This Row],[尺寸]]&lt;1,1,E210),"")</f>
        <v>4</v>
      </c>
      <c r="G210" s="14" t="s">
        <v>92</v>
      </c>
      <c r="H210" s="14">
        <v>304</v>
      </c>
      <c r="I210" s="14" t="s">
        <v>76</v>
      </c>
      <c r="J210" s="14" t="s">
        <v>95</v>
      </c>
      <c r="K210" s="14" t="str">
        <f>IFERROR(TEXT(_xlfn.XLOOKUP(_xlfn.CONCAT(Weld_list[[#This Row],[流水號]],"_",Weld_list[[#This Row],[銲口編號]]),焊口登報表!D:D,焊口登報表!C:C,,0),"yyyy/mm/dd"),"")</f>
        <v>2025/08/25</v>
      </c>
      <c r="L210" s="14" t="s">
        <v>270</v>
      </c>
      <c r="M210" s="63">
        <v>45897</v>
      </c>
      <c r="Q21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0" s="14"/>
      <c r="S210" s="14">
        <v>1</v>
      </c>
    </row>
    <row r="211" spans="1:19" ht="20.25" hidden="1" customHeight="1">
      <c r="A211" s="14">
        <v>14</v>
      </c>
      <c r="B211" s="17" t="s">
        <v>122</v>
      </c>
      <c r="C211" s="49" t="s">
        <v>85</v>
      </c>
      <c r="D211" s="14">
        <v>6</v>
      </c>
      <c r="E211" s="14">
        <v>4</v>
      </c>
      <c r="F211" s="21">
        <f>IF(E211&lt;&gt;"",IF(Weld_list[[#This Row],[尺寸]]&lt;1,1,E211),"")</f>
        <v>4</v>
      </c>
      <c r="G211" s="14" t="s">
        <v>92</v>
      </c>
      <c r="H211" s="14">
        <v>304</v>
      </c>
      <c r="I211" s="14" t="s">
        <v>76</v>
      </c>
      <c r="J211" s="14" t="s">
        <v>95</v>
      </c>
      <c r="K211" s="14" t="str">
        <f>IFERROR(TEXT(_xlfn.XLOOKUP(_xlfn.CONCAT(Weld_list[[#This Row],[流水號]],"_",Weld_list[[#This Row],[銲口編號]]),焊口登報表!D:D,焊口登報表!C:C,,0),"yyyy/mm/dd"),"")</f>
        <v>2025/11/29</v>
      </c>
      <c r="L211" s="14" t="s">
        <v>270</v>
      </c>
      <c r="M211" s="15" t="str">
        <f>IFERROR(TEXT(_xlfn.XLOOKUP(_xlfn.CONCAT(Weld_list[[#This Row],[流水號]],"_",Weld_list[[#This Row],[銲口編號]]),焊口登報表!F:F,焊口登報表!E:E,,0),"yyyy/mm/dd"),"")</f>
        <v>2025/11/30</v>
      </c>
      <c r="Q21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1" s="14"/>
      <c r="S211" s="14">
        <v>1</v>
      </c>
    </row>
    <row r="212" spans="1:19" ht="20.25" hidden="1" customHeight="1">
      <c r="A212" s="14">
        <v>14</v>
      </c>
      <c r="B212" s="17" t="s">
        <v>122</v>
      </c>
      <c r="C212" s="49" t="s">
        <v>85</v>
      </c>
      <c r="D212" s="14">
        <v>7</v>
      </c>
      <c r="E212" s="14">
        <v>4</v>
      </c>
      <c r="F212" s="21">
        <f>IF(E212&lt;&gt;"",IF(Weld_list[[#This Row],[尺寸]]&lt;1,1,E212),"")</f>
        <v>4</v>
      </c>
      <c r="G212" s="14" t="s">
        <v>92</v>
      </c>
      <c r="H212" s="14">
        <v>304</v>
      </c>
      <c r="I212" s="14" t="s">
        <v>76</v>
      </c>
      <c r="J212" s="14" t="s">
        <v>95</v>
      </c>
      <c r="K212" s="14" t="str">
        <f>IFERROR(TEXT(_xlfn.XLOOKUP(_xlfn.CONCAT(Weld_list[[#This Row],[流水號]],"_",Weld_list[[#This Row],[銲口編號]]),焊口登報表!D:D,焊口登報表!C:C,,0),"yyyy/mm/dd"),"")</f>
        <v>2025/08/25</v>
      </c>
      <c r="L212" s="14" t="s">
        <v>270</v>
      </c>
      <c r="M212" s="63">
        <v>45897</v>
      </c>
      <c r="Q21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2" s="14"/>
      <c r="S212" s="14">
        <v>1</v>
      </c>
    </row>
    <row r="213" spans="1:19" ht="20.25" hidden="1" customHeight="1">
      <c r="A213" s="14">
        <v>14</v>
      </c>
      <c r="B213" s="17" t="s">
        <v>122</v>
      </c>
      <c r="C213" s="49" t="s">
        <v>85</v>
      </c>
      <c r="D213" s="14">
        <v>8</v>
      </c>
      <c r="E213" s="14">
        <v>4</v>
      </c>
      <c r="F213" s="21">
        <f>IF(E213&lt;&gt;"",IF(Weld_list[[#This Row],[尺寸]]&lt;1,1,E213),"")</f>
        <v>4</v>
      </c>
      <c r="G213" s="14" t="s">
        <v>92</v>
      </c>
      <c r="H213" s="14">
        <v>304</v>
      </c>
      <c r="I213" s="14" t="s">
        <v>76</v>
      </c>
      <c r="J213" s="14" t="s">
        <v>95</v>
      </c>
      <c r="K213" s="14" t="str">
        <f>IFERROR(TEXT(_xlfn.XLOOKUP(_xlfn.CONCAT(Weld_list[[#This Row],[流水號]],"_",Weld_list[[#This Row],[銲口編號]]),焊口登報表!D:D,焊口登報表!C:C,,0),"yyyy/mm/dd"),"")</f>
        <v>2025/11/29</v>
      </c>
      <c r="L213" s="14" t="s">
        <v>270</v>
      </c>
      <c r="M213" s="15" t="str">
        <f>IFERROR(TEXT(_xlfn.XLOOKUP(_xlfn.CONCAT(Weld_list[[#This Row],[流水號]],"_",Weld_list[[#This Row],[銲口編號]]),焊口登報表!F:F,焊口登報表!E:E,,0),"yyyy/mm/dd"),"")</f>
        <v>2025/11/30</v>
      </c>
      <c r="Q21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3" s="14"/>
      <c r="S213" s="14">
        <v>1</v>
      </c>
    </row>
    <row r="214" spans="1:19" ht="20.25" hidden="1" customHeight="1">
      <c r="A214" s="14">
        <v>14</v>
      </c>
      <c r="B214" s="17" t="s">
        <v>122</v>
      </c>
      <c r="C214" s="49" t="s">
        <v>85</v>
      </c>
      <c r="D214" s="14">
        <v>9</v>
      </c>
      <c r="E214" s="14">
        <v>4</v>
      </c>
      <c r="F214" s="21">
        <f>IF(E214&lt;&gt;"",IF(Weld_list[[#This Row],[尺寸]]&lt;1,1,E214),"")</f>
        <v>4</v>
      </c>
      <c r="G214" s="14" t="s">
        <v>92</v>
      </c>
      <c r="H214" s="14">
        <v>304</v>
      </c>
      <c r="I214" s="14" t="s">
        <v>76</v>
      </c>
      <c r="J214" s="14" t="s">
        <v>95</v>
      </c>
      <c r="K214" s="14" t="str">
        <f>IFERROR(TEXT(_xlfn.XLOOKUP(_xlfn.CONCAT(Weld_list[[#This Row],[流水號]],"_",Weld_list[[#This Row],[銲口編號]]),焊口登報表!D:D,焊口登報表!C:C,,0),"yyyy/mm/dd"),"")</f>
        <v>2025/08/25</v>
      </c>
      <c r="L214" s="14" t="s">
        <v>270</v>
      </c>
      <c r="M214" s="63">
        <v>45897</v>
      </c>
      <c r="Q21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4" s="14"/>
      <c r="S214" s="14">
        <v>1</v>
      </c>
    </row>
    <row r="215" spans="1:19" ht="20.25" hidden="1" customHeight="1">
      <c r="A215" s="14">
        <v>14</v>
      </c>
      <c r="B215" s="17" t="s">
        <v>122</v>
      </c>
      <c r="C215" s="49" t="s">
        <v>85</v>
      </c>
      <c r="D215" s="14">
        <v>10</v>
      </c>
      <c r="E215" s="14">
        <v>4</v>
      </c>
      <c r="F215" s="21">
        <f>IF(E215&lt;&gt;"",IF(Weld_list[[#This Row],[尺寸]]&lt;1,1,E215),"")</f>
        <v>4</v>
      </c>
      <c r="G215" s="14" t="s">
        <v>92</v>
      </c>
      <c r="H215" s="14">
        <v>304</v>
      </c>
      <c r="I215" s="14" t="s">
        <v>76</v>
      </c>
      <c r="J215" s="14" t="s">
        <v>95</v>
      </c>
      <c r="K215" s="14" t="str">
        <f>IFERROR(TEXT(_xlfn.XLOOKUP(_xlfn.CONCAT(Weld_list[[#This Row],[流水號]],"_",Weld_list[[#This Row],[銲口編號]]),焊口登報表!D:D,焊口登報表!C:C,,0),"yyyy/mm/dd"),"")</f>
        <v>2025/11/29</v>
      </c>
      <c r="L215" s="14" t="s">
        <v>270</v>
      </c>
      <c r="M215" s="15" t="str">
        <f>IFERROR(TEXT(_xlfn.XLOOKUP(_xlfn.CONCAT(Weld_list[[#This Row],[流水號]],"_",Weld_list[[#This Row],[銲口編號]]),焊口登報表!F:F,焊口登報表!E:E,,0),"yyyy/mm/dd"),"")</f>
        <v>2025/11/30</v>
      </c>
      <c r="Q21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5" s="14"/>
      <c r="S215" s="14">
        <v>1</v>
      </c>
    </row>
    <row r="216" spans="1:19" ht="20.25" hidden="1" customHeight="1">
      <c r="A216" s="14">
        <v>14</v>
      </c>
      <c r="B216" s="17" t="s">
        <v>122</v>
      </c>
      <c r="C216" s="49" t="s">
        <v>85</v>
      </c>
      <c r="D216" s="14">
        <v>11</v>
      </c>
      <c r="E216" s="14">
        <v>4</v>
      </c>
      <c r="F216" s="21">
        <f>IF(E216&lt;&gt;"",IF(Weld_list[[#This Row],[尺寸]]&lt;1,1,E216),"")</f>
        <v>4</v>
      </c>
      <c r="G216" s="14" t="s">
        <v>92</v>
      </c>
      <c r="H216" s="14">
        <v>304</v>
      </c>
      <c r="I216" s="14" t="s">
        <v>76</v>
      </c>
      <c r="J216" s="14" t="s">
        <v>95</v>
      </c>
      <c r="K216" s="14" t="str">
        <f>IFERROR(TEXT(_xlfn.XLOOKUP(_xlfn.CONCAT(Weld_list[[#This Row],[流水號]],"_",Weld_list[[#This Row],[銲口編號]]),焊口登報表!D:D,焊口登報表!C:C,,0),"yyyy/mm/dd"),"")</f>
        <v>2025/08/25</v>
      </c>
      <c r="L216" s="14" t="s">
        <v>270</v>
      </c>
      <c r="M216" s="63">
        <v>45897</v>
      </c>
      <c r="Q21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6" s="14"/>
      <c r="S216" s="14">
        <v>1</v>
      </c>
    </row>
    <row r="217" spans="1:19" ht="20.25" hidden="1" customHeight="1">
      <c r="A217" s="14">
        <v>14</v>
      </c>
      <c r="B217" s="17" t="s">
        <v>122</v>
      </c>
      <c r="C217" s="49" t="s">
        <v>85</v>
      </c>
      <c r="D217" s="14">
        <v>12</v>
      </c>
      <c r="E217" s="14">
        <v>4</v>
      </c>
      <c r="F217" s="21">
        <f>IF(E217&lt;&gt;"",IF(Weld_list[[#This Row],[尺寸]]&lt;1,1,E217),"")</f>
        <v>4</v>
      </c>
      <c r="G217" s="14" t="s">
        <v>92</v>
      </c>
      <c r="H217" s="14">
        <v>304</v>
      </c>
      <c r="I217" s="14" t="s">
        <v>76</v>
      </c>
      <c r="J217" s="14" t="s">
        <v>95</v>
      </c>
      <c r="K217" s="14" t="str">
        <f>IFERROR(TEXT(_xlfn.XLOOKUP(_xlfn.CONCAT(Weld_list[[#This Row],[流水號]],"_",Weld_list[[#This Row],[銲口編號]]),焊口登報表!D:D,焊口登報表!C:C,,0),"yyyy/mm/dd"),"")</f>
        <v>2025/11/29</v>
      </c>
      <c r="L217" s="14" t="s">
        <v>270</v>
      </c>
      <c r="M217" s="15" t="str">
        <f>IFERROR(TEXT(_xlfn.XLOOKUP(_xlfn.CONCAT(Weld_list[[#This Row],[流水號]],"_",Weld_list[[#This Row],[銲口編號]]),焊口登報表!F:F,焊口登報表!E:E,,0),"yyyy/mm/dd"),"")</f>
        <v>2025/11/30</v>
      </c>
      <c r="Q21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7" s="14"/>
      <c r="S217" s="14">
        <v>1</v>
      </c>
    </row>
    <row r="218" spans="1:19" ht="20.25" hidden="1" customHeight="1">
      <c r="A218" s="14">
        <v>14</v>
      </c>
      <c r="B218" s="17" t="s">
        <v>122</v>
      </c>
      <c r="C218" s="49" t="s">
        <v>85</v>
      </c>
      <c r="D218" s="14">
        <v>13</v>
      </c>
      <c r="E218" s="14">
        <v>4</v>
      </c>
      <c r="F218" s="21">
        <f>IF(E218&lt;&gt;"",IF(Weld_list[[#This Row],[尺寸]]&lt;1,1,E218),"")</f>
        <v>4</v>
      </c>
      <c r="G218" s="14" t="s">
        <v>92</v>
      </c>
      <c r="H218" s="14">
        <v>304</v>
      </c>
      <c r="I218" s="14" t="s">
        <v>76</v>
      </c>
      <c r="J218" s="14" t="s">
        <v>95</v>
      </c>
      <c r="K218" s="14" t="str">
        <f>IFERROR(TEXT(_xlfn.XLOOKUP(_xlfn.CONCAT(Weld_list[[#This Row],[流水號]],"_",Weld_list[[#This Row],[銲口編號]]),焊口登報表!D:D,焊口登報表!C:C,,0),"yyyy/mm/dd"),"")</f>
        <v>2025/08/25</v>
      </c>
      <c r="L218" s="14" t="s">
        <v>270</v>
      </c>
      <c r="M218" s="63">
        <v>45897</v>
      </c>
      <c r="Q21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8" s="14"/>
      <c r="S218" s="14">
        <v>1</v>
      </c>
    </row>
    <row r="219" spans="1:19" ht="20.25" hidden="1" customHeight="1">
      <c r="A219" s="14">
        <v>14</v>
      </c>
      <c r="B219" s="17" t="s">
        <v>122</v>
      </c>
      <c r="C219" s="49" t="s">
        <v>85</v>
      </c>
      <c r="D219" s="14">
        <v>14</v>
      </c>
      <c r="E219" s="14">
        <v>4</v>
      </c>
      <c r="F219" s="21">
        <f>IF(E219&lt;&gt;"",IF(Weld_list[[#This Row],[尺寸]]&lt;1,1,E219),"")</f>
        <v>4</v>
      </c>
      <c r="G219" s="14" t="s">
        <v>92</v>
      </c>
      <c r="H219" s="14">
        <v>304</v>
      </c>
      <c r="I219" s="14" t="s">
        <v>76</v>
      </c>
      <c r="J219" s="14" t="s">
        <v>95</v>
      </c>
      <c r="K219" s="14" t="str">
        <f>IFERROR(TEXT(_xlfn.XLOOKUP(_xlfn.CONCAT(Weld_list[[#This Row],[流水號]],"_",Weld_list[[#This Row],[銲口編號]]),焊口登報表!D:D,焊口登報表!C:C,,0),"yyyy/mm/dd"),"")</f>
        <v>2025/08/25</v>
      </c>
      <c r="L219" s="14" t="s">
        <v>270</v>
      </c>
      <c r="M219" s="63">
        <v>45897</v>
      </c>
      <c r="Q21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\\192.168.1.50\3勝一\SE-37(彰濱)\01.工程圖面\01.ISO\ISO\14.(UG)SW-11201-S1P4U-01.pdf</v>
      </c>
      <c r="R219" s="14"/>
      <c r="S219" s="14">
        <v>1</v>
      </c>
    </row>
    <row r="220" spans="1:19" ht="20.25" hidden="1" customHeight="1">
      <c r="A220" s="14">
        <v>15</v>
      </c>
      <c r="B220" s="17" t="s">
        <v>123</v>
      </c>
      <c r="C220" s="49" t="s">
        <v>85</v>
      </c>
      <c r="D220" s="14">
        <v>1</v>
      </c>
      <c r="E220" s="14">
        <v>4</v>
      </c>
      <c r="F220" s="21">
        <f>IF(E220&lt;&gt;"",IF(Weld_list[[#This Row],[尺寸]]&lt;1,1,E220),"")</f>
        <v>4</v>
      </c>
      <c r="G220" s="14" t="s">
        <v>92</v>
      </c>
      <c r="H220" s="14">
        <v>304</v>
      </c>
      <c r="I220" s="14" t="s">
        <v>76</v>
      </c>
      <c r="J220" s="14" t="s">
        <v>95</v>
      </c>
      <c r="K220" s="14" t="str">
        <f>IFERROR(TEXT(_xlfn.XLOOKUP(_xlfn.CONCAT(Weld_list[[#This Row],[流水號]],"_",Weld_list[[#This Row],[銲口編號]]),焊口登報表!D:D,焊口登報表!C:C,,0),"yyyy/mm/dd"),"")</f>
        <v>2025/08/25</v>
      </c>
      <c r="L220" s="14" t="s">
        <v>270</v>
      </c>
      <c r="M220" s="63">
        <v>45897</v>
      </c>
      <c r="Q22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\\192.168.1.50\3勝一\SE-37(彰濱)\01.工程圖面\01.ISO\ISO\15.(UG)TRIM-W1808-N6-S1P4U-01.pdf</v>
      </c>
      <c r="R220" s="14"/>
      <c r="S220" s="14">
        <v>1</v>
      </c>
    </row>
    <row r="221" spans="1:19" ht="20.25" hidden="1" customHeight="1">
      <c r="A221" s="14">
        <v>15</v>
      </c>
      <c r="B221" s="17" t="s">
        <v>123</v>
      </c>
      <c r="C221" s="49" t="s">
        <v>85</v>
      </c>
      <c r="D221" s="14">
        <v>2</v>
      </c>
      <c r="E221" s="14">
        <v>4</v>
      </c>
      <c r="F221" s="21">
        <f>IF(E221&lt;&gt;"",IF(Weld_list[[#This Row],[尺寸]]&lt;1,1,E221),"")</f>
        <v>4</v>
      </c>
      <c r="G221" s="14" t="s">
        <v>92</v>
      </c>
      <c r="H221" s="14">
        <v>304</v>
      </c>
      <c r="I221" s="14" t="s">
        <v>76</v>
      </c>
      <c r="J221" s="14" t="s">
        <v>95</v>
      </c>
      <c r="K221" s="14" t="str">
        <f>IFERROR(TEXT(_xlfn.XLOOKUP(_xlfn.CONCAT(Weld_list[[#This Row],[流水號]],"_",Weld_list[[#This Row],[銲口編號]]),焊口登報表!D:D,焊口登報表!C:C,,0),"yyyy/mm/dd"),"")</f>
        <v>2025/08/25</v>
      </c>
      <c r="L221" s="14" t="s">
        <v>270</v>
      </c>
      <c r="M221" s="63">
        <v>45897</v>
      </c>
      <c r="Q22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\\192.168.1.50\3勝一\SE-37(彰濱)\01.工程圖面\01.ISO\ISO\15.(UG)TRIM-W1808-N6-S1P4U-01.pdf</v>
      </c>
      <c r="R221" s="14"/>
      <c r="S221" s="14">
        <v>1</v>
      </c>
    </row>
    <row r="222" spans="1:19" ht="20.25" hidden="1" customHeight="1">
      <c r="A222" s="14">
        <v>15</v>
      </c>
      <c r="B222" s="17" t="s">
        <v>123</v>
      </c>
      <c r="C222" s="49" t="s">
        <v>85</v>
      </c>
      <c r="D222" s="14">
        <v>3</v>
      </c>
      <c r="E222" s="14">
        <v>4</v>
      </c>
      <c r="F222" s="21">
        <f>IF(E222&lt;&gt;"",IF(Weld_list[[#This Row],[尺寸]]&lt;1,1,E222),"")</f>
        <v>4</v>
      </c>
      <c r="G222" s="14" t="s">
        <v>92</v>
      </c>
      <c r="H222" s="14">
        <v>304</v>
      </c>
      <c r="I222" s="14" t="s">
        <v>76</v>
      </c>
      <c r="J222" s="14" t="s">
        <v>95</v>
      </c>
      <c r="K222" s="14" t="str">
        <f>IFERROR(TEXT(_xlfn.XLOOKUP(_xlfn.CONCAT(Weld_list[[#This Row],[流水號]],"_",Weld_list[[#This Row],[銲口編號]]),焊口登報表!D:D,焊口登報表!C:C,,0),"yyyy/mm/dd"),"")</f>
        <v>2025/08/25</v>
      </c>
      <c r="L222" s="14" t="s">
        <v>270</v>
      </c>
      <c r="M222" s="63">
        <v>45897</v>
      </c>
      <c r="Q22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\\192.168.1.50\3勝一\SE-37(彰濱)\01.工程圖面\01.ISO\ISO\15.(UG)TRIM-W1808-N6-S1P4U-01.pdf</v>
      </c>
      <c r="R222" s="14"/>
      <c r="S222" s="14">
        <v>1</v>
      </c>
    </row>
    <row r="223" spans="1:19" ht="20.25" hidden="1" customHeight="1">
      <c r="A223" s="14">
        <v>15</v>
      </c>
      <c r="B223" s="17" t="s">
        <v>123</v>
      </c>
      <c r="C223" s="49" t="s">
        <v>85</v>
      </c>
      <c r="D223" s="14">
        <v>4</v>
      </c>
      <c r="E223" s="14">
        <v>4</v>
      </c>
      <c r="F223" s="21">
        <f>IF(E223&lt;&gt;"",IF(Weld_list[[#This Row],[尺寸]]&lt;1,1,E223),"")</f>
        <v>4</v>
      </c>
      <c r="G223" s="14" t="s">
        <v>92</v>
      </c>
      <c r="H223" s="14">
        <v>304</v>
      </c>
      <c r="I223" s="14" t="s">
        <v>76</v>
      </c>
      <c r="J223" s="14" t="s">
        <v>95</v>
      </c>
      <c r="K223" s="14" t="str">
        <f>IFERROR(TEXT(_xlfn.XLOOKUP(_xlfn.CONCAT(Weld_list[[#This Row],[流水號]],"_",Weld_list[[#This Row],[銲口編號]]),焊口登報表!D:D,焊口登報表!C:C,,0),"yyyy/mm/dd"),"")</f>
        <v>2025/12/13</v>
      </c>
      <c r="L223" s="14" t="s">
        <v>270</v>
      </c>
      <c r="M223" s="15" t="str">
        <f>IFERROR(TEXT(_xlfn.XLOOKUP(_xlfn.CONCAT(Weld_list[[#This Row],[流水號]],"_",Weld_list[[#This Row],[銲口編號]]),焊口登報表!F:F,焊口登報表!E:E,,0),"yyyy/mm/dd"),"")</f>
        <v>2025/12/14</v>
      </c>
      <c r="Q22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\\192.168.1.50\3勝一\SE-37(彰濱)\01.工程圖面\01.ISO\ISO\15.(UG)TRIM-W1808-N6-S1P4U-01.pdf</v>
      </c>
      <c r="R223" s="14"/>
      <c r="S223" s="14">
        <v>1</v>
      </c>
    </row>
    <row r="224" spans="1:19" ht="20.25" hidden="1" customHeight="1">
      <c r="A224" s="14">
        <v>16</v>
      </c>
      <c r="B224" s="17" t="s">
        <v>124</v>
      </c>
      <c r="C224" s="49" t="s">
        <v>87</v>
      </c>
      <c r="D224" s="14">
        <v>1</v>
      </c>
      <c r="E224" s="14">
        <v>4</v>
      </c>
      <c r="F224" s="21">
        <f>IF(E224&lt;&gt;"",IF(Weld_list[[#This Row],[尺寸]]&lt;1,1,E224),"")</f>
        <v>4</v>
      </c>
      <c r="G224" s="14" t="s">
        <v>92</v>
      </c>
      <c r="H224" s="14">
        <v>304</v>
      </c>
      <c r="I224" s="14" t="s">
        <v>76</v>
      </c>
      <c r="J224" s="14" t="s">
        <v>95</v>
      </c>
      <c r="K224" s="14" t="str">
        <f>IFERROR(TEXT(_xlfn.XLOOKUP(_xlfn.CONCAT(Weld_list[[#This Row],[流水號]],"_",Weld_list[[#This Row],[銲口編號]]),焊口登報表!D:D,焊口登報表!C:C,,0),"yyyy/mm/dd"),"")</f>
        <v>2025/08/25</v>
      </c>
      <c r="L224" s="14" t="s">
        <v>270</v>
      </c>
      <c r="M224" s="63">
        <v>45897</v>
      </c>
      <c r="Q22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24" s="14"/>
      <c r="S224" s="14">
        <v>1</v>
      </c>
    </row>
    <row r="225" spans="1:19" ht="20.25" hidden="1" customHeight="1">
      <c r="A225" s="14">
        <v>16</v>
      </c>
      <c r="B225" s="17" t="s">
        <v>124</v>
      </c>
      <c r="C225" s="49" t="s">
        <v>87</v>
      </c>
      <c r="D225" s="14" t="s">
        <v>125</v>
      </c>
      <c r="E225" s="14">
        <v>4</v>
      </c>
      <c r="F225" s="21">
        <f>IF(E225&lt;&gt;"",IF(Weld_list[[#This Row],[尺寸]]&lt;1,1,E225),"")</f>
        <v>4</v>
      </c>
      <c r="G225" s="14" t="s">
        <v>92</v>
      </c>
      <c r="H225" s="14">
        <v>304</v>
      </c>
      <c r="I225" s="14" t="s">
        <v>94</v>
      </c>
      <c r="J225" s="14" t="s">
        <v>90</v>
      </c>
      <c r="K225" s="14" t="str">
        <f>IFERROR(TEXT(_xlfn.XLOOKUP(_xlfn.CONCAT(Weld_list[[#This Row],[流水號]],"_",Weld_list[[#This Row],[銲口編號]]),焊口登報表!D:D,焊口登報表!C:C,,0),"yyyy/mm/dd"),"")</f>
        <v/>
      </c>
      <c r="M225" s="15" t="str">
        <f>IFERROR(TEXT(_xlfn.XLOOKUP(_xlfn.CONCAT(Weld_list[[#This Row],[流水號]],"_",Weld_list[[#This Row],[銲口編號]]),焊口登報表!F:F,焊口登報表!E:E,,0),"yyyy/mm/dd"),"")</f>
        <v/>
      </c>
      <c r="P225" s="15" t="e">
        <f>_xlfn.TEXTJOIN("-",TRUE,INDEX(_xlfn.TEXTSPLIT(B225,"-"),1),INDEX(_xlfn.TEXTSPLIT(B225,"-"),2),INDEX(_xlfn.TEXTSPLIT(B225,"-"),3),INDEX(_xlfn.TEXTSPLIT(B225,"-"),4),INDEX(_xlfn.TEXTSPLIT(B225,"-"),5))</f>
        <v>#REF!</v>
      </c>
      <c r="Q22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25" s="14" t="str">
        <f>IF(Weld_list[[#This Row],[組銲完成日期]]&lt;&gt;"","已完成","未完成")</f>
        <v>未完成</v>
      </c>
      <c r="S225" s="14">
        <v>1</v>
      </c>
    </row>
    <row r="226" spans="1:19" ht="20.25" hidden="1" customHeight="1">
      <c r="A226" s="14">
        <v>16</v>
      </c>
      <c r="B226" s="17" t="s">
        <v>124</v>
      </c>
      <c r="C226" s="49" t="s">
        <v>87</v>
      </c>
      <c r="D226" s="14">
        <v>2</v>
      </c>
      <c r="E226" s="14">
        <v>4</v>
      </c>
      <c r="F226" s="21">
        <f>IF(E226&lt;&gt;"",IF(Weld_list[[#This Row],[尺寸]]&lt;1,1,E226),"")</f>
        <v>4</v>
      </c>
      <c r="G226" s="14" t="s">
        <v>92</v>
      </c>
      <c r="H226" s="14">
        <v>304</v>
      </c>
      <c r="I226" s="14" t="s">
        <v>76</v>
      </c>
      <c r="J226" s="14" t="s">
        <v>95</v>
      </c>
      <c r="K226" s="14" t="str">
        <f>IFERROR(TEXT(_xlfn.XLOOKUP(_xlfn.CONCAT(Weld_list[[#This Row],[流水號]],"_",Weld_list[[#This Row],[銲口編號]]),焊口登報表!D:D,焊口登報表!C:C,,0),"yyyy/mm/dd"),"")</f>
        <v/>
      </c>
      <c r="L226" s="14" t="s">
        <v>270</v>
      </c>
      <c r="M226" s="15" t="str">
        <f>IFERROR(TEXT(_xlfn.XLOOKUP(_xlfn.CONCAT(Weld_list[[#This Row],[流水號]],"_",Weld_list[[#This Row],[銲口編號]]),焊口登報表!F:F,焊口登報表!E:E,,0),"yyyy/mm/dd"),"")</f>
        <v/>
      </c>
      <c r="Q22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26" s="14"/>
      <c r="S226" s="14">
        <v>1</v>
      </c>
    </row>
    <row r="227" spans="1:19" ht="20.25" hidden="1" customHeight="1">
      <c r="A227" s="14">
        <v>16</v>
      </c>
      <c r="B227" s="17" t="s">
        <v>124</v>
      </c>
      <c r="C227" s="49" t="s">
        <v>87</v>
      </c>
      <c r="D227" s="14">
        <v>3</v>
      </c>
      <c r="E227" s="14">
        <v>4</v>
      </c>
      <c r="F227" s="21">
        <f>IF(E227&lt;&gt;"",IF(Weld_list[[#This Row],[尺寸]]&lt;1,1,E227),"")</f>
        <v>4</v>
      </c>
      <c r="G227" s="14" t="s">
        <v>92</v>
      </c>
      <c r="H227" s="14">
        <v>304</v>
      </c>
      <c r="I227" s="14" t="s">
        <v>76</v>
      </c>
      <c r="J227" s="14" t="s">
        <v>95</v>
      </c>
      <c r="K227" s="14" t="str">
        <f>IFERROR(TEXT(_xlfn.XLOOKUP(_xlfn.CONCAT(Weld_list[[#This Row],[流水號]],"_",Weld_list[[#This Row],[銲口編號]]),焊口登報表!D:D,焊口登報表!C:C,,0),"yyyy/mm/dd"),"")</f>
        <v>2025/11/22</v>
      </c>
      <c r="L227" s="14" t="s">
        <v>270</v>
      </c>
      <c r="M227" s="15" t="str">
        <f>IFERROR(TEXT(_xlfn.XLOOKUP(_xlfn.CONCAT(Weld_list[[#This Row],[流水號]],"_",Weld_list[[#This Row],[銲口編號]]),焊口登報表!F:F,焊口登報表!E:E,,0),"yyyy/mm/dd"),"")</f>
        <v>2025/11/23</v>
      </c>
      <c r="Q22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27" s="14"/>
      <c r="S227" s="14">
        <v>1</v>
      </c>
    </row>
    <row r="228" spans="1:19" ht="20.25" hidden="1" customHeight="1">
      <c r="A228" s="14">
        <v>16</v>
      </c>
      <c r="B228" s="17" t="s">
        <v>124</v>
      </c>
      <c r="C228" s="49" t="s">
        <v>87</v>
      </c>
      <c r="D228" s="14">
        <v>4</v>
      </c>
      <c r="E228" s="14">
        <v>4</v>
      </c>
      <c r="F228" s="21">
        <f>IF(E228&lt;&gt;"",IF(Weld_list[[#This Row],[尺寸]]&lt;1,1,E228),"")</f>
        <v>4</v>
      </c>
      <c r="G228" s="14" t="s">
        <v>92</v>
      </c>
      <c r="H228" s="14">
        <v>304</v>
      </c>
      <c r="I228" s="14" t="s">
        <v>76</v>
      </c>
      <c r="J228" s="14" t="s">
        <v>95</v>
      </c>
      <c r="K228" s="14" t="str">
        <f>IFERROR(TEXT(_xlfn.XLOOKUP(_xlfn.CONCAT(Weld_list[[#This Row],[流水號]],"_",Weld_list[[#This Row],[銲口編號]]),焊口登報表!D:D,焊口登報表!C:C,,0),"yyyy/mm/dd"),"")</f>
        <v>2025/08/25</v>
      </c>
      <c r="L228" s="14" t="s">
        <v>270</v>
      </c>
      <c r="M228" s="63">
        <v>45897</v>
      </c>
      <c r="Q22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28" s="14"/>
      <c r="S228" s="14">
        <v>1</v>
      </c>
    </row>
    <row r="229" spans="1:19" ht="20.25" hidden="1" customHeight="1">
      <c r="A229" s="14">
        <v>16</v>
      </c>
      <c r="B229" s="17" t="s">
        <v>124</v>
      </c>
      <c r="C229" s="49" t="s">
        <v>87</v>
      </c>
      <c r="D229" s="14">
        <v>5</v>
      </c>
      <c r="E229" s="14">
        <v>4</v>
      </c>
      <c r="F229" s="21">
        <f>IF(E229&lt;&gt;"",IF(Weld_list[[#This Row],[尺寸]]&lt;1,1,E229),"")</f>
        <v>4</v>
      </c>
      <c r="G229" s="14" t="s">
        <v>92</v>
      </c>
      <c r="H229" s="14">
        <v>304</v>
      </c>
      <c r="I229" s="14" t="s">
        <v>76</v>
      </c>
      <c r="J229" s="14" t="s">
        <v>95</v>
      </c>
      <c r="K229" s="14" t="str">
        <f>IFERROR(TEXT(_xlfn.XLOOKUP(_xlfn.CONCAT(Weld_list[[#This Row],[流水號]],"_",Weld_list[[#This Row],[銲口編號]]),焊口登報表!D:D,焊口登報表!C:C,,0),"yyyy/mm/dd"),"")</f>
        <v>2025/08/25</v>
      </c>
      <c r="L229" s="14" t="s">
        <v>270</v>
      </c>
      <c r="M229" s="63">
        <v>45897</v>
      </c>
      <c r="Q22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29" s="14"/>
      <c r="S229" s="14">
        <v>1</v>
      </c>
    </row>
    <row r="230" spans="1:19" ht="20.25" hidden="1" customHeight="1">
      <c r="A230" s="14">
        <v>16</v>
      </c>
      <c r="B230" s="17" t="s">
        <v>124</v>
      </c>
      <c r="C230" s="49" t="s">
        <v>87</v>
      </c>
      <c r="D230" s="14">
        <v>6</v>
      </c>
      <c r="E230" s="14">
        <v>4</v>
      </c>
      <c r="F230" s="21">
        <f>IF(E230&lt;&gt;"",IF(Weld_list[[#This Row],[尺寸]]&lt;1,1,E230),"")</f>
        <v>4</v>
      </c>
      <c r="G230" s="14" t="s">
        <v>92</v>
      </c>
      <c r="H230" s="14">
        <v>304</v>
      </c>
      <c r="I230" s="14" t="s">
        <v>76</v>
      </c>
      <c r="J230" s="14" t="s">
        <v>95</v>
      </c>
      <c r="K230" s="14" t="str">
        <f>IFERROR(TEXT(_xlfn.XLOOKUP(_xlfn.CONCAT(Weld_list[[#This Row],[流水號]],"_",Weld_list[[#This Row],[銲口編號]]),焊口登報表!D:D,焊口登報表!C:C,,0),"yyyy/mm/dd"),"")</f>
        <v>2025/08/25</v>
      </c>
      <c r="L230" s="14" t="s">
        <v>270</v>
      </c>
      <c r="M230" s="63">
        <v>45897</v>
      </c>
      <c r="Q23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30" s="14"/>
      <c r="S230" s="14">
        <v>1</v>
      </c>
    </row>
    <row r="231" spans="1:19" ht="20.25" hidden="1" customHeight="1">
      <c r="A231" s="14">
        <v>16</v>
      </c>
      <c r="B231" s="17" t="s">
        <v>124</v>
      </c>
      <c r="C231" s="49" t="s">
        <v>87</v>
      </c>
      <c r="D231" s="14">
        <v>7</v>
      </c>
      <c r="E231" s="14">
        <v>4</v>
      </c>
      <c r="F231" s="21">
        <f>IF(E231&lt;&gt;"",IF(Weld_list[[#This Row],[尺寸]]&lt;1,1,E231),"")</f>
        <v>4</v>
      </c>
      <c r="G231" s="14" t="s">
        <v>92</v>
      </c>
      <c r="H231" s="14">
        <v>304</v>
      </c>
      <c r="I231" s="14" t="s">
        <v>76</v>
      </c>
      <c r="J231" s="14" t="s">
        <v>95</v>
      </c>
      <c r="K231" s="14" t="str">
        <f>IFERROR(TEXT(_xlfn.XLOOKUP(_xlfn.CONCAT(Weld_list[[#This Row],[流水號]],"_",Weld_list[[#This Row],[銲口編號]]),焊口登報表!D:D,焊口登報表!C:C,,0),"yyyy/mm/dd"),"")</f>
        <v>2025/08/25</v>
      </c>
      <c r="L231" s="14" t="s">
        <v>270</v>
      </c>
      <c r="M231" s="63">
        <v>45897</v>
      </c>
      <c r="Q23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31" s="14"/>
      <c r="S231" s="14">
        <v>1</v>
      </c>
    </row>
    <row r="232" spans="1:19" ht="20.25" hidden="1" customHeight="1">
      <c r="A232" s="14">
        <v>16</v>
      </c>
      <c r="B232" s="17" t="s">
        <v>124</v>
      </c>
      <c r="C232" s="49" t="s">
        <v>87</v>
      </c>
      <c r="D232" s="14">
        <v>8</v>
      </c>
      <c r="E232" s="14">
        <v>4</v>
      </c>
      <c r="F232" s="21">
        <f>IF(E232&lt;&gt;"",IF(Weld_list[[#This Row],[尺寸]]&lt;1,1,E232),"")</f>
        <v>4</v>
      </c>
      <c r="G232" s="14" t="s">
        <v>92</v>
      </c>
      <c r="H232" s="14">
        <v>304</v>
      </c>
      <c r="I232" s="14" t="s">
        <v>76</v>
      </c>
      <c r="J232" s="14" t="s">
        <v>95</v>
      </c>
      <c r="K232" s="14" t="str">
        <f>IFERROR(TEXT(_xlfn.XLOOKUP(_xlfn.CONCAT(Weld_list[[#This Row],[流水號]],"_",Weld_list[[#This Row],[銲口編號]]),焊口登報表!D:D,焊口登報表!C:C,,0),"yyyy/mm/dd"),"")</f>
        <v>2025/11/22</v>
      </c>
      <c r="L232" s="14" t="s">
        <v>270</v>
      </c>
      <c r="M232" s="15" t="str">
        <f>IFERROR(TEXT(_xlfn.XLOOKUP(_xlfn.CONCAT(Weld_list[[#This Row],[流水號]],"_",Weld_list[[#This Row],[銲口編號]]),焊口登報表!F:F,焊口登報表!E:E,,0),"yyyy/mm/dd"),"")</f>
        <v>2025/11/23</v>
      </c>
      <c r="Q23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32" s="14"/>
      <c r="S232" s="14">
        <v>1</v>
      </c>
    </row>
    <row r="233" spans="1:19" ht="20.25" hidden="1" customHeight="1">
      <c r="A233" s="14">
        <v>16</v>
      </c>
      <c r="B233" s="17" t="s">
        <v>124</v>
      </c>
      <c r="C233" s="49" t="s">
        <v>87</v>
      </c>
      <c r="D233" s="14">
        <v>9</v>
      </c>
      <c r="E233" s="14">
        <v>4</v>
      </c>
      <c r="F233" s="21">
        <f>IF(E233&lt;&gt;"",IF(Weld_list[[#This Row],[尺寸]]&lt;1,1,E233),"")</f>
        <v>4</v>
      </c>
      <c r="G233" s="14" t="s">
        <v>92</v>
      </c>
      <c r="H233" s="14">
        <v>304</v>
      </c>
      <c r="I233" s="14" t="s">
        <v>76</v>
      </c>
      <c r="J233" s="14" t="s">
        <v>95</v>
      </c>
      <c r="K233" s="14" t="str">
        <f>IFERROR(TEXT(_xlfn.XLOOKUP(_xlfn.CONCAT(Weld_list[[#This Row],[流水號]],"_",Weld_list[[#This Row],[銲口編號]]),焊口登報表!D:D,焊口登報表!C:C,,0),"yyyy/mm/dd"),"")</f>
        <v>2025/08/25</v>
      </c>
      <c r="L233" s="14" t="s">
        <v>270</v>
      </c>
      <c r="M233" s="63">
        <v>45897</v>
      </c>
      <c r="Q23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33" s="14"/>
      <c r="S233" s="14">
        <v>1</v>
      </c>
    </row>
    <row r="234" spans="1:19" ht="20.25" hidden="1" customHeight="1">
      <c r="A234" s="14">
        <v>16</v>
      </c>
      <c r="B234" s="17" t="s">
        <v>124</v>
      </c>
      <c r="C234" s="49" t="s">
        <v>87</v>
      </c>
      <c r="D234" s="14">
        <v>10</v>
      </c>
      <c r="E234" s="14">
        <v>4</v>
      </c>
      <c r="F234" s="21">
        <f>IF(E234&lt;&gt;"",IF(Weld_list[[#This Row],[尺寸]]&lt;1,1,E234),"")</f>
        <v>4</v>
      </c>
      <c r="G234" s="14" t="s">
        <v>92</v>
      </c>
      <c r="H234" s="14">
        <v>304</v>
      </c>
      <c r="I234" s="14" t="s">
        <v>76</v>
      </c>
      <c r="J234" s="14" t="s">
        <v>95</v>
      </c>
      <c r="K234" s="14" t="str">
        <f>IFERROR(TEXT(_xlfn.XLOOKUP(_xlfn.CONCAT(Weld_list[[#This Row],[流水號]],"_",Weld_list[[#This Row],[銲口編號]]),焊口登報表!D:D,焊口登報表!C:C,,0),"yyyy/mm/dd"),"")</f>
        <v>2025/08/25</v>
      </c>
      <c r="L234" s="14" t="s">
        <v>270</v>
      </c>
      <c r="M234" s="63">
        <v>45897</v>
      </c>
      <c r="Q23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\\192.168.1.50\3勝一\SE-37(彰濱)\01.工程圖面\01.ISO\ISO\16.(UG)WW-12101-S1P4U-01.pdf</v>
      </c>
      <c r="R234" s="14"/>
      <c r="S234" s="14">
        <v>1</v>
      </c>
    </row>
    <row r="235" spans="1:19" ht="20.25" hidden="1" customHeight="1">
      <c r="A235" s="14">
        <v>17</v>
      </c>
      <c r="B235" s="17" t="s">
        <v>126</v>
      </c>
      <c r="C235" s="49" t="s">
        <v>89</v>
      </c>
      <c r="D235" s="14">
        <v>11</v>
      </c>
      <c r="E235" s="14">
        <v>4</v>
      </c>
      <c r="F235" s="21">
        <f>IF(E235&lt;&gt;"",IF(Weld_list[[#This Row],[尺寸]]&lt;1,1,E235),"")</f>
        <v>4</v>
      </c>
      <c r="G235" s="14" t="s">
        <v>92</v>
      </c>
      <c r="H235" s="14">
        <v>304</v>
      </c>
      <c r="I235" s="14" t="s">
        <v>76</v>
      </c>
      <c r="J235" s="14" t="s">
        <v>95</v>
      </c>
      <c r="K235" s="14" t="str">
        <f>IFERROR(TEXT(_xlfn.XLOOKUP(_xlfn.CONCAT(Weld_list[[#This Row],[流水號]],"_",Weld_list[[#This Row],[銲口編號]]),焊口登報表!D:D,焊口登報表!C:C,,0),"yyyy/mm/dd"),"")</f>
        <v>2025/11/22</v>
      </c>
      <c r="L235" s="14" t="s">
        <v>270</v>
      </c>
      <c r="M235" s="15" t="str">
        <f>IFERROR(TEXT(_xlfn.XLOOKUP(_xlfn.CONCAT(Weld_list[[#This Row],[流水號]],"_",Weld_list[[#This Row],[銲口編號]]),焊口登報表!F:F,焊口登報表!E:E,,0),"yyyy/mm/dd"),"")</f>
        <v>2025/11/23</v>
      </c>
      <c r="Q23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35" s="14"/>
      <c r="S235" s="14">
        <v>1</v>
      </c>
    </row>
    <row r="236" spans="1:19" ht="20.25" hidden="1" customHeight="1">
      <c r="A236" s="14">
        <v>17</v>
      </c>
      <c r="B236" s="17" t="s">
        <v>126</v>
      </c>
      <c r="C236" s="49" t="s">
        <v>89</v>
      </c>
      <c r="D236" s="14">
        <v>12</v>
      </c>
      <c r="E236" s="14">
        <v>4</v>
      </c>
      <c r="F236" s="21">
        <f>IF(E236&lt;&gt;"",IF(Weld_list[[#This Row],[尺寸]]&lt;1,1,E236),"")</f>
        <v>4</v>
      </c>
      <c r="G236" s="14" t="s">
        <v>92</v>
      </c>
      <c r="H236" s="14">
        <v>304</v>
      </c>
      <c r="I236" s="14" t="s">
        <v>76</v>
      </c>
      <c r="J236" s="14" t="s">
        <v>95</v>
      </c>
      <c r="K236" s="14" t="str">
        <f>IFERROR(TEXT(_xlfn.XLOOKUP(_xlfn.CONCAT(Weld_list[[#This Row],[流水號]],"_",Weld_list[[#This Row],[銲口編號]]),焊口登報表!D:D,焊口登報表!C:C,,0),"yyyy/mm/dd"),"")</f>
        <v>2025/08/25</v>
      </c>
      <c r="L236" s="14" t="s">
        <v>270</v>
      </c>
      <c r="M236" s="63">
        <v>45897</v>
      </c>
      <c r="Q23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36" s="14"/>
      <c r="S236" s="14">
        <v>1</v>
      </c>
    </row>
    <row r="237" spans="1:19" ht="20.25" hidden="1" customHeight="1">
      <c r="A237" s="14">
        <v>17</v>
      </c>
      <c r="B237" s="17" t="s">
        <v>126</v>
      </c>
      <c r="C237" s="49" t="s">
        <v>89</v>
      </c>
      <c r="D237" s="14">
        <v>13</v>
      </c>
      <c r="E237" s="14">
        <v>4</v>
      </c>
      <c r="F237" s="21">
        <f>IF(E237&lt;&gt;"",IF(Weld_list[[#This Row],[尺寸]]&lt;1,1,E237),"")</f>
        <v>4</v>
      </c>
      <c r="G237" s="14" t="s">
        <v>92</v>
      </c>
      <c r="H237" s="14">
        <v>304</v>
      </c>
      <c r="I237" s="14" t="s">
        <v>76</v>
      </c>
      <c r="J237" s="14" t="s">
        <v>95</v>
      </c>
      <c r="K237" s="14" t="str">
        <f>IFERROR(TEXT(_xlfn.XLOOKUP(_xlfn.CONCAT(Weld_list[[#This Row],[流水號]],"_",Weld_list[[#This Row],[銲口編號]]),焊口登報表!D:D,焊口登報表!C:C,,0),"yyyy/mm/dd"),"")</f>
        <v>2025/08/25</v>
      </c>
      <c r="L237" s="14" t="s">
        <v>270</v>
      </c>
      <c r="M237" s="63">
        <v>45897</v>
      </c>
      <c r="Q23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37" s="14"/>
      <c r="S237" s="14">
        <v>1</v>
      </c>
    </row>
    <row r="238" spans="1:19" ht="20.25" hidden="1" customHeight="1">
      <c r="A238" s="14">
        <v>17</v>
      </c>
      <c r="B238" s="17" t="s">
        <v>126</v>
      </c>
      <c r="C238" s="49" t="s">
        <v>89</v>
      </c>
      <c r="D238" s="14">
        <v>14</v>
      </c>
      <c r="E238" s="14">
        <v>4</v>
      </c>
      <c r="F238" s="21">
        <f>IF(E238&lt;&gt;"",IF(Weld_list[[#This Row],[尺寸]]&lt;1,1,E238),"")</f>
        <v>4</v>
      </c>
      <c r="G238" s="14" t="s">
        <v>92</v>
      </c>
      <c r="H238" s="14">
        <v>304</v>
      </c>
      <c r="I238" s="14" t="s">
        <v>76</v>
      </c>
      <c r="J238" s="14" t="s">
        <v>95</v>
      </c>
      <c r="K238" s="14" t="str">
        <f>IFERROR(TEXT(_xlfn.XLOOKUP(_xlfn.CONCAT(Weld_list[[#This Row],[流水號]],"_",Weld_list[[#This Row],[銲口編號]]),焊口登報表!D:D,焊口登報表!C:C,,0),"yyyy/mm/dd"),"")</f>
        <v>2025/11/29</v>
      </c>
      <c r="L238" s="14" t="s">
        <v>270</v>
      </c>
      <c r="M238" s="15" t="str">
        <f>IFERROR(TEXT(_xlfn.XLOOKUP(_xlfn.CONCAT(Weld_list[[#This Row],[流水號]],"_",Weld_list[[#This Row],[銲口編號]]),焊口登報表!F:F,焊口登報表!E:E,,0),"yyyy/mm/dd"),"")</f>
        <v>2025/11/30</v>
      </c>
      <c r="Q23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38" s="14"/>
      <c r="S238" s="14">
        <v>1</v>
      </c>
    </row>
    <row r="239" spans="1:19" ht="20.25" hidden="1" customHeight="1">
      <c r="A239" s="14">
        <v>17</v>
      </c>
      <c r="B239" s="17" t="s">
        <v>126</v>
      </c>
      <c r="C239" s="49" t="s">
        <v>89</v>
      </c>
      <c r="D239" s="14">
        <v>15</v>
      </c>
      <c r="E239" s="14">
        <v>4</v>
      </c>
      <c r="F239" s="21">
        <f>IF(E239&lt;&gt;"",IF(Weld_list[[#This Row],[尺寸]]&lt;1,1,E239),"")</f>
        <v>4</v>
      </c>
      <c r="G239" s="14" t="s">
        <v>92</v>
      </c>
      <c r="H239" s="14">
        <v>304</v>
      </c>
      <c r="I239" s="14" t="s">
        <v>76</v>
      </c>
      <c r="J239" s="14" t="s">
        <v>95</v>
      </c>
      <c r="K239" s="14" t="str">
        <f>IFERROR(TEXT(_xlfn.XLOOKUP(_xlfn.CONCAT(Weld_list[[#This Row],[流水號]],"_",Weld_list[[#This Row],[銲口編號]]),焊口登報表!D:D,焊口登報表!C:C,,0),"yyyy/mm/dd"),"")</f>
        <v>2025/08/25</v>
      </c>
      <c r="L239" s="14" t="s">
        <v>270</v>
      </c>
      <c r="M239" s="63">
        <v>45897</v>
      </c>
      <c r="Q23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39" s="14"/>
      <c r="S239" s="14">
        <v>1</v>
      </c>
    </row>
    <row r="240" spans="1:19" ht="20.25" hidden="1" customHeight="1">
      <c r="A240" s="14">
        <v>17</v>
      </c>
      <c r="B240" s="17" t="s">
        <v>126</v>
      </c>
      <c r="C240" s="49" t="s">
        <v>89</v>
      </c>
      <c r="D240" s="14">
        <v>16</v>
      </c>
      <c r="E240" s="14">
        <v>4</v>
      </c>
      <c r="F240" s="21">
        <f>IF(E240&lt;&gt;"",IF(Weld_list[[#This Row],[尺寸]]&lt;1,1,E240),"")</f>
        <v>4</v>
      </c>
      <c r="G240" s="14" t="s">
        <v>92</v>
      </c>
      <c r="H240" s="14">
        <v>304</v>
      </c>
      <c r="I240" s="14" t="s">
        <v>76</v>
      </c>
      <c r="J240" s="14" t="s">
        <v>95</v>
      </c>
      <c r="K240" s="14" t="str">
        <f>IFERROR(TEXT(_xlfn.XLOOKUP(_xlfn.CONCAT(Weld_list[[#This Row],[流水號]],"_",Weld_list[[#This Row],[銲口編號]]),焊口登報表!D:D,焊口登報表!C:C,,0),"yyyy/mm/dd"),"")</f>
        <v>2025/11/29</v>
      </c>
      <c r="L240" s="14" t="s">
        <v>270</v>
      </c>
      <c r="M240" s="15" t="str">
        <f>IFERROR(TEXT(_xlfn.XLOOKUP(_xlfn.CONCAT(Weld_list[[#This Row],[流水號]],"_",Weld_list[[#This Row],[銲口編號]]),焊口登報表!F:F,焊口登報表!E:E,,0),"yyyy/mm/dd"),"")</f>
        <v>2025/11/30</v>
      </c>
      <c r="Q24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40" s="14"/>
      <c r="S240" s="14">
        <v>1</v>
      </c>
    </row>
    <row r="241" spans="1:19" ht="20.25" hidden="1" customHeight="1">
      <c r="A241" s="14">
        <v>17</v>
      </c>
      <c r="B241" s="17" t="s">
        <v>126</v>
      </c>
      <c r="C241" s="49" t="s">
        <v>89</v>
      </c>
      <c r="D241" s="14">
        <v>17</v>
      </c>
      <c r="E241" s="14">
        <v>4</v>
      </c>
      <c r="F241" s="21">
        <f>IF(E241&lt;&gt;"",IF(Weld_list[[#This Row],[尺寸]]&lt;1,1,E241),"")</f>
        <v>4</v>
      </c>
      <c r="G241" s="14" t="s">
        <v>92</v>
      </c>
      <c r="H241" s="14">
        <v>304</v>
      </c>
      <c r="I241" s="14" t="s">
        <v>76</v>
      </c>
      <c r="J241" s="14" t="s">
        <v>95</v>
      </c>
      <c r="K241" s="14" t="str">
        <f>IFERROR(TEXT(_xlfn.XLOOKUP(_xlfn.CONCAT(Weld_list[[#This Row],[流水號]],"_",Weld_list[[#This Row],[銲口編號]]),焊口登報表!D:D,焊口登報表!C:C,,0),"yyyy/mm/dd"),"")</f>
        <v>2025/11/22</v>
      </c>
      <c r="L241" s="14" t="s">
        <v>270</v>
      </c>
      <c r="M241" s="15" t="str">
        <f>IFERROR(TEXT(_xlfn.XLOOKUP(_xlfn.CONCAT(Weld_list[[#This Row],[流水號]],"_",Weld_list[[#This Row],[銲口編號]]),焊口登報表!F:F,焊口登報表!E:E,,0),"yyyy/mm/dd"),"")</f>
        <v>2025/11/23</v>
      </c>
      <c r="Q24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41" s="14"/>
      <c r="S241" s="14">
        <v>1</v>
      </c>
    </row>
    <row r="242" spans="1:19" ht="20.25" hidden="1" customHeight="1">
      <c r="A242" s="14">
        <v>17</v>
      </c>
      <c r="B242" s="17" t="s">
        <v>126</v>
      </c>
      <c r="C242" s="49" t="s">
        <v>89</v>
      </c>
      <c r="D242" s="14">
        <v>18</v>
      </c>
      <c r="E242" s="14">
        <v>4</v>
      </c>
      <c r="F242" s="21">
        <f>IF(E242&lt;&gt;"",IF(Weld_list[[#This Row],[尺寸]]&lt;1,1,E242),"")</f>
        <v>4</v>
      </c>
      <c r="G242" s="14" t="s">
        <v>92</v>
      </c>
      <c r="H242" s="14">
        <v>304</v>
      </c>
      <c r="I242" s="14" t="s">
        <v>76</v>
      </c>
      <c r="J242" s="14" t="s">
        <v>95</v>
      </c>
      <c r="K242" s="14" t="str">
        <f>IFERROR(TEXT(_xlfn.XLOOKUP(_xlfn.CONCAT(Weld_list[[#This Row],[流水號]],"_",Weld_list[[#This Row],[銲口編號]]),焊口登報表!D:D,焊口登報表!C:C,,0),"yyyy/mm/dd"),"")</f>
        <v>2025/08/25</v>
      </c>
      <c r="L242" s="14" t="s">
        <v>270</v>
      </c>
      <c r="M242" s="63">
        <v>45897</v>
      </c>
      <c r="Q24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42" s="14"/>
      <c r="S242" s="14">
        <v>1</v>
      </c>
    </row>
    <row r="243" spans="1:19" ht="20.25" hidden="1" customHeight="1">
      <c r="A243" s="14">
        <v>17</v>
      </c>
      <c r="B243" s="17" t="s">
        <v>126</v>
      </c>
      <c r="C243" s="49" t="s">
        <v>89</v>
      </c>
      <c r="D243" s="14">
        <v>19</v>
      </c>
      <c r="E243" s="14">
        <v>4</v>
      </c>
      <c r="F243" s="21">
        <f>IF(E243&lt;&gt;"",IF(Weld_list[[#This Row],[尺寸]]&lt;1,1,E243),"")</f>
        <v>4</v>
      </c>
      <c r="G243" s="14" t="s">
        <v>92</v>
      </c>
      <c r="H243" s="14">
        <v>304</v>
      </c>
      <c r="I243" s="14" t="s">
        <v>76</v>
      </c>
      <c r="J243" s="14" t="s">
        <v>95</v>
      </c>
      <c r="K243" s="14" t="str">
        <f>IFERROR(TEXT(_xlfn.XLOOKUP(_xlfn.CONCAT(Weld_list[[#This Row],[流水號]],"_",Weld_list[[#This Row],[銲口編號]]),焊口登報表!D:D,焊口登報表!C:C,,0),"yyyy/mm/dd"),"")</f>
        <v>2025/08/25</v>
      </c>
      <c r="L243" s="14" t="s">
        <v>270</v>
      </c>
      <c r="M243" s="63">
        <v>45897</v>
      </c>
      <c r="Q24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43" s="14"/>
      <c r="S243" s="14">
        <v>1</v>
      </c>
    </row>
    <row r="244" spans="1:19" ht="20.25" hidden="1" customHeight="1">
      <c r="A244" s="14">
        <v>17</v>
      </c>
      <c r="B244" s="17" t="s">
        <v>126</v>
      </c>
      <c r="C244" s="49" t="s">
        <v>89</v>
      </c>
      <c r="D244" s="14">
        <v>20</v>
      </c>
      <c r="E244" s="14">
        <v>4</v>
      </c>
      <c r="F244" s="21">
        <f>IF(E244&lt;&gt;"",IF(Weld_list[[#This Row],[尺寸]]&lt;1,1,E244),"")</f>
        <v>4</v>
      </c>
      <c r="G244" s="14" t="s">
        <v>92</v>
      </c>
      <c r="H244" s="14">
        <v>304</v>
      </c>
      <c r="I244" s="14" t="s">
        <v>76</v>
      </c>
      <c r="J244" s="14" t="s">
        <v>95</v>
      </c>
      <c r="K244" s="14" t="str">
        <f>IFERROR(TEXT(_xlfn.XLOOKUP(_xlfn.CONCAT(Weld_list[[#This Row],[流水號]],"_",Weld_list[[#This Row],[銲口編號]]),焊口登報表!D:D,焊口登報表!C:C,,0),"yyyy/mm/dd"),"")</f>
        <v>2025/08/25</v>
      </c>
      <c r="L244" s="14" t="s">
        <v>270</v>
      </c>
      <c r="M244" s="63">
        <v>45897</v>
      </c>
      <c r="Q24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44" s="14"/>
      <c r="S244" s="14">
        <v>1</v>
      </c>
    </row>
    <row r="245" spans="1:19" ht="20.25" hidden="1" customHeight="1">
      <c r="A245" s="14">
        <v>17</v>
      </c>
      <c r="B245" s="17" t="s">
        <v>126</v>
      </c>
      <c r="C245" s="49" t="s">
        <v>89</v>
      </c>
      <c r="D245" s="14">
        <v>21</v>
      </c>
      <c r="E245" s="14">
        <v>4</v>
      </c>
      <c r="F245" s="21">
        <f>IF(E245&lt;&gt;"",IF(Weld_list[[#This Row],[尺寸]]&lt;1,1,E245),"")</f>
        <v>4</v>
      </c>
      <c r="G245" s="14" t="s">
        <v>92</v>
      </c>
      <c r="H245" s="14">
        <v>304</v>
      </c>
      <c r="I245" s="14" t="s">
        <v>76</v>
      </c>
      <c r="J245" s="14" t="s">
        <v>95</v>
      </c>
      <c r="K245" s="14" t="str">
        <f>IFERROR(TEXT(_xlfn.XLOOKUP(_xlfn.CONCAT(Weld_list[[#This Row],[流水號]],"_",Weld_list[[#This Row],[銲口編號]]),焊口登報表!D:D,焊口登報表!C:C,,0),"yyyy/mm/dd"),"")</f>
        <v>2025/08/25</v>
      </c>
      <c r="L245" s="14" t="s">
        <v>270</v>
      </c>
      <c r="M245" s="63">
        <v>45897</v>
      </c>
      <c r="Q24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45" s="14"/>
      <c r="S245" s="14">
        <v>1</v>
      </c>
    </row>
    <row r="246" spans="1:19" ht="20.25" hidden="1" customHeight="1">
      <c r="A246" s="14">
        <v>17</v>
      </c>
      <c r="B246" s="17" t="s">
        <v>126</v>
      </c>
      <c r="C246" s="49" t="s">
        <v>89</v>
      </c>
      <c r="D246" s="14">
        <v>22</v>
      </c>
      <c r="E246" s="14">
        <v>4</v>
      </c>
      <c r="F246" s="21">
        <f>IF(E246&lt;&gt;"",IF(Weld_list[[#This Row],[尺寸]]&lt;1,1,E246),"")</f>
        <v>4</v>
      </c>
      <c r="G246" s="14" t="s">
        <v>92</v>
      </c>
      <c r="H246" s="14">
        <v>304</v>
      </c>
      <c r="I246" s="14" t="s">
        <v>76</v>
      </c>
      <c r="J246" s="14" t="s">
        <v>95</v>
      </c>
      <c r="K246" s="14" t="str">
        <f>IFERROR(TEXT(_xlfn.XLOOKUP(_xlfn.CONCAT(Weld_list[[#This Row],[流水號]],"_",Weld_list[[#This Row],[銲口編號]]),焊口登報表!D:D,焊口登報表!C:C,,0),"yyyy/mm/dd"),"")</f>
        <v>2025/11/22</v>
      </c>
      <c r="L246" s="14" t="s">
        <v>270</v>
      </c>
      <c r="M246" s="15" t="str">
        <f>IFERROR(TEXT(_xlfn.XLOOKUP(_xlfn.CONCAT(Weld_list[[#This Row],[流水號]],"_",Weld_list[[#This Row],[銲口編號]]),焊口登報表!F:F,焊口登報表!E:E,,0),"yyyy/mm/dd"),"")</f>
        <v>2025/11/23</v>
      </c>
      <c r="Q24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\\192.168.1.50\3勝一\SE-37(彰濱)\01.工程圖面\01.ISO\ISO\17.(UG)WW-12101-S1P4U-02.pdf</v>
      </c>
      <c r="R246" s="14"/>
      <c r="S246" s="14">
        <v>1</v>
      </c>
    </row>
    <row r="247" spans="1:19" ht="20.25" hidden="1" customHeight="1">
      <c r="A247" s="14">
        <v>18</v>
      </c>
      <c r="B247" s="17" t="s">
        <v>127</v>
      </c>
      <c r="C247" s="49" t="s">
        <v>85</v>
      </c>
      <c r="D247" s="14">
        <v>1</v>
      </c>
      <c r="E247" s="14">
        <v>4</v>
      </c>
      <c r="F247" s="21">
        <f>IF(E247&lt;&gt;"",IF(Weld_list[[#This Row],[尺寸]]&lt;1,1,E247),"")</f>
        <v>4</v>
      </c>
      <c r="G247" s="14" t="s">
        <v>92</v>
      </c>
      <c r="H247" s="14">
        <v>304</v>
      </c>
      <c r="I247" s="14" t="s">
        <v>76</v>
      </c>
      <c r="J247" s="14" t="s">
        <v>95</v>
      </c>
      <c r="K247" s="14" t="str">
        <f>IFERROR(TEXT(_xlfn.XLOOKUP(_xlfn.CONCAT(Weld_list[[#This Row],[流水號]],"_",Weld_list[[#This Row],[銲口編號]]),焊口登報表!D:D,焊口登報表!C:C,,0),"yyyy/mm/dd"),"")</f>
        <v>2025/08/25</v>
      </c>
      <c r="L247" s="14" t="s">
        <v>270</v>
      </c>
      <c r="M247" s="63">
        <v>45897</v>
      </c>
      <c r="Q24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47" s="14"/>
      <c r="S247" s="14">
        <v>1</v>
      </c>
    </row>
    <row r="248" spans="1:19" ht="20.25" hidden="1" customHeight="1">
      <c r="A248" s="14">
        <v>18</v>
      </c>
      <c r="B248" s="17" t="s">
        <v>127</v>
      </c>
      <c r="C248" s="49" t="s">
        <v>85</v>
      </c>
      <c r="D248" s="14">
        <v>2</v>
      </c>
      <c r="E248" s="14">
        <v>4</v>
      </c>
      <c r="F248" s="21">
        <f>IF(E248&lt;&gt;"",IF(Weld_list[[#This Row],[尺寸]]&lt;1,1,E248),"")</f>
        <v>4</v>
      </c>
      <c r="G248" s="14" t="s">
        <v>92</v>
      </c>
      <c r="H248" s="14">
        <v>304</v>
      </c>
      <c r="I248" s="14" t="s">
        <v>76</v>
      </c>
      <c r="J248" s="14" t="s">
        <v>95</v>
      </c>
      <c r="K248" s="14" t="str">
        <f>IFERROR(TEXT(_xlfn.XLOOKUP(_xlfn.CONCAT(Weld_list[[#This Row],[流水號]],"_",Weld_list[[#This Row],[銲口編號]]),焊口登報表!D:D,焊口登報表!C:C,,0),"yyyy/mm/dd"),"")</f>
        <v>2025/08/25</v>
      </c>
      <c r="L248" s="14" t="s">
        <v>270</v>
      </c>
      <c r="M248" s="63">
        <v>45897</v>
      </c>
      <c r="Q24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48" s="14"/>
      <c r="S248" s="14">
        <v>1</v>
      </c>
    </row>
    <row r="249" spans="1:19" ht="20.25" hidden="1" customHeight="1">
      <c r="A249" s="14">
        <v>18</v>
      </c>
      <c r="B249" s="17" t="s">
        <v>127</v>
      </c>
      <c r="C249" s="49" t="s">
        <v>85</v>
      </c>
      <c r="D249" s="14">
        <v>3</v>
      </c>
      <c r="E249" s="14">
        <v>4</v>
      </c>
      <c r="F249" s="21">
        <f>IF(E249&lt;&gt;"",IF(Weld_list[[#This Row],[尺寸]]&lt;1,1,E249),"")</f>
        <v>4</v>
      </c>
      <c r="G249" s="14" t="s">
        <v>92</v>
      </c>
      <c r="H249" s="14">
        <v>304</v>
      </c>
      <c r="I249" s="14" t="s">
        <v>76</v>
      </c>
      <c r="J249" s="14" t="s">
        <v>95</v>
      </c>
      <c r="K249" s="14" t="str">
        <f>IFERROR(TEXT(_xlfn.XLOOKUP(_xlfn.CONCAT(Weld_list[[#This Row],[流水號]],"_",Weld_list[[#This Row],[銲口編號]]),焊口登報表!D:D,焊口登報表!C:C,,0),"yyyy/mm/dd"),"")</f>
        <v>2025/08/25</v>
      </c>
      <c r="L249" s="14" t="s">
        <v>270</v>
      </c>
      <c r="M249" s="63">
        <v>45897</v>
      </c>
      <c r="Q24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49" s="14"/>
      <c r="S249" s="14">
        <v>1</v>
      </c>
    </row>
    <row r="250" spans="1:19" ht="20.25" hidden="1" customHeight="1">
      <c r="A250" s="14">
        <v>18</v>
      </c>
      <c r="B250" s="17" t="s">
        <v>127</v>
      </c>
      <c r="C250" s="49" t="s">
        <v>85</v>
      </c>
      <c r="D250" s="14">
        <v>4</v>
      </c>
      <c r="E250" s="14">
        <v>4</v>
      </c>
      <c r="F250" s="21">
        <f>IF(E250&lt;&gt;"",IF(Weld_list[[#This Row],[尺寸]]&lt;1,1,E250),"")</f>
        <v>4</v>
      </c>
      <c r="G250" s="14" t="s">
        <v>92</v>
      </c>
      <c r="H250" s="14">
        <v>304</v>
      </c>
      <c r="I250" s="14" t="s">
        <v>76</v>
      </c>
      <c r="J250" s="14" t="s">
        <v>95</v>
      </c>
      <c r="K250" s="14" t="str">
        <f>IFERROR(TEXT(_xlfn.XLOOKUP(_xlfn.CONCAT(Weld_list[[#This Row],[流水號]],"_",Weld_list[[#This Row],[銲口編號]]),焊口登報表!D:D,焊口登報表!C:C,,0),"yyyy/mm/dd"),"")</f>
        <v>2025/08/25</v>
      </c>
      <c r="L250" s="14" t="s">
        <v>270</v>
      </c>
      <c r="M250" s="63">
        <v>45897</v>
      </c>
      <c r="Q25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0" s="14"/>
      <c r="S250" s="14">
        <v>1</v>
      </c>
    </row>
    <row r="251" spans="1:19" ht="20.25" hidden="1" customHeight="1">
      <c r="A251" s="14">
        <v>18</v>
      </c>
      <c r="B251" s="17" t="s">
        <v>127</v>
      </c>
      <c r="C251" s="49" t="s">
        <v>85</v>
      </c>
      <c r="D251" s="14">
        <v>5</v>
      </c>
      <c r="E251" s="14">
        <v>4</v>
      </c>
      <c r="F251" s="21">
        <f>IF(E251&lt;&gt;"",IF(Weld_list[[#This Row],[尺寸]]&lt;1,1,E251),"")</f>
        <v>4</v>
      </c>
      <c r="G251" s="14" t="s">
        <v>92</v>
      </c>
      <c r="H251" s="14">
        <v>304</v>
      </c>
      <c r="I251" s="14" t="s">
        <v>76</v>
      </c>
      <c r="J251" s="14" t="s">
        <v>95</v>
      </c>
      <c r="K251" s="14" t="str">
        <f>IFERROR(TEXT(_xlfn.XLOOKUP(_xlfn.CONCAT(Weld_list[[#This Row],[流水號]],"_",Weld_list[[#This Row],[銲口編號]]),焊口登報表!D:D,焊口登報表!C:C,,0),"yyyy/mm/dd"),"")</f>
        <v/>
      </c>
      <c r="L251" s="14" t="s">
        <v>270</v>
      </c>
      <c r="M251" s="15" t="str">
        <f>IFERROR(TEXT(_xlfn.XLOOKUP(_xlfn.CONCAT(Weld_list[[#This Row],[流水號]],"_",Weld_list[[#This Row],[銲口編號]]),焊口登報表!F:F,焊口登報表!E:E,,0),"yyyy/mm/dd"),"")</f>
        <v/>
      </c>
      <c r="Q25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1" s="14"/>
      <c r="S251" s="14">
        <v>1</v>
      </c>
    </row>
    <row r="252" spans="1:19" ht="20.25" hidden="1" customHeight="1">
      <c r="A252" s="14">
        <v>18</v>
      </c>
      <c r="B252" s="17" t="s">
        <v>127</v>
      </c>
      <c r="C252" s="49" t="s">
        <v>85</v>
      </c>
      <c r="D252" s="14">
        <v>6</v>
      </c>
      <c r="E252" s="14">
        <v>4</v>
      </c>
      <c r="F252" s="21">
        <f>IF(E252&lt;&gt;"",IF(Weld_list[[#This Row],[尺寸]]&lt;1,1,E252),"")</f>
        <v>4</v>
      </c>
      <c r="G252" s="14" t="s">
        <v>92</v>
      </c>
      <c r="H252" s="14">
        <v>304</v>
      </c>
      <c r="I252" s="14" t="s">
        <v>76</v>
      </c>
      <c r="J252" s="14" t="s">
        <v>95</v>
      </c>
      <c r="K252" s="14" t="str">
        <f>IFERROR(TEXT(_xlfn.XLOOKUP(_xlfn.CONCAT(Weld_list[[#This Row],[流水號]],"_",Weld_list[[#This Row],[銲口編號]]),焊口登報表!D:D,焊口登報表!C:C,,0),"yyyy/mm/dd"),"")</f>
        <v>2025/08/25</v>
      </c>
      <c r="L252" s="14" t="s">
        <v>270</v>
      </c>
      <c r="M252" s="63">
        <v>45897</v>
      </c>
      <c r="Q25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2" s="14"/>
      <c r="S252" s="14">
        <v>1</v>
      </c>
    </row>
    <row r="253" spans="1:19" ht="20.25" hidden="1" customHeight="1">
      <c r="A253" s="14">
        <v>18</v>
      </c>
      <c r="B253" s="17" t="s">
        <v>127</v>
      </c>
      <c r="C253" s="49" t="s">
        <v>85</v>
      </c>
      <c r="D253" s="14">
        <v>7</v>
      </c>
      <c r="E253" s="14">
        <v>4</v>
      </c>
      <c r="F253" s="21">
        <f>IF(E253&lt;&gt;"",IF(Weld_list[[#This Row],[尺寸]]&lt;1,1,E253),"")</f>
        <v>4</v>
      </c>
      <c r="G253" s="14" t="s">
        <v>92</v>
      </c>
      <c r="H253" s="14">
        <v>304</v>
      </c>
      <c r="I253" s="14" t="s">
        <v>76</v>
      </c>
      <c r="J253" s="14" t="s">
        <v>95</v>
      </c>
      <c r="K253" s="14" t="str">
        <f>IFERROR(TEXT(_xlfn.XLOOKUP(_xlfn.CONCAT(Weld_list[[#This Row],[流水號]],"_",Weld_list[[#This Row],[銲口編號]]),焊口登報表!D:D,焊口登報表!C:C,,0),"yyyy/mm/dd"),"")</f>
        <v>2025/08/25</v>
      </c>
      <c r="L253" s="14" t="s">
        <v>270</v>
      </c>
      <c r="M253" s="63">
        <v>45897</v>
      </c>
      <c r="Q25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3" s="14"/>
      <c r="S253" s="14">
        <v>1</v>
      </c>
    </row>
    <row r="254" spans="1:19" ht="20.25" hidden="1" customHeight="1">
      <c r="A254" s="14">
        <v>18</v>
      </c>
      <c r="B254" s="17" t="s">
        <v>127</v>
      </c>
      <c r="C254" s="49" t="s">
        <v>85</v>
      </c>
      <c r="D254" s="14">
        <v>8</v>
      </c>
      <c r="E254" s="14">
        <v>4</v>
      </c>
      <c r="F254" s="21">
        <f>IF(E254&lt;&gt;"",IF(Weld_list[[#This Row],[尺寸]]&lt;1,1,E254),"")</f>
        <v>4</v>
      </c>
      <c r="G254" s="14" t="s">
        <v>92</v>
      </c>
      <c r="H254" s="14">
        <v>304</v>
      </c>
      <c r="I254" s="14" t="s">
        <v>76</v>
      </c>
      <c r="J254" s="14" t="s">
        <v>95</v>
      </c>
      <c r="K254" s="14" t="str">
        <f>IFERROR(TEXT(_xlfn.XLOOKUP(_xlfn.CONCAT(Weld_list[[#This Row],[流水號]],"_",Weld_list[[#This Row],[銲口編號]]),焊口登報表!D:D,焊口登報表!C:C,,0),"yyyy/mm/dd"),"")</f>
        <v/>
      </c>
      <c r="L254" s="14" t="s">
        <v>270</v>
      </c>
      <c r="M254" s="15" t="str">
        <f>IFERROR(TEXT(_xlfn.XLOOKUP(_xlfn.CONCAT(Weld_list[[#This Row],[流水號]],"_",Weld_list[[#This Row],[銲口編號]]),焊口登報表!F:F,焊口登報表!E:E,,0),"yyyy/mm/dd"),"")</f>
        <v/>
      </c>
      <c r="Q25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4" s="14"/>
      <c r="S254" s="14">
        <v>1</v>
      </c>
    </row>
    <row r="255" spans="1:19" ht="20.25" hidden="1" customHeight="1">
      <c r="A255" s="14">
        <v>18</v>
      </c>
      <c r="B255" s="17" t="s">
        <v>127</v>
      </c>
      <c r="C255" s="49" t="s">
        <v>85</v>
      </c>
      <c r="D255" s="14">
        <v>9</v>
      </c>
      <c r="E255" s="14">
        <v>4</v>
      </c>
      <c r="F255" s="21">
        <f>IF(E255&lt;&gt;"",IF(Weld_list[[#This Row],[尺寸]]&lt;1,1,E255),"")</f>
        <v>4</v>
      </c>
      <c r="G255" s="14" t="s">
        <v>92</v>
      </c>
      <c r="H255" s="14">
        <v>304</v>
      </c>
      <c r="I255" s="14" t="s">
        <v>76</v>
      </c>
      <c r="J255" s="14" t="s">
        <v>95</v>
      </c>
      <c r="K255" s="14" t="str">
        <f>IFERROR(TEXT(_xlfn.XLOOKUP(_xlfn.CONCAT(Weld_list[[#This Row],[流水號]],"_",Weld_list[[#This Row],[銲口編號]]),焊口登報表!D:D,焊口登報表!C:C,,0),"yyyy/mm/dd"),"")</f>
        <v>2025/08/25</v>
      </c>
      <c r="L255" s="14" t="s">
        <v>270</v>
      </c>
      <c r="M255" s="63">
        <v>45897</v>
      </c>
      <c r="Q25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5" s="14"/>
      <c r="S255" s="14">
        <v>1</v>
      </c>
    </row>
    <row r="256" spans="1:19" ht="20.25" hidden="1" customHeight="1">
      <c r="A256" s="14">
        <v>18</v>
      </c>
      <c r="B256" s="17" t="s">
        <v>127</v>
      </c>
      <c r="C256" s="49" t="s">
        <v>85</v>
      </c>
      <c r="D256" s="14">
        <v>10</v>
      </c>
      <c r="E256" s="14">
        <v>4</v>
      </c>
      <c r="F256" s="21">
        <f>IF(E256&lt;&gt;"",IF(Weld_list[[#This Row],[尺寸]]&lt;1,1,E256),"")</f>
        <v>4</v>
      </c>
      <c r="G256" s="14" t="s">
        <v>92</v>
      </c>
      <c r="H256" s="14">
        <v>304</v>
      </c>
      <c r="I256" s="14" t="s">
        <v>76</v>
      </c>
      <c r="J256" s="14" t="s">
        <v>95</v>
      </c>
      <c r="K256" s="14" t="str">
        <f>IFERROR(TEXT(_xlfn.XLOOKUP(_xlfn.CONCAT(Weld_list[[#This Row],[流水號]],"_",Weld_list[[#This Row],[銲口編號]]),焊口登報表!D:D,焊口登報表!C:C,,0),"yyyy/mm/dd"),"")</f>
        <v/>
      </c>
      <c r="L256" s="14" t="s">
        <v>270</v>
      </c>
      <c r="M256" s="15" t="str">
        <f>IFERROR(TEXT(_xlfn.XLOOKUP(_xlfn.CONCAT(Weld_list[[#This Row],[流水號]],"_",Weld_list[[#This Row],[銲口編號]]),焊口登報表!F:F,焊口登報表!E:E,,0),"yyyy/mm/dd"),"")</f>
        <v/>
      </c>
      <c r="Q25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6" s="14"/>
      <c r="S256" s="14">
        <v>1</v>
      </c>
    </row>
    <row r="257" spans="1:19" ht="20.25" hidden="1" customHeight="1">
      <c r="A257" s="14">
        <v>18</v>
      </c>
      <c r="B257" s="17" t="s">
        <v>127</v>
      </c>
      <c r="C257" s="49" t="s">
        <v>85</v>
      </c>
      <c r="D257" s="14">
        <v>11</v>
      </c>
      <c r="E257" s="14">
        <v>4</v>
      </c>
      <c r="F257" s="21">
        <f>IF(E257&lt;&gt;"",IF(Weld_list[[#This Row],[尺寸]]&lt;1,1,E257),"")</f>
        <v>4</v>
      </c>
      <c r="G257" s="14" t="s">
        <v>92</v>
      </c>
      <c r="H257" s="14">
        <v>304</v>
      </c>
      <c r="I257" s="14" t="s">
        <v>76</v>
      </c>
      <c r="J257" s="14" t="s">
        <v>95</v>
      </c>
      <c r="K257" s="14" t="str">
        <f>IFERROR(TEXT(_xlfn.XLOOKUP(_xlfn.CONCAT(Weld_list[[#This Row],[流水號]],"_",Weld_list[[#This Row],[銲口編號]]),焊口登報表!D:D,焊口登報表!C:C,,0),"yyyy/mm/dd"),"")</f>
        <v>2025/08/25</v>
      </c>
      <c r="L257" s="14" t="s">
        <v>270</v>
      </c>
      <c r="M257" s="63">
        <v>45897</v>
      </c>
      <c r="Q25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7" s="14"/>
      <c r="S257" s="14">
        <v>1</v>
      </c>
    </row>
    <row r="258" spans="1:19" ht="20.25" hidden="1" customHeight="1">
      <c r="A258" s="14">
        <v>18</v>
      </c>
      <c r="B258" s="17" t="s">
        <v>127</v>
      </c>
      <c r="C258" s="49" t="s">
        <v>85</v>
      </c>
      <c r="D258" s="14">
        <v>12</v>
      </c>
      <c r="E258" s="14">
        <v>4</v>
      </c>
      <c r="F258" s="21">
        <f>IF(E258&lt;&gt;"",IF(Weld_list[[#This Row],[尺寸]]&lt;1,1,E258),"")</f>
        <v>4</v>
      </c>
      <c r="G258" s="14" t="s">
        <v>92</v>
      </c>
      <c r="H258" s="14">
        <v>304</v>
      </c>
      <c r="I258" s="14" t="s">
        <v>76</v>
      </c>
      <c r="J258" s="14" t="s">
        <v>95</v>
      </c>
      <c r="K258" s="14" t="str">
        <f>IFERROR(TEXT(_xlfn.XLOOKUP(_xlfn.CONCAT(Weld_list[[#This Row],[流水號]],"_",Weld_list[[#This Row],[銲口編號]]),焊口登報表!D:D,焊口登報表!C:C,,0),"yyyy/mm/dd"),"")</f>
        <v>2025/08/25</v>
      </c>
      <c r="L258" s="14" t="s">
        <v>270</v>
      </c>
      <c r="M258" s="63">
        <v>45897</v>
      </c>
      <c r="Q258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8" s="14"/>
      <c r="S258" s="14">
        <v>1</v>
      </c>
    </row>
    <row r="259" spans="1:19" ht="20.25" hidden="1" customHeight="1">
      <c r="A259" s="14">
        <v>18</v>
      </c>
      <c r="B259" s="17" t="s">
        <v>127</v>
      </c>
      <c r="C259" s="49" t="s">
        <v>85</v>
      </c>
      <c r="D259" s="14">
        <v>13</v>
      </c>
      <c r="E259" s="14">
        <v>4</v>
      </c>
      <c r="F259" s="21">
        <f>IF(E259&lt;&gt;"",IF(Weld_list[[#This Row],[尺寸]]&lt;1,1,E259),"")</f>
        <v>4</v>
      </c>
      <c r="G259" s="14" t="s">
        <v>92</v>
      </c>
      <c r="H259" s="14">
        <v>304</v>
      </c>
      <c r="I259" s="14" t="s">
        <v>76</v>
      </c>
      <c r="J259" s="14" t="s">
        <v>95</v>
      </c>
      <c r="K259" s="14" t="str">
        <f>IFERROR(TEXT(_xlfn.XLOOKUP(_xlfn.CONCAT(Weld_list[[#This Row],[流水號]],"_",Weld_list[[#This Row],[銲口編號]]),焊口登報表!D:D,焊口登報表!C:C,,0),"yyyy/mm/dd"),"")</f>
        <v>2025/08/25</v>
      </c>
      <c r="L259" s="14" t="s">
        <v>270</v>
      </c>
      <c r="M259" s="63">
        <v>45897</v>
      </c>
      <c r="Q259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59" s="14"/>
      <c r="S259" s="14">
        <v>1</v>
      </c>
    </row>
    <row r="260" spans="1:19" ht="20.25" hidden="1" customHeight="1">
      <c r="A260" s="14">
        <v>18</v>
      </c>
      <c r="B260" s="17" t="s">
        <v>127</v>
      </c>
      <c r="C260" s="49" t="s">
        <v>85</v>
      </c>
      <c r="D260" s="14">
        <v>14</v>
      </c>
      <c r="E260" s="14">
        <v>4</v>
      </c>
      <c r="F260" s="21">
        <f>IF(E260&lt;&gt;"",IF(Weld_list[[#This Row],[尺寸]]&lt;1,1,E260),"")</f>
        <v>4</v>
      </c>
      <c r="G260" s="14" t="s">
        <v>92</v>
      </c>
      <c r="H260" s="14">
        <v>304</v>
      </c>
      <c r="I260" s="14" t="s">
        <v>76</v>
      </c>
      <c r="J260" s="14" t="s">
        <v>95</v>
      </c>
      <c r="K260" s="14" t="str">
        <f>IFERROR(TEXT(_xlfn.XLOOKUP(_xlfn.CONCAT(Weld_list[[#This Row],[流水號]],"_",Weld_list[[#This Row],[銲口編號]]),焊口登報表!D:D,焊口登報表!C:C,,0),"yyyy/mm/dd"),"")</f>
        <v>2025/12/13</v>
      </c>
      <c r="L260" s="14" t="s">
        <v>270</v>
      </c>
      <c r="M260" s="15" t="str">
        <f>IFERROR(TEXT(_xlfn.XLOOKUP(_xlfn.CONCAT(Weld_list[[#This Row],[流水號]],"_",Weld_list[[#This Row],[銲口編號]]),焊口登報表!F:F,焊口登報表!E:E,,0),"yyyy/mm/dd"),"")</f>
        <v>2025/12/14</v>
      </c>
      <c r="Q260" s="18" t="str">
        <f>HYPERLINK(_xlfn.CONCAT("\\192.168.1.50\3勝一\SE-37(彰濱)\01.工程圖面\01.ISO\ISO\",Weld_list[[#This Row],[流水號]],".",Weld_list[[#This Row],[DWG NO]],".pdf"))</f>
        <v>\\192.168.1.50\3勝一\SE-37(彰濱)\01.工程圖面\01.ISO\ISO\18.(UG)WW-18011-S1P4U-01.pdf</v>
      </c>
      <c r="R260" s="14"/>
      <c r="S260" s="14">
        <v>1</v>
      </c>
    </row>
    <row r="261" spans="1:19" ht="20.25" hidden="1" customHeight="1">
      <c r="A261" s="14">
        <v>19</v>
      </c>
      <c r="B261" s="17" t="s">
        <v>128</v>
      </c>
      <c r="C261" s="49" t="s">
        <v>85</v>
      </c>
      <c r="D261" s="14">
        <v>1</v>
      </c>
      <c r="E261" s="14">
        <v>4</v>
      </c>
      <c r="F261" s="21">
        <f>IF(E261&lt;&gt;"",IF(Weld_list[[#This Row],[尺寸]]&lt;1,1,E261),"")</f>
        <v>4</v>
      </c>
      <c r="G261" s="14" t="s">
        <v>92</v>
      </c>
      <c r="H261" s="14">
        <v>304</v>
      </c>
      <c r="I261" s="14" t="s">
        <v>76</v>
      </c>
      <c r="J261" s="14" t="s">
        <v>95</v>
      </c>
      <c r="K261" s="14" t="str">
        <f>IFERROR(TEXT(_xlfn.XLOOKUP(_xlfn.CONCAT(Weld_list[[#This Row],[流水號]],"_",Weld_list[[#This Row],[銲口編號]]),焊口登報表!D:D,焊口登報表!C:C,,0),"yyyy/mm/dd"),"")</f>
        <v>2025/11/22</v>
      </c>
      <c r="L261" s="14" t="s">
        <v>270</v>
      </c>
      <c r="M261" s="15" t="str">
        <f>IFERROR(TEXT(_xlfn.XLOOKUP(_xlfn.CONCAT(Weld_list[[#This Row],[流水號]],"_",Weld_list[[#This Row],[銲口編號]]),焊口登報表!F:F,焊口登報表!E:E,,0),"yyyy/mm/dd"),"")</f>
        <v>2025/11/23</v>
      </c>
      <c r="Q261" s="18" t="str">
        <f>HYPERLINK(_xlfn.CONCAT("\\192.168.1.50\3勝一\SE-37(彰濱)\01.工程圖面\01.ISO\ISO\",Weld_list[[#This Row],[流水號]],".",Weld_list[[#This Row],[DWG NO]],".pdf"))</f>
        <v>\\192.168.1.50\3勝一\SE-37(彰濱)\01.工程圖面\01.ISO\ISO\19.(UG)WW-18015-S1P4U-01.pdf</v>
      </c>
      <c r="R261" s="14"/>
      <c r="S261" s="14">
        <v>1</v>
      </c>
    </row>
    <row r="262" spans="1:19" ht="20.25" hidden="1" customHeight="1">
      <c r="A262" s="14">
        <v>19</v>
      </c>
      <c r="B262" s="17" t="s">
        <v>128</v>
      </c>
      <c r="C262" s="49" t="s">
        <v>85</v>
      </c>
      <c r="D262" s="14">
        <v>2</v>
      </c>
      <c r="E262" s="14">
        <v>4</v>
      </c>
      <c r="F262" s="21">
        <f>IF(E262&lt;&gt;"",IF(Weld_list[[#This Row],[尺寸]]&lt;1,1,E262),"")</f>
        <v>4</v>
      </c>
      <c r="G262" s="14" t="s">
        <v>92</v>
      </c>
      <c r="H262" s="14">
        <v>304</v>
      </c>
      <c r="I262" s="14" t="s">
        <v>76</v>
      </c>
      <c r="J262" s="14" t="s">
        <v>95</v>
      </c>
      <c r="K262" s="14" t="str">
        <f>IFERROR(TEXT(_xlfn.XLOOKUP(_xlfn.CONCAT(Weld_list[[#This Row],[流水號]],"_",Weld_list[[#This Row],[銲口編號]]),焊口登報表!D:D,焊口登報表!C:C,,0),"yyyy/mm/dd"),"")</f>
        <v>2025/11/29</v>
      </c>
      <c r="L262" s="14" t="s">
        <v>270</v>
      </c>
      <c r="M262" s="15" t="str">
        <f>IFERROR(TEXT(_xlfn.XLOOKUP(_xlfn.CONCAT(Weld_list[[#This Row],[流水號]],"_",Weld_list[[#This Row],[銲口編號]]),焊口登報表!F:F,焊口登報表!E:E,,0),"yyyy/mm/dd"),"")</f>
        <v>2025/11/30</v>
      </c>
      <c r="Q262" s="18" t="str">
        <f>HYPERLINK(_xlfn.CONCAT("\\192.168.1.50\3勝一\SE-37(彰濱)\01.工程圖面\01.ISO\ISO\",Weld_list[[#This Row],[流水號]],".",Weld_list[[#This Row],[DWG NO]],".pdf"))</f>
        <v>\\192.168.1.50\3勝一\SE-37(彰濱)\01.工程圖面\01.ISO\ISO\19.(UG)WW-18015-S1P4U-01.pdf</v>
      </c>
      <c r="R262" s="14"/>
      <c r="S262" s="14">
        <v>1</v>
      </c>
    </row>
    <row r="263" spans="1:19" ht="20.25" hidden="1" customHeight="1">
      <c r="A263" s="14">
        <v>19</v>
      </c>
      <c r="B263" s="17" t="s">
        <v>128</v>
      </c>
      <c r="C263" s="49" t="s">
        <v>85</v>
      </c>
      <c r="D263" s="14">
        <v>3</v>
      </c>
      <c r="E263" s="14">
        <v>4</v>
      </c>
      <c r="F263" s="21">
        <f>IF(E263&lt;&gt;"",IF(Weld_list[[#This Row],[尺寸]]&lt;1,1,E263),"")</f>
        <v>4</v>
      </c>
      <c r="G263" s="14" t="s">
        <v>92</v>
      </c>
      <c r="H263" s="14">
        <v>304</v>
      </c>
      <c r="I263" s="14" t="s">
        <v>76</v>
      </c>
      <c r="J263" s="14" t="s">
        <v>95</v>
      </c>
      <c r="K263" s="14" t="str">
        <f>IFERROR(TEXT(_xlfn.XLOOKUP(_xlfn.CONCAT(Weld_list[[#This Row],[流水號]],"_",Weld_list[[#This Row],[銲口編號]]),焊口登報表!D:D,焊口登報表!C:C,,0),"yyyy/mm/dd"),"")</f>
        <v>2025/08/25</v>
      </c>
      <c r="L263" s="14" t="s">
        <v>270</v>
      </c>
      <c r="M263" s="63">
        <v>45897</v>
      </c>
      <c r="Q263" s="18" t="str">
        <f>HYPERLINK(_xlfn.CONCAT("\\192.168.1.50\3勝一\SE-37(彰濱)\01.工程圖面\01.ISO\ISO\",Weld_list[[#This Row],[流水號]],".",Weld_list[[#This Row],[DWG NO]],".pdf"))</f>
        <v>\\192.168.1.50\3勝一\SE-37(彰濱)\01.工程圖面\01.ISO\ISO\19.(UG)WW-18015-S1P4U-01.pdf</v>
      </c>
      <c r="R263" s="14"/>
      <c r="S263" s="14">
        <v>1</v>
      </c>
    </row>
    <row r="264" spans="1:19" ht="20.25" hidden="1" customHeight="1">
      <c r="A264" s="14">
        <v>19</v>
      </c>
      <c r="B264" s="17" t="s">
        <v>128</v>
      </c>
      <c r="C264" s="49" t="s">
        <v>85</v>
      </c>
      <c r="D264" s="14">
        <v>4</v>
      </c>
      <c r="E264" s="14">
        <v>4</v>
      </c>
      <c r="F264" s="21">
        <f>IF(E264&lt;&gt;"",IF(Weld_list[[#This Row],[尺寸]]&lt;1,1,E264),"")</f>
        <v>4</v>
      </c>
      <c r="G264" s="14" t="s">
        <v>92</v>
      </c>
      <c r="H264" s="14">
        <v>304</v>
      </c>
      <c r="I264" s="14" t="s">
        <v>76</v>
      </c>
      <c r="J264" s="14" t="s">
        <v>95</v>
      </c>
      <c r="K264" s="14" t="str">
        <f>IFERROR(TEXT(_xlfn.XLOOKUP(_xlfn.CONCAT(Weld_list[[#This Row],[流水號]],"_",Weld_list[[#This Row],[銲口編號]]),焊口登報表!D:D,焊口登報表!C:C,,0),"yyyy/mm/dd"),"")</f>
        <v>2025/11/29</v>
      </c>
      <c r="L264" s="14" t="s">
        <v>270</v>
      </c>
      <c r="M264" s="15" t="str">
        <f>IFERROR(TEXT(_xlfn.XLOOKUP(_xlfn.CONCAT(Weld_list[[#This Row],[流水號]],"_",Weld_list[[#This Row],[銲口編號]]),焊口登報表!F:F,焊口登報表!E:E,,0),"yyyy/mm/dd"),"")</f>
        <v>2025/11/30</v>
      </c>
      <c r="Q264" s="18" t="str">
        <f>HYPERLINK(_xlfn.CONCAT("\\192.168.1.50\3勝一\SE-37(彰濱)\01.工程圖面\01.ISO\ISO\",Weld_list[[#This Row],[流水號]],".",Weld_list[[#This Row],[DWG NO]],".pdf"))</f>
        <v>\\192.168.1.50\3勝一\SE-37(彰濱)\01.工程圖面\01.ISO\ISO\19.(UG)WW-18015-S1P4U-01.pdf</v>
      </c>
      <c r="R264" s="14"/>
      <c r="S264" s="14">
        <v>1</v>
      </c>
    </row>
    <row r="265" spans="1:19" ht="20.25" hidden="1" customHeight="1">
      <c r="A265" s="14">
        <v>19</v>
      </c>
      <c r="B265" s="17" t="s">
        <v>128</v>
      </c>
      <c r="C265" s="49" t="s">
        <v>85</v>
      </c>
      <c r="D265" s="14">
        <v>5</v>
      </c>
      <c r="E265" s="14">
        <v>4</v>
      </c>
      <c r="F265" s="21">
        <f>IF(E265&lt;&gt;"",IF(Weld_list[[#This Row],[尺寸]]&lt;1,1,E265),"")</f>
        <v>4</v>
      </c>
      <c r="G265" s="14" t="s">
        <v>92</v>
      </c>
      <c r="H265" s="14">
        <v>304</v>
      </c>
      <c r="I265" s="14" t="s">
        <v>76</v>
      </c>
      <c r="J265" s="14" t="s">
        <v>95</v>
      </c>
      <c r="K265" s="14" t="str">
        <f>IFERROR(TEXT(_xlfn.XLOOKUP(_xlfn.CONCAT(Weld_list[[#This Row],[流水號]],"_",Weld_list[[#This Row],[銲口編號]]),焊口登報表!D:D,焊口登報表!C:C,,0),"yyyy/mm/dd"),"")</f>
        <v>2025/08/25</v>
      </c>
      <c r="L265" s="14" t="s">
        <v>270</v>
      </c>
      <c r="M265" s="63">
        <v>45897</v>
      </c>
      <c r="Q265" s="18" t="str">
        <f>HYPERLINK(_xlfn.CONCAT("\\192.168.1.50\3勝一\SE-37(彰濱)\01.工程圖面\01.ISO\ISO\",Weld_list[[#This Row],[流水號]],".",Weld_list[[#This Row],[DWG NO]],".pdf"))</f>
        <v>\\192.168.1.50\3勝一\SE-37(彰濱)\01.工程圖面\01.ISO\ISO\19.(UG)WW-18015-S1P4U-01.pdf</v>
      </c>
      <c r="R265" s="14"/>
      <c r="S265" s="14">
        <v>1</v>
      </c>
    </row>
    <row r="266" spans="1:19" ht="20.25" hidden="1" customHeight="1">
      <c r="A266" s="14">
        <v>19</v>
      </c>
      <c r="B266" s="17" t="s">
        <v>128</v>
      </c>
      <c r="C266" s="49" t="s">
        <v>85</v>
      </c>
      <c r="D266" s="14">
        <v>6</v>
      </c>
      <c r="E266" s="14">
        <v>4</v>
      </c>
      <c r="F266" s="21">
        <f>IF(E266&lt;&gt;"",IF(Weld_list[[#This Row],[尺寸]]&lt;1,1,E266),"")</f>
        <v>4</v>
      </c>
      <c r="G266" s="14" t="s">
        <v>92</v>
      </c>
      <c r="H266" s="14">
        <v>304</v>
      </c>
      <c r="I266" s="14" t="s">
        <v>76</v>
      </c>
      <c r="J266" s="14" t="s">
        <v>95</v>
      </c>
      <c r="K266" s="14" t="str">
        <f>IFERROR(TEXT(_xlfn.XLOOKUP(_xlfn.CONCAT(Weld_list[[#This Row],[流水號]],"_",Weld_list[[#This Row],[銲口編號]]),焊口登報表!D:D,焊口登報表!C:C,,0),"yyyy/mm/dd"),"")</f>
        <v>2025/08/25</v>
      </c>
      <c r="L266" s="14" t="s">
        <v>270</v>
      </c>
      <c r="M266" s="63">
        <v>45897</v>
      </c>
      <c r="Q266" s="18" t="str">
        <f>HYPERLINK(_xlfn.CONCAT("\\192.168.1.50\3勝一\SE-37(彰濱)\01.工程圖面\01.ISO\ISO\",Weld_list[[#This Row],[流水號]],".",Weld_list[[#This Row],[DWG NO]],".pdf"))</f>
        <v>\\192.168.1.50\3勝一\SE-37(彰濱)\01.工程圖面\01.ISO\ISO\19.(UG)WW-18015-S1P4U-01.pdf</v>
      </c>
      <c r="R266" s="14"/>
      <c r="S266" s="14">
        <v>1</v>
      </c>
    </row>
    <row r="267" spans="1:19" ht="20.25" hidden="1" customHeight="1">
      <c r="A267" s="14">
        <v>19</v>
      </c>
      <c r="B267" s="17" t="s">
        <v>128</v>
      </c>
      <c r="C267" s="49" t="s">
        <v>85</v>
      </c>
      <c r="D267" s="14">
        <v>7</v>
      </c>
      <c r="E267" s="14">
        <v>4</v>
      </c>
      <c r="F267" s="21">
        <f>IF(E267&lt;&gt;"",IF(Weld_list[[#This Row],[尺寸]]&lt;1,1,E267),"")</f>
        <v>4</v>
      </c>
      <c r="G267" s="14" t="s">
        <v>92</v>
      </c>
      <c r="H267" s="14">
        <v>304</v>
      </c>
      <c r="I267" s="14" t="s">
        <v>76</v>
      </c>
      <c r="J267" s="14" t="s">
        <v>95</v>
      </c>
      <c r="K267" s="14" t="str">
        <f>IFERROR(TEXT(_xlfn.XLOOKUP(_xlfn.CONCAT(Weld_list[[#This Row],[流水號]],"_",Weld_list[[#This Row],[銲口編號]]),焊口登報表!D:D,焊口登報表!C:C,,0),"yyyy/mm/dd"),"")</f>
        <v>2025/11/29</v>
      </c>
      <c r="L267" s="14" t="s">
        <v>270</v>
      </c>
      <c r="M267" s="15" t="str">
        <f>IFERROR(TEXT(_xlfn.XLOOKUP(_xlfn.CONCAT(Weld_list[[#This Row],[流水號]],"_",Weld_list[[#This Row],[銲口編號]]),焊口登報表!F:F,焊口登報表!E:E,,0),"yyyy/mm/dd"),"")</f>
        <v>2025/11/30</v>
      </c>
      <c r="Q267" s="18" t="str">
        <f>HYPERLINK(_xlfn.CONCAT("\\192.168.1.50\3勝一\SE-37(彰濱)\01.工程圖面\01.ISO\ISO\",Weld_list[[#This Row],[流水號]],".",Weld_list[[#This Row],[DWG NO]],".pdf"))</f>
        <v>\\192.168.1.50\3勝一\SE-37(彰濱)\01.工程圖面\01.ISO\ISO\19.(UG)WW-18015-S1P4U-01.pdf</v>
      </c>
      <c r="R267" s="14"/>
      <c r="S267" s="14">
        <v>1</v>
      </c>
    </row>
    <row r="268" spans="1:19" ht="20.25" hidden="1" customHeight="1">
      <c r="A268" s="14">
        <v>20</v>
      </c>
      <c r="B268" s="17" t="s">
        <v>129</v>
      </c>
      <c r="C268" s="49" t="s">
        <v>85</v>
      </c>
      <c r="D268" s="14">
        <v>1</v>
      </c>
      <c r="E268" s="14">
        <v>4</v>
      </c>
      <c r="F268" s="21">
        <f>IF(E268&lt;&gt;"",IF(Weld_list[[#This Row],[尺寸]]&lt;1,1,E268),"")</f>
        <v>4</v>
      </c>
      <c r="G268" s="14" t="s">
        <v>92</v>
      </c>
      <c r="H268" s="14">
        <v>304</v>
      </c>
      <c r="I268" s="14" t="s">
        <v>76</v>
      </c>
      <c r="J268" s="14" t="s">
        <v>95</v>
      </c>
      <c r="K268" s="14" t="str">
        <f>IFERROR(TEXT(_xlfn.XLOOKUP(_xlfn.CONCAT(Weld_list[[#This Row],[流水號]],"_",Weld_list[[#This Row],[銲口編號]]),焊口登報表!D:D,焊口登報表!C:C,,0),"yyyy/mm/dd"),"")</f>
        <v>2025/11/22</v>
      </c>
      <c r="L268" s="14" t="s">
        <v>270</v>
      </c>
      <c r="M268" s="15" t="str">
        <f>IFERROR(TEXT(_xlfn.XLOOKUP(_xlfn.CONCAT(Weld_list[[#This Row],[流水號]],"_",Weld_list[[#This Row],[銲口編號]]),焊口登報表!F:F,焊口登報表!E:E,,0),"yyyy/mm/dd"),"")</f>
        <v>2025/11/23</v>
      </c>
      <c r="Q26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68" s="14"/>
      <c r="S268" s="14">
        <v>1</v>
      </c>
    </row>
    <row r="269" spans="1:19" ht="20.25" hidden="1" customHeight="1">
      <c r="A269" s="14">
        <v>20</v>
      </c>
      <c r="B269" s="17" t="s">
        <v>129</v>
      </c>
      <c r="C269" s="49" t="s">
        <v>85</v>
      </c>
      <c r="D269" s="14">
        <v>2</v>
      </c>
      <c r="E269" s="14">
        <v>4</v>
      </c>
      <c r="F269" s="21">
        <f>IF(E269&lt;&gt;"",IF(Weld_list[[#This Row],[尺寸]]&lt;1,1,E269),"")</f>
        <v>4</v>
      </c>
      <c r="G269" s="14" t="s">
        <v>92</v>
      </c>
      <c r="H269" s="14">
        <v>304</v>
      </c>
      <c r="I269" s="14" t="s">
        <v>76</v>
      </c>
      <c r="J269" s="14" t="s">
        <v>95</v>
      </c>
      <c r="K269" s="14" t="str">
        <f>IFERROR(TEXT(_xlfn.XLOOKUP(_xlfn.CONCAT(Weld_list[[#This Row],[流水號]],"_",Weld_list[[#This Row],[銲口編號]]),焊口登報表!D:D,焊口登報表!C:C,,0),"yyyy/mm/dd"),"")</f>
        <v>2025/11/29</v>
      </c>
      <c r="L269" s="14" t="s">
        <v>270</v>
      </c>
      <c r="M269" s="15" t="str">
        <f>IFERROR(TEXT(_xlfn.XLOOKUP(_xlfn.CONCAT(Weld_list[[#This Row],[流水號]],"_",Weld_list[[#This Row],[銲口編號]]),焊口登報表!F:F,焊口登報表!E:E,,0),"yyyy/mm/dd"),"")</f>
        <v>2025/11/30</v>
      </c>
      <c r="Q26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69" s="14"/>
      <c r="S269" s="14">
        <v>1</v>
      </c>
    </row>
    <row r="270" spans="1:19" ht="20.25" hidden="1" customHeight="1">
      <c r="A270" s="14">
        <v>20</v>
      </c>
      <c r="B270" s="17" t="s">
        <v>129</v>
      </c>
      <c r="C270" s="49" t="s">
        <v>85</v>
      </c>
      <c r="D270" s="14">
        <v>3</v>
      </c>
      <c r="E270" s="14">
        <v>4</v>
      </c>
      <c r="F270" s="21">
        <f>IF(E270&lt;&gt;"",IF(Weld_list[[#This Row],[尺寸]]&lt;1,1,E270),"")</f>
        <v>4</v>
      </c>
      <c r="G270" s="14" t="s">
        <v>92</v>
      </c>
      <c r="H270" s="14">
        <v>304</v>
      </c>
      <c r="I270" s="14" t="s">
        <v>76</v>
      </c>
      <c r="J270" s="14" t="s">
        <v>95</v>
      </c>
      <c r="K270" s="14" t="str">
        <f>IFERROR(TEXT(_xlfn.XLOOKUP(_xlfn.CONCAT(Weld_list[[#This Row],[流水號]],"_",Weld_list[[#This Row],[銲口編號]]),焊口登報表!D:D,焊口登報表!C:C,,0),"yyyy/mm/dd"),"")</f>
        <v>2025/08/25</v>
      </c>
      <c r="L270" s="14" t="s">
        <v>270</v>
      </c>
      <c r="M270" s="63">
        <v>45897</v>
      </c>
      <c r="Q27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0" s="14"/>
      <c r="S270" s="14">
        <v>1</v>
      </c>
    </row>
    <row r="271" spans="1:19" ht="20.25" hidden="1" customHeight="1">
      <c r="A271" s="14">
        <v>20</v>
      </c>
      <c r="B271" s="17" t="s">
        <v>129</v>
      </c>
      <c r="C271" s="49" t="s">
        <v>85</v>
      </c>
      <c r="D271" s="14">
        <v>4</v>
      </c>
      <c r="E271" s="14">
        <v>4</v>
      </c>
      <c r="F271" s="21">
        <f>IF(E271&lt;&gt;"",IF(Weld_list[[#This Row],[尺寸]]&lt;1,1,E271),"")</f>
        <v>4</v>
      </c>
      <c r="G271" s="14" t="s">
        <v>92</v>
      </c>
      <c r="H271" s="14">
        <v>304</v>
      </c>
      <c r="I271" s="14" t="s">
        <v>76</v>
      </c>
      <c r="J271" s="14" t="s">
        <v>95</v>
      </c>
      <c r="K271" s="14" t="str">
        <f>IFERROR(TEXT(_xlfn.XLOOKUP(_xlfn.CONCAT(Weld_list[[#This Row],[流水號]],"_",Weld_list[[#This Row],[銲口編號]]),焊口登報表!D:D,焊口登報表!C:C,,0),"yyyy/mm/dd"),"")</f>
        <v>2025/08/25</v>
      </c>
      <c r="L271" s="14" t="s">
        <v>270</v>
      </c>
      <c r="M271" s="63">
        <v>45897</v>
      </c>
      <c r="Q27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1" s="14"/>
      <c r="S271" s="14">
        <v>1</v>
      </c>
    </row>
    <row r="272" spans="1:19" ht="20.25" hidden="1" customHeight="1">
      <c r="A272" s="14">
        <v>20</v>
      </c>
      <c r="B272" s="17" t="s">
        <v>129</v>
      </c>
      <c r="C272" s="49" t="s">
        <v>85</v>
      </c>
      <c r="D272" s="14">
        <v>5</v>
      </c>
      <c r="E272" s="14">
        <v>4</v>
      </c>
      <c r="F272" s="21">
        <f>IF(E272&lt;&gt;"",IF(Weld_list[[#This Row],[尺寸]]&lt;1,1,E272),"")</f>
        <v>4</v>
      </c>
      <c r="G272" s="14" t="s">
        <v>92</v>
      </c>
      <c r="H272" s="14">
        <v>304</v>
      </c>
      <c r="I272" s="14" t="s">
        <v>76</v>
      </c>
      <c r="J272" s="14" t="s">
        <v>95</v>
      </c>
      <c r="K272" s="14" t="str">
        <f>IFERROR(TEXT(_xlfn.XLOOKUP(_xlfn.CONCAT(Weld_list[[#This Row],[流水號]],"_",Weld_list[[#This Row],[銲口編號]]),焊口登報表!D:D,焊口登報表!C:C,,0),"yyyy/mm/dd"),"")</f>
        <v>2025/08/25</v>
      </c>
      <c r="L272" s="14" t="s">
        <v>270</v>
      </c>
      <c r="M272" s="63">
        <v>45897</v>
      </c>
      <c r="Q27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2" s="14"/>
      <c r="S272" s="14">
        <v>1</v>
      </c>
    </row>
    <row r="273" spans="1:19" ht="20.25" hidden="1" customHeight="1">
      <c r="A273" s="14">
        <v>20</v>
      </c>
      <c r="B273" s="17" t="s">
        <v>129</v>
      </c>
      <c r="C273" s="49" t="s">
        <v>85</v>
      </c>
      <c r="D273" s="14">
        <v>6</v>
      </c>
      <c r="E273" s="14">
        <v>4</v>
      </c>
      <c r="F273" s="21">
        <f>IF(E273&lt;&gt;"",IF(Weld_list[[#This Row],[尺寸]]&lt;1,1,E273),"")</f>
        <v>4</v>
      </c>
      <c r="G273" s="14" t="s">
        <v>92</v>
      </c>
      <c r="H273" s="14">
        <v>304</v>
      </c>
      <c r="I273" s="14" t="s">
        <v>76</v>
      </c>
      <c r="J273" s="14" t="s">
        <v>95</v>
      </c>
      <c r="K273" s="14" t="str">
        <f>IFERROR(TEXT(_xlfn.XLOOKUP(_xlfn.CONCAT(Weld_list[[#This Row],[流水號]],"_",Weld_list[[#This Row],[銲口編號]]),焊口登報表!D:D,焊口登報表!C:C,,0),"yyyy/mm/dd"),"")</f>
        <v>2025/11/29</v>
      </c>
      <c r="L273" s="14" t="s">
        <v>270</v>
      </c>
      <c r="M273" s="15" t="str">
        <f>IFERROR(TEXT(_xlfn.XLOOKUP(_xlfn.CONCAT(Weld_list[[#This Row],[流水號]],"_",Weld_list[[#This Row],[銲口編號]]),焊口登報表!F:F,焊口登報表!E:E,,0),"yyyy/mm/dd"),"")</f>
        <v>2025/11/30</v>
      </c>
      <c r="Q27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3" s="14"/>
      <c r="S273" s="14">
        <v>1</v>
      </c>
    </row>
    <row r="274" spans="1:19" ht="20.25" hidden="1" customHeight="1">
      <c r="A274" s="14">
        <v>20</v>
      </c>
      <c r="B274" s="17" t="s">
        <v>129</v>
      </c>
      <c r="C274" s="49" t="s">
        <v>85</v>
      </c>
      <c r="D274" s="14">
        <v>7</v>
      </c>
      <c r="E274" s="14">
        <v>4</v>
      </c>
      <c r="F274" s="21">
        <f>IF(E274&lt;&gt;"",IF(Weld_list[[#This Row],[尺寸]]&lt;1,1,E274),"")</f>
        <v>4</v>
      </c>
      <c r="G274" s="14" t="s">
        <v>92</v>
      </c>
      <c r="H274" s="14">
        <v>304</v>
      </c>
      <c r="I274" s="14" t="s">
        <v>76</v>
      </c>
      <c r="J274" s="14" t="s">
        <v>95</v>
      </c>
      <c r="K274" s="14" t="str">
        <f>IFERROR(TEXT(_xlfn.XLOOKUP(_xlfn.CONCAT(Weld_list[[#This Row],[流水號]],"_",Weld_list[[#This Row],[銲口編號]]),焊口登報表!D:D,焊口登報表!C:C,,0),"yyyy/mm/dd"),"")</f>
        <v>2025/08/25</v>
      </c>
      <c r="L274" s="14" t="s">
        <v>270</v>
      </c>
      <c r="M274" s="63">
        <v>45897</v>
      </c>
      <c r="Q27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4" s="14"/>
      <c r="S274" s="14">
        <v>1</v>
      </c>
    </row>
    <row r="275" spans="1:19" ht="20.25" hidden="1" customHeight="1">
      <c r="A275" s="14">
        <v>20</v>
      </c>
      <c r="B275" s="17" t="s">
        <v>129</v>
      </c>
      <c r="C275" s="49" t="s">
        <v>85</v>
      </c>
      <c r="D275" s="14">
        <v>8</v>
      </c>
      <c r="E275" s="14">
        <v>4</v>
      </c>
      <c r="F275" s="21">
        <f>IF(E275&lt;&gt;"",IF(Weld_list[[#This Row],[尺寸]]&lt;1,1,E275),"")</f>
        <v>4</v>
      </c>
      <c r="G275" s="14" t="s">
        <v>92</v>
      </c>
      <c r="H275" s="14">
        <v>304</v>
      </c>
      <c r="I275" s="14" t="s">
        <v>76</v>
      </c>
      <c r="J275" s="14" t="s">
        <v>95</v>
      </c>
      <c r="K275" s="14" t="str">
        <f>IFERROR(TEXT(_xlfn.XLOOKUP(_xlfn.CONCAT(Weld_list[[#This Row],[流水號]],"_",Weld_list[[#This Row],[銲口編號]]),焊口登報表!D:D,焊口登報表!C:C,,0),"yyyy/mm/dd"),"")</f>
        <v>2025/11/22</v>
      </c>
      <c r="L275" s="14" t="s">
        <v>270</v>
      </c>
      <c r="M275" s="15" t="str">
        <f>IFERROR(TEXT(_xlfn.XLOOKUP(_xlfn.CONCAT(Weld_list[[#This Row],[流水號]],"_",Weld_list[[#This Row],[銲口編號]]),焊口登報表!F:F,焊口登報表!E:E,,0),"yyyy/mm/dd"),"")</f>
        <v>2025/11/23</v>
      </c>
      <c r="Q27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5" s="14"/>
      <c r="S275" s="14">
        <v>1</v>
      </c>
    </row>
    <row r="276" spans="1:19" ht="20.25" hidden="1" customHeight="1">
      <c r="A276" s="14">
        <v>20</v>
      </c>
      <c r="B276" s="17" t="s">
        <v>129</v>
      </c>
      <c r="C276" s="49" t="s">
        <v>85</v>
      </c>
      <c r="D276" s="14">
        <v>9</v>
      </c>
      <c r="E276" s="14">
        <v>4</v>
      </c>
      <c r="F276" s="21">
        <f>IF(E276&lt;&gt;"",IF(Weld_list[[#This Row],[尺寸]]&lt;1,1,E276),"")</f>
        <v>4</v>
      </c>
      <c r="G276" s="14" t="s">
        <v>92</v>
      </c>
      <c r="H276" s="14">
        <v>304</v>
      </c>
      <c r="I276" s="14" t="s">
        <v>76</v>
      </c>
      <c r="J276" s="14" t="s">
        <v>95</v>
      </c>
      <c r="K276" s="14" t="str">
        <f>IFERROR(TEXT(_xlfn.XLOOKUP(_xlfn.CONCAT(Weld_list[[#This Row],[流水號]],"_",Weld_list[[#This Row],[銲口編號]]),焊口登報表!D:D,焊口登報表!C:C,,0),"yyyy/mm/dd"),"")</f>
        <v>2025/11/29</v>
      </c>
      <c r="L276" s="14" t="s">
        <v>270</v>
      </c>
      <c r="M276" s="15" t="str">
        <f>IFERROR(TEXT(_xlfn.XLOOKUP(_xlfn.CONCAT(Weld_list[[#This Row],[流水號]],"_",Weld_list[[#This Row],[銲口編號]]),焊口登報表!F:F,焊口登報表!E:E,,0),"yyyy/mm/dd"),"")</f>
        <v>2025/11/30</v>
      </c>
      <c r="Q27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6" s="14"/>
      <c r="S276" s="14">
        <v>1</v>
      </c>
    </row>
    <row r="277" spans="1:19" ht="20.25" hidden="1" customHeight="1">
      <c r="A277" s="14">
        <v>20</v>
      </c>
      <c r="B277" s="17" t="s">
        <v>129</v>
      </c>
      <c r="C277" s="49" t="s">
        <v>85</v>
      </c>
      <c r="D277" s="14">
        <v>10</v>
      </c>
      <c r="E277" s="14">
        <v>4</v>
      </c>
      <c r="F277" s="21">
        <f>IF(E277&lt;&gt;"",IF(Weld_list[[#This Row],[尺寸]]&lt;1,1,E277),"")</f>
        <v>4</v>
      </c>
      <c r="G277" s="14" t="s">
        <v>92</v>
      </c>
      <c r="H277" s="14">
        <v>304</v>
      </c>
      <c r="I277" s="14" t="s">
        <v>76</v>
      </c>
      <c r="J277" s="14" t="s">
        <v>95</v>
      </c>
      <c r="K277" s="14" t="str">
        <f>IFERROR(TEXT(_xlfn.XLOOKUP(_xlfn.CONCAT(Weld_list[[#This Row],[流水號]],"_",Weld_list[[#This Row],[銲口編號]]),焊口登報表!D:D,焊口登報表!C:C,,0),"yyyy/mm/dd"),"")</f>
        <v>2025/08/25</v>
      </c>
      <c r="L277" s="14" t="s">
        <v>270</v>
      </c>
      <c r="M277" s="63">
        <v>45897</v>
      </c>
      <c r="Q27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\\192.168.1.50\3勝一\SE-37(彰濱)\01.工程圖面\01.ISO\ISO\20.(UG)WW-18016-S1P4U-01.pdf</v>
      </c>
      <c r="R277" s="14"/>
      <c r="S277" s="14">
        <v>1</v>
      </c>
    </row>
    <row r="278" spans="1:19" ht="20.25" hidden="1" customHeight="1">
      <c r="A278" s="14">
        <v>21</v>
      </c>
      <c r="B278" s="17" t="s">
        <v>130</v>
      </c>
      <c r="C278" s="49" t="s">
        <v>85</v>
      </c>
      <c r="D278" s="14">
        <v>1</v>
      </c>
      <c r="E278" s="14">
        <v>3</v>
      </c>
      <c r="F278" s="21">
        <f>IF(E278&lt;&gt;"",IF(Weld_list[[#This Row],[尺寸]]&lt;1,1,E278),"")</f>
        <v>3</v>
      </c>
      <c r="G278" s="14" t="s">
        <v>92</v>
      </c>
      <c r="H278" s="14">
        <v>304</v>
      </c>
      <c r="I278" s="14" t="s">
        <v>76</v>
      </c>
      <c r="J278" s="14" t="s">
        <v>95</v>
      </c>
      <c r="K278" s="14" t="str">
        <f>IFERROR(TEXT(_xlfn.XLOOKUP(_xlfn.CONCAT(Weld_list[[#This Row],[流水號]],"_",Weld_list[[#This Row],[銲口編號]]),焊口登報表!D:D,焊口登報表!C:C,,0),"yyyy/mm/dd"),"")</f>
        <v>2025/08/25</v>
      </c>
      <c r="L278" s="14" t="s">
        <v>270</v>
      </c>
      <c r="M278" s="63">
        <v>45897</v>
      </c>
      <c r="Q27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78" s="14"/>
      <c r="S278" s="14">
        <v>1</v>
      </c>
    </row>
    <row r="279" spans="1:19" ht="20.25" hidden="1" customHeight="1">
      <c r="A279" s="14">
        <v>21</v>
      </c>
      <c r="B279" s="17" t="s">
        <v>130</v>
      </c>
      <c r="C279" s="49" t="s">
        <v>85</v>
      </c>
      <c r="D279" s="14">
        <v>2</v>
      </c>
      <c r="E279" s="14">
        <v>3</v>
      </c>
      <c r="F279" s="21">
        <f>IF(E279&lt;&gt;"",IF(Weld_list[[#This Row],[尺寸]]&lt;1,1,E279),"")</f>
        <v>3</v>
      </c>
      <c r="G279" s="14" t="s">
        <v>92</v>
      </c>
      <c r="H279" s="14">
        <v>304</v>
      </c>
      <c r="I279" s="14" t="s">
        <v>76</v>
      </c>
      <c r="J279" s="14" t="s">
        <v>95</v>
      </c>
      <c r="K279" s="14" t="str">
        <f>IFERROR(TEXT(_xlfn.XLOOKUP(_xlfn.CONCAT(Weld_list[[#This Row],[流水號]],"_",Weld_list[[#This Row],[銲口編號]]),焊口登報表!D:D,焊口登報表!C:C,,0),"yyyy/mm/dd"),"")</f>
        <v>2025/08/25</v>
      </c>
      <c r="L279" s="14" t="s">
        <v>270</v>
      </c>
      <c r="M279" s="63">
        <v>45897</v>
      </c>
      <c r="Q27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79" s="14"/>
      <c r="S279" s="14">
        <v>1</v>
      </c>
    </row>
    <row r="280" spans="1:19" ht="20.25" hidden="1" customHeight="1">
      <c r="A280" s="14">
        <v>21</v>
      </c>
      <c r="B280" s="17" t="s">
        <v>130</v>
      </c>
      <c r="C280" s="49" t="s">
        <v>85</v>
      </c>
      <c r="D280" s="14">
        <v>3</v>
      </c>
      <c r="E280" s="14">
        <v>3</v>
      </c>
      <c r="F280" s="21">
        <f>IF(E280&lt;&gt;"",IF(Weld_list[[#This Row],[尺寸]]&lt;1,1,E280),"")</f>
        <v>3</v>
      </c>
      <c r="G280" s="14" t="s">
        <v>92</v>
      </c>
      <c r="H280" s="14">
        <v>304</v>
      </c>
      <c r="I280" s="14" t="s">
        <v>76</v>
      </c>
      <c r="J280" s="14" t="s">
        <v>95</v>
      </c>
      <c r="K280" s="14" t="str">
        <f>IFERROR(TEXT(_xlfn.XLOOKUP(_xlfn.CONCAT(Weld_list[[#This Row],[流水號]],"_",Weld_list[[#This Row],[銲口編號]]),焊口登報表!D:D,焊口登報表!C:C,,0),"yyyy/mm/dd"),"")</f>
        <v/>
      </c>
      <c r="L280" s="14" t="s">
        <v>270</v>
      </c>
      <c r="M280" s="15" t="str">
        <f>IFERROR(TEXT(_xlfn.XLOOKUP(_xlfn.CONCAT(Weld_list[[#This Row],[流水號]],"_",Weld_list[[#This Row],[銲口編號]]),焊口登報表!F:F,焊口登報表!E:E,,0),"yyyy/mm/dd"),"")</f>
        <v/>
      </c>
      <c r="Q28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0" s="14"/>
      <c r="S280" s="14">
        <v>1</v>
      </c>
    </row>
    <row r="281" spans="1:19" ht="20.25" hidden="1" customHeight="1">
      <c r="A281" s="14">
        <v>21</v>
      </c>
      <c r="B281" s="17" t="s">
        <v>130</v>
      </c>
      <c r="C281" s="49" t="s">
        <v>85</v>
      </c>
      <c r="D281" s="14">
        <v>4</v>
      </c>
      <c r="E281" s="14">
        <v>3</v>
      </c>
      <c r="F281" s="21">
        <f>IF(E281&lt;&gt;"",IF(Weld_list[[#This Row],[尺寸]]&lt;1,1,E281),"")</f>
        <v>3</v>
      </c>
      <c r="G281" s="14" t="s">
        <v>92</v>
      </c>
      <c r="H281" s="14">
        <v>304</v>
      </c>
      <c r="I281" s="14" t="s">
        <v>76</v>
      </c>
      <c r="J281" s="14" t="s">
        <v>95</v>
      </c>
      <c r="K281" s="14" t="str">
        <f>IFERROR(TEXT(_xlfn.XLOOKUP(_xlfn.CONCAT(Weld_list[[#This Row],[流水號]],"_",Weld_list[[#This Row],[銲口編號]]),焊口登報表!D:D,焊口登報表!C:C,,0),"yyyy/mm/dd"),"")</f>
        <v>2025/08/25</v>
      </c>
      <c r="L281" s="14" t="s">
        <v>270</v>
      </c>
      <c r="M281" s="63">
        <v>45897</v>
      </c>
      <c r="Q28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1" s="14"/>
      <c r="S281" s="14">
        <v>1</v>
      </c>
    </row>
    <row r="282" spans="1:19" ht="20.25" hidden="1" customHeight="1">
      <c r="A282" s="14">
        <v>21</v>
      </c>
      <c r="B282" s="17" t="s">
        <v>130</v>
      </c>
      <c r="C282" s="49" t="s">
        <v>85</v>
      </c>
      <c r="D282" s="14">
        <v>5</v>
      </c>
      <c r="E282" s="14">
        <v>3</v>
      </c>
      <c r="F282" s="21">
        <f>IF(E282&lt;&gt;"",IF(Weld_list[[#This Row],[尺寸]]&lt;1,1,E282),"")</f>
        <v>3</v>
      </c>
      <c r="G282" s="14" t="s">
        <v>92</v>
      </c>
      <c r="H282" s="14">
        <v>304</v>
      </c>
      <c r="I282" s="14" t="s">
        <v>76</v>
      </c>
      <c r="J282" s="14" t="s">
        <v>95</v>
      </c>
      <c r="K282" s="14" t="str">
        <f>IFERROR(TEXT(_xlfn.XLOOKUP(_xlfn.CONCAT(Weld_list[[#This Row],[流水號]],"_",Weld_list[[#This Row],[銲口編號]]),焊口登報表!D:D,焊口登報表!C:C,,0),"yyyy/mm/dd"),"")</f>
        <v>2025/08/25</v>
      </c>
      <c r="L282" s="14" t="s">
        <v>270</v>
      </c>
      <c r="M282" s="63">
        <v>45897</v>
      </c>
      <c r="Q28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2" s="14"/>
      <c r="S282" s="14">
        <v>1</v>
      </c>
    </row>
    <row r="283" spans="1:19" ht="20.25" hidden="1" customHeight="1">
      <c r="A283" s="14">
        <v>21</v>
      </c>
      <c r="B283" s="17" t="s">
        <v>130</v>
      </c>
      <c r="C283" s="49" t="s">
        <v>85</v>
      </c>
      <c r="D283" s="14">
        <v>6</v>
      </c>
      <c r="E283" s="14">
        <v>3</v>
      </c>
      <c r="F283" s="21">
        <f>IF(E283&lt;&gt;"",IF(Weld_list[[#This Row],[尺寸]]&lt;1,1,E283),"")</f>
        <v>3</v>
      </c>
      <c r="G283" s="14" t="s">
        <v>92</v>
      </c>
      <c r="H283" s="14">
        <v>304</v>
      </c>
      <c r="I283" s="14" t="s">
        <v>76</v>
      </c>
      <c r="J283" s="14" t="s">
        <v>95</v>
      </c>
      <c r="K283" s="14" t="str">
        <f>IFERROR(TEXT(_xlfn.XLOOKUP(_xlfn.CONCAT(Weld_list[[#This Row],[流水號]],"_",Weld_list[[#This Row],[銲口編號]]),焊口登報表!D:D,焊口登報表!C:C,,0),"yyyy/mm/dd"),"")</f>
        <v/>
      </c>
      <c r="L283" s="14" t="s">
        <v>270</v>
      </c>
      <c r="M283" s="15" t="str">
        <f>IFERROR(TEXT(_xlfn.XLOOKUP(_xlfn.CONCAT(Weld_list[[#This Row],[流水號]],"_",Weld_list[[#This Row],[銲口編號]]),焊口登報表!F:F,焊口登報表!E:E,,0),"yyyy/mm/dd"),"")</f>
        <v/>
      </c>
      <c r="Q28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3" s="14"/>
      <c r="S283" s="14">
        <v>1</v>
      </c>
    </row>
    <row r="284" spans="1:19" ht="20.25" hidden="1" customHeight="1">
      <c r="A284" s="14">
        <v>21</v>
      </c>
      <c r="B284" s="17" t="s">
        <v>130</v>
      </c>
      <c r="C284" s="49" t="s">
        <v>85</v>
      </c>
      <c r="D284" s="14">
        <v>7</v>
      </c>
      <c r="E284" s="14">
        <v>3</v>
      </c>
      <c r="F284" s="21">
        <f>IF(E284&lt;&gt;"",IF(Weld_list[[#This Row],[尺寸]]&lt;1,1,E284),"")</f>
        <v>3</v>
      </c>
      <c r="G284" s="14" t="s">
        <v>92</v>
      </c>
      <c r="H284" s="14">
        <v>304</v>
      </c>
      <c r="I284" s="14" t="s">
        <v>76</v>
      </c>
      <c r="J284" s="14" t="s">
        <v>95</v>
      </c>
      <c r="K284" s="14" t="str">
        <f>IFERROR(TEXT(_xlfn.XLOOKUP(_xlfn.CONCAT(Weld_list[[#This Row],[流水號]],"_",Weld_list[[#This Row],[銲口編號]]),焊口登報表!D:D,焊口登報表!C:C,,0),"yyyy/mm/dd"),"")</f>
        <v>2025/08/25</v>
      </c>
      <c r="L284" s="14" t="s">
        <v>270</v>
      </c>
      <c r="M284" s="63">
        <v>45897</v>
      </c>
      <c r="Q28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4" s="14"/>
      <c r="S284" s="14">
        <v>1</v>
      </c>
    </row>
    <row r="285" spans="1:19" ht="20.25" hidden="1" customHeight="1">
      <c r="A285" s="14">
        <v>21</v>
      </c>
      <c r="B285" s="17" t="s">
        <v>130</v>
      </c>
      <c r="C285" s="49" t="s">
        <v>85</v>
      </c>
      <c r="D285" s="14">
        <v>8</v>
      </c>
      <c r="E285" s="14">
        <v>3</v>
      </c>
      <c r="F285" s="21">
        <f>IF(E285&lt;&gt;"",IF(Weld_list[[#This Row],[尺寸]]&lt;1,1,E285),"")</f>
        <v>3</v>
      </c>
      <c r="G285" s="14" t="s">
        <v>92</v>
      </c>
      <c r="H285" s="14">
        <v>304</v>
      </c>
      <c r="I285" s="14" t="s">
        <v>76</v>
      </c>
      <c r="J285" s="14" t="s">
        <v>95</v>
      </c>
      <c r="K285" s="14" t="str">
        <f>IFERROR(TEXT(_xlfn.XLOOKUP(_xlfn.CONCAT(Weld_list[[#This Row],[流水號]],"_",Weld_list[[#This Row],[銲口編號]]),焊口登報表!D:D,焊口登報表!C:C,,0),"yyyy/mm/dd"),"")</f>
        <v>2025/08/25</v>
      </c>
      <c r="L285" s="14" t="s">
        <v>270</v>
      </c>
      <c r="M285" s="63">
        <v>45897</v>
      </c>
      <c r="Q28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5" s="14"/>
      <c r="S285" s="14">
        <v>1</v>
      </c>
    </row>
    <row r="286" spans="1:19" ht="20.25" hidden="1" customHeight="1">
      <c r="A286" s="14">
        <v>21</v>
      </c>
      <c r="B286" s="17" t="s">
        <v>130</v>
      </c>
      <c r="C286" s="49" t="s">
        <v>85</v>
      </c>
      <c r="D286" s="14">
        <v>9</v>
      </c>
      <c r="E286" s="14">
        <v>3</v>
      </c>
      <c r="F286" s="21">
        <f>IF(E286&lt;&gt;"",IF(Weld_list[[#This Row],[尺寸]]&lt;1,1,E286),"")</f>
        <v>3</v>
      </c>
      <c r="G286" s="14" t="s">
        <v>92</v>
      </c>
      <c r="H286" s="14">
        <v>304</v>
      </c>
      <c r="I286" s="14" t="s">
        <v>76</v>
      </c>
      <c r="J286" s="14" t="s">
        <v>95</v>
      </c>
      <c r="K286" s="14" t="str">
        <f>IFERROR(TEXT(_xlfn.XLOOKUP(_xlfn.CONCAT(Weld_list[[#This Row],[流水號]],"_",Weld_list[[#This Row],[銲口編號]]),焊口登報表!D:D,焊口登報表!C:C,,0),"yyyy/mm/dd"),"")</f>
        <v>2025/08/25</v>
      </c>
      <c r="L286" s="14" t="s">
        <v>270</v>
      </c>
      <c r="M286" s="63">
        <v>45897</v>
      </c>
      <c r="Q28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6" s="14"/>
      <c r="S286" s="14">
        <v>1</v>
      </c>
    </row>
    <row r="287" spans="1:19" ht="20.25" hidden="1" customHeight="1">
      <c r="A287" s="14">
        <v>21</v>
      </c>
      <c r="B287" s="17" t="s">
        <v>130</v>
      </c>
      <c r="C287" s="49" t="s">
        <v>85</v>
      </c>
      <c r="D287" s="14">
        <v>10</v>
      </c>
      <c r="E287" s="14">
        <v>3</v>
      </c>
      <c r="F287" s="21">
        <f>IF(E287&lt;&gt;"",IF(Weld_list[[#This Row],[尺寸]]&lt;1,1,E287),"")</f>
        <v>3</v>
      </c>
      <c r="G287" s="14" t="s">
        <v>92</v>
      </c>
      <c r="H287" s="14">
        <v>304</v>
      </c>
      <c r="I287" s="14" t="s">
        <v>76</v>
      </c>
      <c r="J287" s="14" t="s">
        <v>95</v>
      </c>
      <c r="K287" s="14" t="str">
        <f>IFERROR(TEXT(_xlfn.XLOOKUP(_xlfn.CONCAT(Weld_list[[#This Row],[流水號]],"_",Weld_list[[#This Row],[銲口編號]]),焊口登報表!D:D,焊口登報表!C:C,,0),"yyyy/mm/dd"),"")</f>
        <v/>
      </c>
      <c r="L287" s="14" t="s">
        <v>270</v>
      </c>
      <c r="M287" s="15" t="str">
        <f>IFERROR(TEXT(_xlfn.XLOOKUP(_xlfn.CONCAT(Weld_list[[#This Row],[流水號]],"_",Weld_list[[#This Row],[銲口編號]]),焊口登報表!F:F,焊口登報表!E:E,,0),"yyyy/mm/dd"),"")</f>
        <v/>
      </c>
      <c r="Q28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7" s="14"/>
      <c r="S287" s="14">
        <v>1</v>
      </c>
    </row>
    <row r="288" spans="1:19" ht="20.25" hidden="1" customHeight="1">
      <c r="A288" s="14">
        <v>21</v>
      </c>
      <c r="B288" s="17" t="s">
        <v>130</v>
      </c>
      <c r="C288" s="49" t="s">
        <v>85</v>
      </c>
      <c r="D288" s="14">
        <v>11</v>
      </c>
      <c r="E288" s="14">
        <v>3</v>
      </c>
      <c r="F288" s="21">
        <f>IF(E288&lt;&gt;"",IF(Weld_list[[#This Row],[尺寸]]&lt;1,1,E288),"")</f>
        <v>3</v>
      </c>
      <c r="G288" s="14" t="s">
        <v>92</v>
      </c>
      <c r="H288" s="14">
        <v>304</v>
      </c>
      <c r="I288" s="14" t="s">
        <v>76</v>
      </c>
      <c r="J288" s="14" t="s">
        <v>95</v>
      </c>
      <c r="K288" s="14" t="str">
        <f>IFERROR(TEXT(_xlfn.XLOOKUP(_xlfn.CONCAT(Weld_list[[#This Row],[流水號]],"_",Weld_list[[#This Row],[銲口編號]]),焊口登報表!D:D,焊口登報表!C:C,,0),"yyyy/mm/dd"),"")</f>
        <v>2025/08/25</v>
      </c>
      <c r="L288" s="14" t="s">
        <v>270</v>
      </c>
      <c r="M288" s="63">
        <v>45897</v>
      </c>
      <c r="Q28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8" s="14"/>
      <c r="S288" s="14">
        <v>1</v>
      </c>
    </row>
    <row r="289" spans="1:19" ht="20.25" hidden="1" customHeight="1">
      <c r="A289" s="14">
        <v>21</v>
      </c>
      <c r="B289" s="17" t="s">
        <v>130</v>
      </c>
      <c r="C289" s="49" t="s">
        <v>85</v>
      </c>
      <c r="D289" s="14">
        <v>12</v>
      </c>
      <c r="E289" s="14">
        <v>3</v>
      </c>
      <c r="F289" s="21">
        <f>IF(E289&lt;&gt;"",IF(Weld_list[[#This Row],[尺寸]]&lt;1,1,E289),"")</f>
        <v>3</v>
      </c>
      <c r="G289" s="14" t="s">
        <v>92</v>
      </c>
      <c r="H289" s="14">
        <v>304</v>
      </c>
      <c r="I289" s="14" t="s">
        <v>76</v>
      </c>
      <c r="J289" s="14" t="s">
        <v>95</v>
      </c>
      <c r="K289" s="14" t="str">
        <f>IFERROR(TEXT(_xlfn.XLOOKUP(_xlfn.CONCAT(Weld_list[[#This Row],[流水號]],"_",Weld_list[[#This Row],[銲口編號]]),焊口登報表!D:D,焊口登報表!C:C,,0),"yyyy/mm/dd"),"")</f>
        <v>2025/08/25</v>
      </c>
      <c r="L289" s="14" t="s">
        <v>270</v>
      </c>
      <c r="M289" s="63">
        <v>45897</v>
      </c>
      <c r="Q28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89" s="14"/>
      <c r="S289" s="14">
        <v>1</v>
      </c>
    </row>
    <row r="290" spans="1:19" ht="20.25" hidden="1" customHeight="1">
      <c r="A290" s="14">
        <v>21</v>
      </c>
      <c r="B290" s="17" t="s">
        <v>130</v>
      </c>
      <c r="C290" s="49" t="s">
        <v>85</v>
      </c>
      <c r="D290" s="14">
        <v>13</v>
      </c>
      <c r="E290" s="14">
        <v>3</v>
      </c>
      <c r="F290" s="21">
        <f>IF(E290&lt;&gt;"",IF(Weld_list[[#This Row],[尺寸]]&lt;1,1,E290),"")</f>
        <v>3</v>
      </c>
      <c r="G290" s="14" t="s">
        <v>92</v>
      </c>
      <c r="H290" s="14">
        <v>304</v>
      </c>
      <c r="I290" s="14" t="s">
        <v>76</v>
      </c>
      <c r="J290" s="14" t="s">
        <v>95</v>
      </c>
      <c r="K290" s="14" t="str">
        <f>IFERROR(TEXT(_xlfn.XLOOKUP(_xlfn.CONCAT(Weld_list[[#This Row],[流水號]],"_",Weld_list[[#This Row],[銲口編號]]),焊口登報表!D:D,焊口登報表!C:C,,0),"yyyy/mm/dd"),"")</f>
        <v>2025/11/29</v>
      </c>
      <c r="L290" s="14" t="s">
        <v>270</v>
      </c>
      <c r="M290" s="15" t="str">
        <f>IFERROR(TEXT(_xlfn.XLOOKUP(_xlfn.CONCAT(Weld_list[[#This Row],[流水號]],"_",Weld_list[[#This Row],[銲口編號]]),焊口登報表!F:F,焊口登報表!E:E,,0),"yyyy/mm/dd"),"")</f>
        <v>2025/11/30</v>
      </c>
      <c r="Q29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90" s="14"/>
      <c r="S290" s="14">
        <v>1</v>
      </c>
    </row>
    <row r="291" spans="1:19" ht="20.25" hidden="1" customHeight="1">
      <c r="A291" s="14">
        <v>21</v>
      </c>
      <c r="B291" s="17" t="s">
        <v>130</v>
      </c>
      <c r="C291" s="49" t="s">
        <v>85</v>
      </c>
      <c r="D291" s="14">
        <v>14</v>
      </c>
      <c r="E291" s="14">
        <v>3</v>
      </c>
      <c r="F291" s="21">
        <f>IF(E291&lt;&gt;"",IF(Weld_list[[#This Row],[尺寸]]&lt;1,1,E291),"")</f>
        <v>3</v>
      </c>
      <c r="G291" s="14" t="s">
        <v>92</v>
      </c>
      <c r="H291" s="14">
        <v>304</v>
      </c>
      <c r="I291" s="14" t="s">
        <v>76</v>
      </c>
      <c r="J291" s="14" t="s">
        <v>95</v>
      </c>
      <c r="K291" s="14" t="str">
        <f>IFERROR(TEXT(_xlfn.XLOOKUP(_xlfn.CONCAT(Weld_list[[#This Row],[流水號]],"_",Weld_list[[#This Row],[銲口編號]]),焊口登報表!D:D,焊口登報表!C:C,,0),"yyyy/mm/dd"),"")</f>
        <v>2025/08/25</v>
      </c>
      <c r="L291" s="14" t="s">
        <v>270</v>
      </c>
      <c r="M291" s="63">
        <v>45897</v>
      </c>
      <c r="Q29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91" s="14"/>
      <c r="S291" s="14">
        <v>1</v>
      </c>
    </row>
    <row r="292" spans="1:19" ht="20.25" hidden="1" customHeight="1">
      <c r="A292" s="14">
        <v>21</v>
      </c>
      <c r="B292" s="17" t="s">
        <v>130</v>
      </c>
      <c r="C292" s="49" t="s">
        <v>85</v>
      </c>
      <c r="D292" s="14">
        <v>15</v>
      </c>
      <c r="E292" s="14">
        <v>3</v>
      </c>
      <c r="F292" s="21">
        <f>IF(E292&lt;&gt;"",IF(Weld_list[[#This Row],[尺寸]]&lt;1,1,E292),"")</f>
        <v>3</v>
      </c>
      <c r="G292" s="14" t="s">
        <v>92</v>
      </c>
      <c r="H292" s="14">
        <v>304</v>
      </c>
      <c r="I292" s="14" t="s">
        <v>76</v>
      </c>
      <c r="J292" s="14" t="s">
        <v>95</v>
      </c>
      <c r="K292" s="14" t="str">
        <f>IFERROR(TEXT(_xlfn.XLOOKUP(_xlfn.CONCAT(Weld_list[[#This Row],[流水號]],"_",Weld_list[[#This Row],[銲口編號]]),焊口登報表!D:D,焊口登報表!C:C,,0),"yyyy/mm/dd"),"")</f>
        <v>2025/08/25</v>
      </c>
      <c r="L292" s="14" t="s">
        <v>270</v>
      </c>
      <c r="M292" s="63">
        <v>45897</v>
      </c>
      <c r="Q29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92" s="14"/>
      <c r="S292" s="14">
        <v>1</v>
      </c>
    </row>
    <row r="293" spans="1:19" ht="20.25" hidden="1" customHeight="1">
      <c r="A293" s="14">
        <v>21</v>
      </c>
      <c r="B293" s="17" t="s">
        <v>130</v>
      </c>
      <c r="C293" s="49" t="s">
        <v>85</v>
      </c>
      <c r="D293" s="14">
        <v>16</v>
      </c>
      <c r="E293" s="14">
        <v>3</v>
      </c>
      <c r="F293" s="21">
        <f>IF(E293&lt;&gt;"",IF(Weld_list[[#This Row],[尺寸]]&lt;1,1,E293),"")</f>
        <v>3</v>
      </c>
      <c r="G293" s="14" t="s">
        <v>92</v>
      </c>
      <c r="H293" s="14">
        <v>304</v>
      </c>
      <c r="I293" s="14" t="s">
        <v>76</v>
      </c>
      <c r="J293" s="14" t="s">
        <v>95</v>
      </c>
      <c r="K293" s="14" t="str">
        <f>IFERROR(TEXT(_xlfn.XLOOKUP(_xlfn.CONCAT(Weld_list[[#This Row],[流水號]],"_",Weld_list[[#This Row],[銲口編號]]),焊口登報表!D:D,焊口登報表!C:C,,0),"yyyy/mm/dd"),"")</f>
        <v>2025/11/29</v>
      </c>
      <c r="L293" s="14" t="s">
        <v>270</v>
      </c>
      <c r="M293" s="15" t="str">
        <f>IFERROR(TEXT(_xlfn.XLOOKUP(_xlfn.CONCAT(Weld_list[[#This Row],[流水號]],"_",Weld_list[[#This Row],[銲口編號]]),焊口登報表!F:F,焊口登報表!E:E,,0),"yyyy/mm/dd"),"")</f>
        <v>2025/11/30</v>
      </c>
      <c r="Q29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\\192.168.1.50\3勝一\SE-37(彰濱)\01.工程圖面\01.ISO\ISO\21.(UG)WW-18017-S1P4U-01.pdf</v>
      </c>
      <c r="R293" s="14"/>
      <c r="S293" s="14">
        <v>1</v>
      </c>
    </row>
    <row r="294" spans="1:19" ht="20.25" hidden="1" customHeight="1">
      <c r="A294" s="14">
        <v>22</v>
      </c>
      <c r="B294" s="17" t="s">
        <v>131</v>
      </c>
      <c r="C294" s="49" t="s">
        <v>85</v>
      </c>
      <c r="D294" s="73">
        <v>1</v>
      </c>
      <c r="E294" s="14">
        <v>8</v>
      </c>
      <c r="F294" s="21">
        <f>IF(E294&lt;&gt;"",IF(Weld_list[[#This Row],[尺寸]]&lt;1,1,E294),"")</f>
        <v>8</v>
      </c>
      <c r="G294" s="14" t="s">
        <v>92</v>
      </c>
      <c r="H294" s="14">
        <v>304</v>
      </c>
      <c r="I294" s="14" t="s">
        <v>76</v>
      </c>
      <c r="J294" s="14" t="s">
        <v>95</v>
      </c>
      <c r="K294" s="63">
        <v>45974</v>
      </c>
      <c r="L294" s="14" t="s">
        <v>270</v>
      </c>
      <c r="M294" s="63">
        <v>45977</v>
      </c>
      <c r="Q29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\\192.168.1.50\3勝一\SE-37(彰濱)\01.工程圖面\01.ISO\ISO\22.(UG)WW-18021-S1P4U-01.pdf</v>
      </c>
      <c r="R294" s="14"/>
      <c r="S294" s="14">
        <v>1</v>
      </c>
    </row>
    <row r="295" spans="1:19" ht="20.25" hidden="1" customHeight="1">
      <c r="A295" s="14">
        <v>22</v>
      </c>
      <c r="B295" s="17" t="s">
        <v>131</v>
      </c>
      <c r="C295" s="49" t="s">
        <v>85</v>
      </c>
      <c r="D295" s="14">
        <v>2</v>
      </c>
      <c r="E295" s="14">
        <v>8</v>
      </c>
      <c r="F295" s="21">
        <f>IF(E295&lt;&gt;"",IF(Weld_list[[#This Row],[尺寸]]&lt;1,1,E295),"")</f>
        <v>8</v>
      </c>
      <c r="G295" s="14" t="s">
        <v>92</v>
      </c>
      <c r="H295" s="14">
        <v>304</v>
      </c>
      <c r="I295" s="14" t="s">
        <v>76</v>
      </c>
      <c r="J295" s="14" t="s">
        <v>95</v>
      </c>
      <c r="K295" s="14" t="str">
        <f>IFERROR(TEXT(_xlfn.XLOOKUP(_xlfn.CONCAT(Weld_list[[#This Row],[流水號]],"_",Weld_list[[#This Row],[銲口編號]]),焊口登報表!D:D,焊口登報表!C:C,,0),"yyyy/mm/dd"),"")</f>
        <v>2025/08/25</v>
      </c>
      <c r="L295" s="14" t="s">
        <v>270</v>
      </c>
      <c r="M295" s="63">
        <v>45897</v>
      </c>
      <c r="Q29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\\192.168.1.50\3勝一\SE-37(彰濱)\01.工程圖面\01.ISO\ISO\22.(UG)WW-18021-S1P4U-01.pdf</v>
      </c>
      <c r="R295" s="14"/>
      <c r="S295" s="14">
        <v>1</v>
      </c>
    </row>
    <row r="296" spans="1:19" ht="20.25" hidden="1" customHeight="1">
      <c r="A296" s="14">
        <v>22</v>
      </c>
      <c r="B296" s="17" t="s">
        <v>131</v>
      </c>
      <c r="C296" s="49" t="s">
        <v>85</v>
      </c>
      <c r="D296" s="14">
        <v>3</v>
      </c>
      <c r="E296" s="14">
        <v>8</v>
      </c>
      <c r="F296" s="21">
        <f>IF(E296&lt;&gt;"",IF(Weld_list[[#This Row],[尺寸]]&lt;1,1,E296),"")</f>
        <v>8</v>
      </c>
      <c r="G296" s="14" t="s">
        <v>92</v>
      </c>
      <c r="H296" s="14">
        <v>304</v>
      </c>
      <c r="I296" s="14" t="s">
        <v>76</v>
      </c>
      <c r="J296" s="14" t="s">
        <v>95</v>
      </c>
      <c r="K296" s="14" t="str">
        <f>IFERROR(TEXT(_xlfn.XLOOKUP(_xlfn.CONCAT(Weld_list[[#This Row],[流水號]],"_",Weld_list[[#This Row],[銲口編號]]),焊口登報表!D:D,焊口登報表!C:C,,0),"yyyy/mm/dd"),"")</f>
        <v>2025/08/25</v>
      </c>
      <c r="L296" s="14" t="s">
        <v>270</v>
      </c>
      <c r="M296" s="63">
        <v>45897</v>
      </c>
      <c r="Q29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\\192.168.1.50\3勝一\SE-37(彰濱)\01.工程圖面\01.ISO\ISO\22.(UG)WW-18021-S1P4U-01.pdf</v>
      </c>
      <c r="R296" s="14"/>
      <c r="S296" s="14">
        <v>1</v>
      </c>
    </row>
    <row r="297" spans="1:19" ht="20.25" hidden="1" customHeight="1">
      <c r="A297" s="14">
        <v>22</v>
      </c>
      <c r="B297" s="17" t="s">
        <v>131</v>
      </c>
      <c r="C297" s="49" t="s">
        <v>85</v>
      </c>
      <c r="D297" s="14" t="s">
        <v>132</v>
      </c>
      <c r="E297" s="14">
        <v>8</v>
      </c>
      <c r="F297" s="21">
        <f>IF(E297&lt;&gt;"",IF(Weld_list[[#This Row],[尺寸]]&lt;1,1,E297),"")</f>
        <v>8</v>
      </c>
      <c r="G297" s="14" t="s">
        <v>92</v>
      </c>
      <c r="H297" s="14">
        <v>304</v>
      </c>
      <c r="I297" s="14" t="s">
        <v>94</v>
      </c>
      <c r="J297" s="14" t="s">
        <v>90</v>
      </c>
      <c r="K297" s="14" t="str">
        <f>IFERROR(TEXT(_xlfn.XLOOKUP(_xlfn.CONCAT(Weld_list[[#This Row],[流水號]],"_",Weld_list[[#This Row],[銲口編號]]),焊口登報表!D:D,焊口登報表!C:C,,0),"yyyy/mm/dd"),"")</f>
        <v/>
      </c>
      <c r="M297" s="15" t="str">
        <f>IFERROR(TEXT(_xlfn.XLOOKUP(_xlfn.CONCAT(Weld_list[[#This Row],[流水號]],"_",Weld_list[[#This Row],[銲口編號]]),焊口登報表!F:F,焊口登報表!E:E,,0),"yyyy/mm/dd"),"")</f>
        <v/>
      </c>
      <c r="P297" s="15" t="e">
        <f>_xlfn.TEXTJOIN("-",TRUE,INDEX(_xlfn.TEXTSPLIT(B297,"-"),1),INDEX(_xlfn.TEXTSPLIT(B297,"-"),2),INDEX(_xlfn.TEXTSPLIT(B297,"-"),3),INDEX(_xlfn.TEXTSPLIT(B297,"-"),4),INDEX(_xlfn.TEXTSPLIT(B297,"-"),5))</f>
        <v>#REF!</v>
      </c>
      <c r="Q29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\\192.168.1.50\3勝一\SE-37(彰濱)\01.工程圖面\01.ISO\ISO\22.(UG)WW-18021-S1P4U-01.pdf</v>
      </c>
      <c r="R297" s="14" t="str">
        <f>IF(Weld_list[[#This Row],[組銲完成日期]]&lt;&gt;"","已完成","未完成")</f>
        <v>未完成</v>
      </c>
      <c r="S297" s="14">
        <v>1</v>
      </c>
    </row>
    <row r="298" spans="1:19" ht="20.25" hidden="1" customHeight="1">
      <c r="A298" s="14">
        <v>22</v>
      </c>
      <c r="B298" s="17" t="s">
        <v>131</v>
      </c>
      <c r="C298" s="49" t="s">
        <v>85</v>
      </c>
      <c r="D298" s="73">
        <v>4</v>
      </c>
      <c r="E298" s="14">
        <v>8</v>
      </c>
      <c r="F298" s="21">
        <f>IF(E298&lt;&gt;"",IF(Weld_list[[#This Row],[尺寸]]&lt;1,1,E298),"")</f>
        <v>8</v>
      </c>
      <c r="G298" s="14" t="s">
        <v>92</v>
      </c>
      <c r="H298" s="14">
        <v>304</v>
      </c>
      <c r="I298" s="14" t="s">
        <v>76</v>
      </c>
      <c r="J298" s="14" t="s">
        <v>95</v>
      </c>
      <c r="K298" s="63">
        <v>45974</v>
      </c>
      <c r="L298" s="14" t="s">
        <v>270</v>
      </c>
      <c r="M298" s="63">
        <v>45977</v>
      </c>
      <c r="Q29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\\192.168.1.50\3勝一\SE-37(彰濱)\01.工程圖面\01.ISO\ISO\22.(UG)WW-18021-S1P4U-01.pdf</v>
      </c>
      <c r="R298" s="14"/>
      <c r="S298" s="14">
        <v>1</v>
      </c>
    </row>
    <row r="299" spans="1:19" ht="20.25" hidden="1" customHeight="1">
      <c r="A299" s="14">
        <v>22</v>
      </c>
      <c r="B299" s="17" t="s">
        <v>131</v>
      </c>
      <c r="C299" s="49" t="s">
        <v>85</v>
      </c>
      <c r="D299" s="73">
        <v>5</v>
      </c>
      <c r="E299" s="14">
        <v>8</v>
      </c>
      <c r="F299" s="21">
        <f>IF(E299&lt;&gt;"",IF(Weld_list[[#This Row],[尺寸]]&lt;1,1,E299),"")</f>
        <v>8</v>
      </c>
      <c r="G299" s="14" t="s">
        <v>92</v>
      </c>
      <c r="H299" s="14">
        <v>304</v>
      </c>
      <c r="I299" s="14" t="s">
        <v>76</v>
      </c>
      <c r="J299" s="14" t="s">
        <v>95</v>
      </c>
      <c r="K299" s="63">
        <v>45974</v>
      </c>
      <c r="L299" s="14" t="s">
        <v>270</v>
      </c>
      <c r="M299" s="63">
        <v>45977</v>
      </c>
      <c r="Q29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\\192.168.1.50\3勝一\SE-37(彰濱)\01.工程圖面\01.ISO\ISO\22.(UG)WW-18021-S1P4U-01.pdf</v>
      </c>
      <c r="R299" s="14"/>
      <c r="S299" s="14">
        <v>1</v>
      </c>
    </row>
    <row r="300" spans="1:19" ht="20.25" hidden="1" customHeight="1">
      <c r="A300" s="14">
        <v>23</v>
      </c>
      <c r="B300" s="17" t="s">
        <v>133</v>
      </c>
      <c r="C300" s="49" t="s">
        <v>85</v>
      </c>
      <c r="D300" s="73">
        <v>1</v>
      </c>
      <c r="E300" s="14">
        <v>6</v>
      </c>
      <c r="F300" s="21">
        <f>IF(E300&lt;&gt;"",IF(Weld_list[[#This Row],[尺寸]]&lt;1,1,E300),"")</f>
        <v>6</v>
      </c>
      <c r="G300" s="14" t="s">
        <v>92</v>
      </c>
      <c r="H300" s="14">
        <v>304</v>
      </c>
      <c r="I300" s="14" t="s">
        <v>76</v>
      </c>
      <c r="J300" s="14" t="s">
        <v>95</v>
      </c>
      <c r="K300" s="63">
        <v>45974</v>
      </c>
      <c r="L300" s="14" t="s">
        <v>270</v>
      </c>
      <c r="M300" s="63">
        <v>45977</v>
      </c>
      <c r="Q30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0" s="14"/>
      <c r="S300" s="14">
        <v>1</v>
      </c>
    </row>
    <row r="301" spans="1:19" ht="20.25" hidden="1" customHeight="1">
      <c r="A301" s="14">
        <v>23</v>
      </c>
      <c r="B301" s="17" t="s">
        <v>133</v>
      </c>
      <c r="C301" s="49" t="s">
        <v>85</v>
      </c>
      <c r="D301" s="14">
        <v>2</v>
      </c>
      <c r="E301" s="14">
        <v>6</v>
      </c>
      <c r="F301" s="21">
        <f>IF(E301&lt;&gt;"",IF(Weld_list[[#This Row],[尺寸]]&lt;1,1,E301),"")</f>
        <v>6</v>
      </c>
      <c r="G301" s="14" t="s">
        <v>92</v>
      </c>
      <c r="H301" s="14">
        <v>304</v>
      </c>
      <c r="I301" s="14" t="s">
        <v>76</v>
      </c>
      <c r="J301" s="14" t="s">
        <v>95</v>
      </c>
      <c r="K301" s="14" t="str">
        <f>IFERROR(TEXT(_xlfn.XLOOKUP(_xlfn.CONCAT(Weld_list[[#This Row],[流水號]],"_",Weld_list[[#This Row],[銲口編號]]),焊口登報表!D:D,焊口登報表!C:C,,0),"yyyy/mm/dd"),"")</f>
        <v>2025/08/25</v>
      </c>
      <c r="L301" s="14" t="s">
        <v>270</v>
      </c>
      <c r="M301" s="63">
        <v>45897</v>
      </c>
      <c r="Q30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1" s="14"/>
      <c r="S301" s="14">
        <v>1</v>
      </c>
    </row>
    <row r="302" spans="1:19" ht="20.25" hidden="1" customHeight="1">
      <c r="A302" s="14">
        <v>23</v>
      </c>
      <c r="B302" s="17" t="s">
        <v>133</v>
      </c>
      <c r="C302" s="49" t="s">
        <v>85</v>
      </c>
      <c r="D302" s="14">
        <v>3</v>
      </c>
      <c r="E302" s="14">
        <v>6</v>
      </c>
      <c r="F302" s="21">
        <f>IF(E302&lt;&gt;"",IF(Weld_list[[#This Row],[尺寸]]&lt;1,1,E302),"")</f>
        <v>6</v>
      </c>
      <c r="G302" s="14" t="s">
        <v>92</v>
      </c>
      <c r="H302" s="14">
        <v>304</v>
      </c>
      <c r="I302" s="14" t="s">
        <v>76</v>
      </c>
      <c r="J302" s="14" t="s">
        <v>95</v>
      </c>
      <c r="K302" s="14" t="str">
        <f>IFERROR(TEXT(_xlfn.XLOOKUP(_xlfn.CONCAT(Weld_list[[#This Row],[流水號]],"_",Weld_list[[#This Row],[銲口編號]]),焊口登報表!D:D,焊口登報表!C:C,,0),"yyyy/mm/dd"),"")</f>
        <v>2025/08/25</v>
      </c>
      <c r="L302" s="14" t="s">
        <v>270</v>
      </c>
      <c r="M302" s="63">
        <v>45897</v>
      </c>
      <c r="Q30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2" s="14"/>
      <c r="S302" s="14">
        <v>1</v>
      </c>
    </row>
    <row r="303" spans="1:19" ht="20.25" hidden="1" customHeight="1">
      <c r="A303" s="14">
        <v>23</v>
      </c>
      <c r="B303" s="17" t="s">
        <v>133</v>
      </c>
      <c r="C303" s="49" t="s">
        <v>85</v>
      </c>
      <c r="D303" s="14">
        <v>4</v>
      </c>
      <c r="E303" s="14">
        <v>6</v>
      </c>
      <c r="F303" s="21">
        <f>IF(E303&lt;&gt;"",IF(Weld_list[[#This Row],[尺寸]]&lt;1,1,E303),"")</f>
        <v>6</v>
      </c>
      <c r="G303" s="14" t="s">
        <v>92</v>
      </c>
      <c r="H303" s="14">
        <v>304</v>
      </c>
      <c r="I303" s="14" t="s">
        <v>76</v>
      </c>
      <c r="J303" s="14" t="s">
        <v>95</v>
      </c>
      <c r="K303" s="14" t="str">
        <f>IFERROR(TEXT(_xlfn.XLOOKUP(_xlfn.CONCAT(Weld_list[[#This Row],[流水號]],"_",Weld_list[[#This Row],[銲口編號]]),焊口登報表!D:D,焊口登報表!C:C,,0),"yyyy/mm/dd"),"")</f>
        <v>2025/08/25</v>
      </c>
      <c r="L303" s="14" t="s">
        <v>270</v>
      </c>
      <c r="M303" s="63">
        <v>45897</v>
      </c>
      <c r="Q30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3" s="14"/>
      <c r="S303" s="14">
        <v>1</v>
      </c>
    </row>
    <row r="304" spans="1:19" ht="20.25" hidden="1" customHeight="1">
      <c r="A304" s="14">
        <v>23</v>
      </c>
      <c r="B304" s="17" t="s">
        <v>133</v>
      </c>
      <c r="C304" s="49" t="s">
        <v>85</v>
      </c>
      <c r="D304" s="14" t="s">
        <v>134</v>
      </c>
      <c r="E304" s="14">
        <v>6</v>
      </c>
      <c r="F304" s="21">
        <f>IF(E304&lt;&gt;"",IF(Weld_list[[#This Row],[尺寸]]&lt;1,1,E304),"")</f>
        <v>6</v>
      </c>
      <c r="G304" s="14" t="s">
        <v>92</v>
      </c>
      <c r="H304" s="14">
        <v>304</v>
      </c>
      <c r="I304" s="14" t="s">
        <v>94</v>
      </c>
      <c r="J304" s="14" t="s">
        <v>90</v>
      </c>
      <c r="K304" s="14" t="str">
        <f>IFERROR(TEXT(_xlfn.XLOOKUP(_xlfn.CONCAT(Weld_list[[#This Row],[流水號]],"_",Weld_list[[#This Row],[銲口編號]]),焊口登報表!D:D,焊口登報表!C:C,,0),"yyyy/mm/dd"),"")</f>
        <v/>
      </c>
      <c r="M304" s="15" t="str">
        <f>IFERROR(TEXT(_xlfn.XLOOKUP(_xlfn.CONCAT(Weld_list[[#This Row],[流水號]],"_",Weld_list[[#This Row],[銲口編號]]),焊口登報表!F:F,焊口登報表!E:E,,0),"yyyy/mm/dd"),"")</f>
        <v/>
      </c>
      <c r="P304" s="15" t="e">
        <f>_xlfn.TEXTJOIN("-",TRUE,INDEX(_xlfn.TEXTSPLIT(B304,"-"),1),INDEX(_xlfn.TEXTSPLIT(B304,"-"),2),INDEX(_xlfn.TEXTSPLIT(B304,"-"),3),INDEX(_xlfn.TEXTSPLIT(B304,"-"),4),INDEX(_xlfn.TEXTSPLIT(B304,"-"),5))</f>
        <v>#REF!</v>
      </c>
      <c r="Q30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4" s="14" t="str">
        <f>IF(Weld_list[[#This Row],[組銲完成日期]]&lt;&gt;"","已完成","未完成")</f>
        <v>未完成</v>
      </c>
      <c r="S304" s="14">
        <v>1</v>
      </c>
    </row>
    <row r="305" spans="1:19" ht="20.25" hidden="1" customHeight="1">
      <c r="A305" s="14">
        <v>23</v>
      </c>
      <c r="B305" s="17" t="s">
        <v>133</v>
      </c>
      <c r="C305" s="49" t="s">
        <v>85</v>
      </c>
      <c r="D305" s="73">
        <v>5</v>
      </c>
      <c r="E305" s="14">
        <v>6</v>
      </c>
      <c r="F305" s="21">
        <f>IF(E305&lt;&gt;"",IF(Weld_list[[#This Row],[尺寸]]&lt;1,1,E305),"")</f>
        <v>6</v>
      </c>
      <c r="G305" s="14" t="s">
        <v>92</v>
      </c>
      <c r="H305" s="14">
        <v>304</v>
      </c>
      <c r="I305" s="14" t="s">
        <v>76</v>
      </c>
      <c r="J305" s="14" t="s">
        <v>95</v>
      </c>
      <c r="K305" s="63">
        <v>45974</v>
      </c>
      <c r="L305" s="14" t="s">
        <v>270</v>
      </c>
      <c r="M305" s="63">
        <v>45977</v>
      </c>
      <c r="Q30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5" s="14"/>
      <c r="S305" s="14">
        <v>1</v>
      </c>
    </row>
    <row r="306" spans="1:19" ht="20.25" hidden="1" customHeight="1">
      <c r="A306" s="14">
        <v>23</v>
      </c>
      <c r="B306" s="17" t="s">
        <v>133</v>
      </c>
      <c r="C306" s="49" t="s">
        <v>85</v>
      </c>
      <c r="D306" s="73">
        <v>6</v>
      </c>
      <c r="E306" s="14">
        <v>6</v>
      </c>
      <c r="F306" s="21">
        <f>IF(E306&lt;&gt;"",IF(Weld_list[[#This Row],[尺寸]]&lt;1,1,E306),"")</f>
        <v>6</v>
      </c>
      <c r="G306" s="14" t="s">
        <v>92</v>
      </c>
      <c r="H306" s="14">
        <v>304</v>
      </c>
      <c r="I306" s="14" t="s">
        <v>76</v>
      </c>
      <c r="J306" s="14" t="s">
        <v>95</v>
      </c>
      <c r="K306" s="63">
        <v>45974</v>
      </c>
      <c r="L306" s="14" t="s">
        <v>270</v>
      </c>
      <c r="M306" s="63">
        <v>45977</v>
      </c>
      <c r="Q30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6" s="14"/>
      <c r="S306" s="14">
        <v>1</v>
      </c>
    </row>
    <row r="307" spans="1:19" ht="20.25" hidden="1" customHeight="1">
      <c r="A307" s="14">
        <v>23</v>
      </c>
      <c r="B307" s="17" t="s">
        <v>133</v>
      </c>
      <c r="C307" s="49" t="s">
        <v>85</v>
      </c>
      <c r="D307" s="14">
        <v>7</v>
      </c>
      <c r="E307" s="14">
        <v>6</v>
      </c>
      <c r="F307" s="21">
        <f>IF(E307&lt;&gt;"",IF(Weld_list[[#This Row],[尺寸]]&lt;1,1,E307),"")</f>
        <v>6</v>
      </c>
      <c r="G307" s="14" t="s">
        <v>92</v>
      </c>
      <c r="H307" s="14">
        <v>304</v>
      </c>
      <c r="I307" s="14" t="s">
        <v>76</v>
      </c>
      <c r="J307" s="14" t="s">
        <v>95</v>
      </c>
      <c r="K307" s="14" t="str">
        <f>IFERROR(TEXT(_xlfn.XLOOKUP(_xlfn.CONCAT(Weld_list[[#This Row],[流水號]],"_",Weld_list[[#This Row],[銲口編號]]),焊口登報表!D:D,焊口登報表!C:C,,0),"yyyy/mm/dd"),"")</f>
        <v>2025/08/25</v>
      </c>
      <c r="L307" s="14" t="s">
        <v>270</v>
      </c>
      <c r="M307" s="63">
        <v>45897</v>
      </c>
      <c r="Q30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7" s="14"/>
      <c r="S307" s="14">
        <v>1</v>
      </c>
    </row>
    <row r="308" spans="1:19" ht="20.25" hidden="1" customHeight="1">
      <c r="A308" s="14">
        <v>23</v>
      </c>
      <c r="B308" s="17" t="s">
        <v>133</v>
      </c>
      <c r="C308" s="49" t="s">
        <v>85</v>
      </c>
      <c r="D308" s="14">
        <v>8</v>
      </c>
      <c r="E308" s="14">
        <v>6</v>
      </c>
      <c r="F308" s="21">
        <f>IF(E308&lt;&gt;"",IF(Weld_list[[#This Row],[尺寸]]&lt;1,1,E308),"")</f>
        <v>6</v>
      </c>
      <c r="G308" s="14" t="s">
        <v>92</v>
      </c>
      <c r="H308" s="14">
        <v>304</v>
      </c>
      <c r="I308" s="14" t="s">
        <v>76</v>
      </c>
      <c r="J308" s="14" t="s">
        <v>95</v>
      </c>
      <c r="K308" s="14" t="str">
        <f>IFERROR(TEXT(_xlfn.XLOOKUP(_xlfn.CONCAT(Weld_list[[#This Row],[流水號]],"_",Weld_list[[#This Row],[銲口編號]]),焊口登報表!D:D,焊口登報表!C:C,,0),"yyyy/mm/dd"),"")</f>
        <v>2025/08/25</v>
      </c>
      <c r="L308" s="14" t="s">
        <v>270</v>
      </c>
      <c r="M308" s="63">
        <v>45897</v>
      </c>
      <c r="Q30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8" s="14"/>
      <c r="S308" s="14">
        <v>1</v>
      </c>
    </row>
    <row r="309" spans="1:19" ht="20.25" hidden="1" customHeight="1">
      <c r="A309" s="14">
        <v>23</v>
      </c>
      <c r="B309" s="17" t="s">
        <v>133</v>
      </c>
      <c r="C309" s="49" t="s">
        <v>85</v>
      </c>
      <c r="D309" s="14">
        <v>9</v>
      </c>
      <c r="E309" s="14">
        <v>6</v>
      </c>
      <c r="F309" s="21">
        <f>IF(E309&lt;&gt;"",IF(Weld_list[[#This Row],[尺寸]]&lt;1,1,E309),"")</f>
        <v>6</v>
      </c>
      <c r="G309" s="14" t="s">
        <v>92</v>
      </c>
      <c r="H309" s="14">
        <v>304</v>
      </c>
      <c r="I309" s="14" t="s">
        <v>76</v>
      </c>
      <c r="J309" s="14" t="s">
        <v>95</v>
      </c>
      <c r="K309" s="14" t="str">
        <f>IFERROR(TEXT(_xlfn.XLOOKUP(_xlfn.CONCAT(Weld_list[[#This Row],[流水號]],"_",Weld_list[[#This Row],[銲口編號]]),焊口登報表!D:D,焊口登報表!C:C,,0),"yyyy/mm/dd"),"")</f>
        <v>2025/08/25</v>
      </c>
      <c r="L309" s="14" t="s">
        <v>270</v>
      </c>
      <c r="M309" s="63">
        <v>45897</v>
      </c>
      <c r="Q30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09" s="14"/>
      <c r="S309" s="14">
        <v>1</v>
      </c>
    </row>
    <row r="310" spans="1:19" ht="20.25" hidden="1" customHeight="1">
      <c r="A310" s="14">
        <v>23</v>
      </c>
      <c r="B310" s="17" t="s">
        <v>133</v>
      </c>
      <c r="C310" s="49" t="s">
        <v>85</v>
      </c>
      <c r="D310" s="14">
        <v>10</v>
      </c>
      <c r="E310" s="14">
        <v>6</v>
      </c>
      <c r="F310" s="21">
        <f>IF(E310&lt;&gt;"",IF(Weld_list[[#This Row],[尺寸]]&lt;1,1,E310),"")</f>
        <v>6</v>
      </c>
      <c r="G310" s="14" t="s">
        <v>92</v>
      </c>
      <c r="H310" s="14">
        <v>304</v>
      </c>
      <c r="I310" s="14" t="s">
        <v>76</v>
      </c>
      <c r="J310" s="14" t="s">
        <v>95</v>
      </c>
      <c r="K310" s="14" t="str">
        <f>IFERROR(TEXT(_xlfn.XLOOKUP(_xlfn.CONCAT(Weld_list[[#This Row],[流水號]],"_",Weld_list[[#This Row],[銲口編號]]),焊口登報表!D:D,焊口登報表!C:C,,0),"yyyy/mm/dd"),"")</f>
        <v>2025/08/25</v>
      </c>
      <c r="L310" s="14" t="s">
        <v>270</v>
      </c>
      <c r="M310" s="63">
        <v>45897</v>
      </c>
      <c r="Q31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10" s="14"/>
      <c r="S310" s="14">
        <v>1</v>
      </c>
    </row>
    <row r="311" spans="1:19" ht="20.25" hidden="1" customHeight="1">
      <c r="A311" s="14">
        <v>23</v>
      </c>
      <c r="B311" s="17" t="s">
        <v>133</v>
      </c>
      <c r="C311" s="49" t="s">
        <v>85</v>
      </c>
      <c r="D311" s="73">
        <v>11</v>
      </c>
      <c r="E311" s="14">
        <v>6</v>
      </c>
      <c r="F311" s="21">
        <f>IF(E311&lt;&gt;"",IF(Weld_list[[#This Row],[尺寸]]&lt;1,1,E311),"")</f>
        <v>6</v>
      </c>
      <c r="G311" s="14" t="s">
        <v>92</v>
      </c>
      <c r="H311" s="14">
        <v>304</v>
      </c>
      <c r="I311" s="14" t="s">
        <v>76</v>
      </c>
      <c r="J311" s="14" t="s">
        <v>95</v>
      </c>
      <c r="K311" s="63">
        <v>45974</v>
      </c>
      <c r="L311" s="14" t="s">
        <v>270</v>
      </c>
      <c r="M311" s="63">
        <v>45977</v>
      </c>
      <c r="Q31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\\192.168.1.50\3勝一\SE-37(彰濱)\01.工程圖面\01.ISO\ISO\23.(UG)WW-18022-S1P4U-01.pdf</v>
      </c>
      <c r="R311" s="14"/>
      <c r="S311" s="14">
        <v>1</v>
      </c>
    </row>
    <row r="312" spans="1:19" ht="20.25" hidden="1" customHeight="1">
      <c r="A312" s="14">
        <v>24</v>
      </c>
      <c r="B312" s="17" t="s">
        <v>135</v>
      </c>
      <c r="C312" s="49" t="s">
        <v>85</v>
      </c>
      <c r="D312" s="73">
        <v>1</v>
      </c>
      <c r="E312" s="14">
        <v>4</v>
      </c>
      <c r="F312" s="21">
        <f>IF(E312&lt;&gt;"",IF(Weld_list[[#This Row],[尺寸]]&lt;1,1,E312),"")</f>
        <v>4</v>
      </c>
      <c r="G312" s="14" t="s">
        <v>92</v>
      </c>
      <c r="H312" s="14">
        <v>304</v>
      </c>
      <c r="I312" s="14" t="s">
        <v>76</v>
      </c>
      <c r="J312" s="14" t="s">
        <v>95</v>
      </c>
      <c r="K312" s="63">
        <v>45974</v>
      </c>
      <c r="L312" s="14" t="s">
        <v>270</v>
      </c>
      <c r="M312" s="63">
        <v>45977</v>
      </c>
      <c r="Q31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2" s="14"/>
      <c r="S312" s="14">
        <v>1</v>
      </c>
    </row>
    <row r="313" spans="1:19" ht="20.25" hidden="1" customHeight="1">
      <c r="A313" s="14">
        <v>24</v>
      </c>
      <c r="B313" s="17" t="s">
        <v>135</v>
      </c>
      <c r="C313" s="49" t="s">
        <v>85</v>
      </c>
      <c r="D313" s="14">
        <v>2</v>
      </c>
      <c r="E313" s="14">
        <v>4</v>
      </c>
      <c r="F313" s="21">
        <f>IF(E313&lt;&gt;"",IF(Weld_list[[#This Row],[尺寸]]&lt;1,1,E313),"")</f>
        <v>4</v>
      </c>
      <c r="G313" s="14" t="s">
        <v>92</v>
      </c>
      <c r="H313" s="14">
        <v>304</v>
      </c>
      <c r="I313" s="14" t="s">
        <v>76</v>
      </c>
      <c r="J313" s="14" t="s">
        <v>95</v>
      </c>
      <c r="K313" s="14" t="str">
        <f>IFERROR(TEXT(_xlfn.XLOOKUP(_xlfn.CONCAT(Weld_list[[#This Row],[流水號]],"_",Weld_list[[#This Row],[銲口編號]]),焊口登報表!D:D,焊口登報表!C:C,,0),"yyyy/mm/dd"),"")</f>
        <v>2025/08/25</v>
      </c>
      <c r="L313" s="14" t="s">
        <v>270</v>
      </c>
      <c r="M313" s="63">
        <v>45897</v>
      </c>
      <c r="Q31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3" s="14"/>
      <c r="S313" s="14">
        <v>1</v>
      </c>
    </row>
    <row r="314" spans="1:19" ht="20.25" hidden="1" customHeight="1">
      <c r="A314" s="14">
        <v>24</v>
      </c>
      <c r="B314" s="17" t="s">
        <v>135</v>
      </c>
      <c r="C314" s="49" t="s">
        <v>85</v>
      </c>
      <c r="D314" s="14">
        <v>3</v>
      </c>
      <c r="E314" s="14">
        <v>4</v>
      </c>
      <c r="F314" s="21">
        <f>IF(E314&lt;&gt;"",IF(Weld_list[[#This Row],[尺寸]]&lt;1,1,E314),"")</f>
        <v>4</v>
      </c>
      <c r="G314" s="14" t="s">
        <v>92</v>
      </c>
      <c r="H314" s="14">
        <v>304</v>
      </c>
      <c r="I314" s="14" t="s">
        <v>76</v>
      </c>
      <c r="J314" s="14" t="s">
        <v>95</v>
      </c>
      <c r="K314" s="14" t="str">
        <f>IFERROR(TEXT(_xlfn.XLOOKUP(_xlfn.CONCAT(Weld_list[[#This Row],[流水號]],"_",Weld_list[[#This Row],[銲口編號]]),焊口登報表!D:D,焊口登報表!C:C,,0),"yyyy/mm/dd"),"")</f>
        <v>2025/08/25</v>
      </c>
      <c r="L314" s="14" t="s">
        <v>270</v>
      </c>
      <c r="M314" s="63">
        <v>45897</v>
      </c>
      <c r="Q31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4" s="14"/>
      <c r="S314" s="14">
        <v>1</v>
      </c>
    </row>
    <row r="315" spans="1:19" ht="20.25" hidden="1" customHeight="1">
      <c r="A315" s="14">
        <v>24</v>
      </c>
      <c r="B315" s="17" t="s">
        <v>135</v>
      </c>
      <c r="C315" s="49" t="s">
        <v>85</v>
      </c>
      <c r="D315" s="73">
        <v>4</v>
      </c>
      <c r="E315" s="14">
        <v>4</v>
      </c>
      <c r="F315" s="21">
        <f>IF(E315&lt;&gt;"",IF(Weld_list[[#This Row],[尺寸]]&lt;1,1,E315),"")</f>
        <v>4</v>
      </c>
      <c r="G315" s="14" t="s">
        <v>92</v>
      </c>
      <c r="H315" s="14">
        <v>304</v>
      </c>
      <c r="I315" s="14" t="s">
        <v>76</v>
      </c>
      <c r="J315" s="14" t="s">
        <v>95</v>
      </c>
      <c r="K315" s="63">
        <v>45974</v>
      </c>
      <c r="L315" s="14" t="s">
        <v>270</v>
      </c>
      <c r="M315" s="63">
        <v>45977</v>
      </c>
      <c r="Q31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5" s="14"/>
      <c r="S315" s="14">
        <v>1</v>
      </c>
    </row>
    <row r="316" spans="1:19" ht="20.25" hidden="1" customHeight="1">
      <c r="A316" s="14">
        <v>24</v>
      </c>
      <c r="B316" s="17" t="s">
        <v>135</v>
      </c>
      <c r="C316" s="49" t="s">
        <v>85</v>
      </c>
      <c r="D316" s="14">
        <v>5</v>
      </c>
      <c r="E316" s="14">
        <v>4</v>
      </c>
      <c r="F316" s="21">
        <f>IF(E316&lt;&gt;"",IF(Weld_list[[#This Row],[尺寸]]&lt;1,1,E316),"")</f>
        <v>4</v>
      </c>
      <c r="G316" s="14" t="s">
        <v>92</v>
      </c>
      <c r="H316" s="14">
        <v>304</v>
      </c>
      <c r="I316" s="14" t="s">
        <v>76</v>
      </c>
      <c r="J316" s="14" t="s">
        <v>95</v>
      </c>
      <c r="K316" s="14" t="str">
        <f>IFERROR(TEXT(_xlfn.XLOOKUP(_xlfn.CONCAT(Weld_list[[#This Row],[流水號]],"_",Weld_list[[#This Row],[銲口編號]]),焊口登報表!D:D,焊口登報表!C:C,,0),"yyyy/mm/dd"),"")</f>
        <v>2025/08/25</v>
      </c>
      <c r="L316" s="14" t="s">
        <v>270</v>
      </c>
      <c r="M316" s="63">
        <v>45897</v>
      </c>
      <c r="Q31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6" s="14"/>
      <c r="S316" s="14">
        <v>1</v>
      </c>
    </row>
    <row r="317" spans="1:19" ht="20.25" hidden="1" customHeight="1">
      <c r="A317" s="14">
        <v>24</v>
      </c>
      <c r="B317" s="17" t="s">
        <v>135</v>
      </c>
      <c r="C317" s="49" t="s">
        <v>85</v>
      </c>
      <c r="D317" s="14">
        <v>6</v>
      </c>
      <c r="E317" s="14">
        <v>4</v>
      </c>
      <c r="F317" s="21">
        <f>IF(E317&lt;&gt;"",IF(Weld_list[[#This Row],[尺寸]]&lt;1,1,E317),"")</f>
        <v>4</v>
      </c>
      <c r="G317" s="14" t="s">
        <v>92</v>
      </c>
      <c r="H317" s="14">
        <v>304</v>
      </c>
      <c r="I317" s="14" t="s">
        <v>76</v>
      </c>
      <c r="J317" s="14" t="s">
        <v>95</v>
      </c>
      <c r="K317" s="14" t="str">
        <f>IFERROR(TEXT(_xlfn.XLOOKUP(_xlfn.CONCAT(Weld_list[[#This Row],[流水號]],"_",Weld_list[[#This Row],[銲口編號]]),焊口登報表!D:D,焊口登報表!C:C,,0),"yyyy/mm/dd"),"")</f>
        <v>2025/08/25</v>
      </c>
      <c r="L317" s="14" t="s">
        <v>270</v>
      </c>
      <c r="M317" s="63">
        <v>45897</v>
      </c>
      <c r="Q31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7" s="14"/>
      <c r="S317" s="14">
        <v>1</v>
      </c>
    </row>
    <row r="318" spans="1:19" ht="20.25" hidden="1" customHeight="1">
      <c r="A318" s="14">
        <v>24</v>
      </c>
      <c r="B318" s="17" t="s">
        <v>135</v>
      </c>
      <c r="C318" s="49" t="s">
        <v>85</v>
      </c>
      <c r="D318" s="73">
        <v>7</v>
      </c>
      <c r="E318" s="14">
        <v>4</v>
      </c>
      <c r="F318" s="21">
        <f>IF(E318&lt;&gt;"",IF(Weld_list[[#This Row],[尺寸]]&lt;1,1,E318),"")</f>
        <v>4</v>
      </c>
      <c r="G318" s="14" t="s">
        <v>92</v>
      </c>
      <c r="H318" s="14">
        <v>304</v>
      </c>
      <c r="I318" s="14" t="s">
        <v>76</v>
      </c>
      <c r="J318" s="14" t="s">
        <v>95</v>
      </c>
      <c r="K318" s="63">
        <v>45974</v>
      </c>
      <c r="L318" s="14" t="s">
        <v>270</v>
      </c>
      <c r="M318" s="63">
        <v>45977</v>
      </c>
      <c r="Q31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8" s="14"/>
      <c r="S318" s="14">
        <v>1</v>
      </c>
    </row>
    <row r="319" spans="1:19" ht="20.25" hidden="1" customHeight="1">
      <c r="A319" s="14">
        <v>24</v>
      </c>
      <c r="B319" s="17" t="s">
        <v>135</v>
      </c>
      <c r="C319" s="49" t="s">
        <v>85</v>
      </c>
      <c r="D319" s="14">
        <v>8</v>
      </c>
      <c r="E319" s="14">
        <v>4</v>
      </c>
      <c r="F319" s="21">
        <f>IF(E319&lt;&gt;"",IF(Weld_list[[#This Row],[尺寸]]&lt;1,1,E319),"")</f>
        <v>4</v>
      </c>
      <c r="G319" s="14" t="s">
        <v>92</v>
      </c>
      <c r="H319" s="14">
        <v>304</v>
      </c>
      <c r="I319" s="14" t="s">
        <v>76</v>
      </c>
      <c r="J319" s="14" t="s">
        <v>95</v>
      </c>
      <c r="K319" s="14" t="str">
        <f>IFERROR(TEXT(_xlfn.XLOOKUP(_xlfn.CONCAT(Weld_list[[#This Row],[流水號]],"_",Weld_list[[#This Row],[銲口編號]]),焊口登報表!D:D,焊口登報表!C:C,,0),"yyyy/mm/dd"),"")</f>
        <v>2025/08/25</v>
      </c>
      <c r="L319" s="14" t="s">
        <v>270</v>
      </c>
      <c r="M319" s="63">
        <v>45897</v>
      </c>
      <c r="Q31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19" s="14"/>
      <c r="S319" s="14">
        <v>1</v>
      </c>
    </row>
    <row r="320" spans="1:19" ht="20.25" hidden="1" customHeight="1">
      <c r="A320" s="14">
        <v>24</v>
      </c>
      <c r="B320" s="17" t="s">
        <v>135</v>
      </c>
      <c r="C320" s="49" t="s">
        <v>85</v>
      </c>
      <c r="D320" s="73">
        <v>9</v>
      </c>
      <c r="E320" s="14">
        <v>4</v>
      </c>
      <c r="F320" s="21">
        <f>IF(E320&lt;&gt;"",IF(Weld_list[[#This Row],[尺寸]]&lt;1,1,E320),"")</f>
        <v>4</v>
      </c>
      <c r="G320" s="14" t="s">
        <v>92</v>
      </c>
      <c r="H320" s="14">
        <v>304</v>
      </c>
      <c r="I320" s="14" t="s">
        <v>76</v>
      </c>
      <c r="J320" s="14" t="s">
        <v>95</v>
      </c>
      <c r="K320" s="63">
        <v>45974</v>
      </c>
      <c r="L320" s="14" t="s">
        <v>270</v>
      </c>
      <c r="M320" s="63">
        <v>45977</v>
      </c>
      <c r="Q32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\\192.168.1.50\3勝一\SE-37(彰濱)\01.工程圖面\01.ISO\ISO\24.(UG)WW-18023-S1P4U-01.pdf</v>
      </c>
      <c r="R320" s="14"/>
      <c r="S320" s="14">
        <v>1</v>
      </c>
    </row>
    <row r="321" spans="1:19" ht="20.25" hidden="1" customHeight="1">
      <c r="A321" s="14">
        <v>25</v>
      </c>
      <c r="B321" s="17" t="s">
        <v>136</v>
      </c>
      <c r="C321" s="49" t="s">
        <v>85</v>
      </c>
      <c r="D321" s="73">
        <v>1</v>
      </c>
      <c r="E321" s="14">
        <v>6</v>
      </c>
      <c r="F321" s="21">
        <f>IF(E321&lt;&gt;"",IF(Weld_list[[#This Row],[尺寸]]&lt;1,1,E321),"")</f>
        <v>6</v>
      </c>
      <c r="G321" s="14" t="s">
        <v>92</v>
      </c>
      <c r="H321" s="14">
        <v>304</v>
      </c>
      <c r="I321" s="14" t="s">
        <v>76</v>
      </c>
      <c r="J321" s="14" t="s">
        <v>95</v>
      </c>
      <c r="K321" s="63">
        <v>45974</v>
      </c>
      <c r="L321" s="14" t="s">
        <v>270</v>
      </c>
      <c r="M321" s="63">
        <v>45977</v>
      </c>
      <c r="Q32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\\192.168.1.50\3勝一\SE-37(彰濱)\01.工程圖面\01.ISO\ISO\25.(UG)WW-18026-S1P4U-01.pdf</v>
      </c>
      <c r="R321" s="14"/>
      <c r="S321" s="14">
        <v>1</v>
      </c>
    </row>
    <row r="322" spans="1:19" ht="20.25" hidden="1" customHeight="1">
      <c r="A322" s="14">
        <v>25</v>
      </c>
      <c r="B322" s="17" t="s">
        <v>136</v>
      </c>
      <c r="C322" s="49" t="s">
        <v>85</v>
      </c>
      <c r="D322" s="14">
        <v>2</v>
      </c>
      <c r="E322" s="14">
        <v>6</v>
      </c>
      <c r="F322" s="21">
        <f>IF(E322&lt;&gt;"",IF(Weld_list[[#This Row],[尺寸]]&lt;1,1,E322),"")</f>
        <v>6</v>
      </c>
      <c r="G322" s="14" t="s">
        <v>92</v>
      </c>
      <c r="H322" s="14">
        <v>304</v>
      </c>
      <c r="I322" s="14" t="s">
        <v>76</v>
      </c>
      <c r="J322" s="14" t="s">
        <v>95</v>
      </c>
      <c r="K322" s="14" t="str">
        <f>IFERROR(TEXT(_xlfn.XLOOKUP(_xlfn.CONCAT(Weld_list[[#This Row],[流水號]],"_",Weld_list[[#This Row],[銲口編號]]),焊口登報表!D:D,焊口登報表!C:C,,0),"yyyy/mm/dd"),"")</f>
        <v>2025/08/25</v>
      </c>
      <c r="L322" s="14" t="s">
        <v>270</v>
      </c>
      <c r="M322" s="63">
        <v>45897</v>
      </c>
      <c r="Q32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\\192.168.1.50\3勝一\SE-37(彰濱)\01.工程圖面\01.ISO\ISO\25.(UG)WW-18026-S1P4U-01.pdf</v>
      </c>
      <c r="R322" s="14"/>
      <c r="S322" s="14">
        <v>1</v>
      </c>
    </row>
    <row r="323" spans="1:19" ht="20.25" hidden="1" customHeight="1">
      <c r="A323" s="14">
        <v>25</v>
      </c>
      <c r="B323" s="17" t="s">
        <v>136</v>
      </c>
      <c r="C323" s="49" t="s">
        <v>85</v>
      </c>
      <c r="D323" s="14" t="s">
        <v>137</v>
      </c>
      <c r="E323" s="14">
        <v>6</v>
      </c>
      <c r="F323" s="21">
        <f>IF(E323&lt;&gt;"",IF(Weld_list[[#This Row],[尺寸]]&lt;1,1,E323),"")</f>
        <v>6</v>
      </c>
      <c r="G323" s="14" t="s">
        <v>92</v>
      </c>
      <c r="H323" s="14">
        <v>304</v>
      </c>
      <c r="I323" s="14" t="s">
        <v>94</v>
      </c>
      <c r="J323" s="14" t="s">
        <v>90</v>
      </c>
      <c r="K323" s="14" t="str">
        <f>IFERROR(TEXT(_xlfn.XLOOKUP(_xlfn.CONCAT(Weld_list[[#This Row],[流水號]],"_",Weld_list[[#This Row],[銲口編號]]),焊口登報表!D:D,焊口登報表!C:C,,0),"yyyy/mm/dd"),"")</f>
        <v/>
      </c>
      <c r="M323" s="15" t="str">
        <f>IFERROR(TEXT(_xlfn.XLOOKUP(_xlfn.CONCAT(Weld_list[[#This Row],[流水號]],"_",Weld_list[[#This Row],[銲口編號]]),焊口登報表!F:F,焊口登報表!E:E,,0),"yyyy/mm/dd"),"")</f>
        <v/>
      </c>
      <c r="P323" s="15" t="e">
        <f>_xlfn.TEXTJOIN("-",TRUE,INDEX(_xlfn.TEXTSPLIT(B323,"-"),1),INDEX(_xlfn.TEXTSPLIT(B323,"-"),2),INDEX(_xlfn.TEXTSPLIT(B323,"-"),3),INDEX(_xlfn.TEXTSPLIT(B323,"-"),4),INDEX(_xlfn.TEXTSPLIT(B323,"-"),5))</f>
        <v>#REF!</v>
      </c>
      <c r="Q32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\\192.168.1.50\3勝一\SE-37(彰濱)\01.工程圖面\01.ISO\ISO\25.(UG)WW-18026-S1P4U-01.pdf</v>
      </c>
      <c r="R323" s="14" t="str">
        <f>IF(Weld_list[[#This Row],[組銲完成日期]]&lt;&gt;"","已完成","未完成")</f>
        <v>未完成</v>
      </c>
      <c r="S323" s="14">
        <v>1</v>
      </c>
    </row>
    <row r="324" spans="1:19" ht="20.25" hidden="1" customHeight="1">
      <c r="A324" s="14">
        <v>25</v>
      </c>
      <c r="B324" s="17" t="s">
        <v>136</v>
      </c>
      <c r="C324" s="49" t="s">
        <v>85</v>
      </c>
      <c r="D324" s="73">
        <v>3</v>
      </c>
      <c r="E324" s="14">
        <v>6</v>
      </c>
      <c r="F324" s="21">
        <f>IF(E324&lt;&gt;"",IF(Weld_list[[#This Row],[尺寸]]&lt;1,1,E324),"")</f>
        <v>6</v>
      </c>
      <c r="G324" s="14" t="s">
        <v>92</v>
      </c>
      <c r="H324" s="14">
        <v>304</v>
      </c>
      <c r="I324" s="14" t="s">
        <v>76</v>
      </c>
      <c r="J324" s="14" t="s">
        <v>95</v>
      </c>
      <c r="K324" s="63">
        <v>45974</v>
      </c>
      <c r="L324" s="14" t="s">
        <v>270</v>
      </c>
      <c r="M324" s="63">
        <v>45977</v>
      </c>
      <c r="Q32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\\192.168.1.50\3勝一\SE-37(彰濱)\01.工程圖面\01.ISO\ISO\25.(UG)WW-18026-S1P4U-01.pdf</v>
      </c>
      <c r="R324" s="14"/>
      <c r="S324" s="14">
        <v>1</v>
      </c>
    </row>
    <row r="325" spans="1:19" ht="20.25" hidden="1" customHeight="1">
      <c r="A325" s="14">
        <v>25</v>
      </c>
      <c r="B325" s="17" t="s">
        <v>136</v>
      </c>
      <c r="C325" s="49" t="s">
        <v>85</v>
      </c>
      <c r="D325" s="73">
        <v>4</v>
      </c>
      <c r="E325" s="14">
        <v>6</v>
      </c>
      <c r="F325" s="21">
        <f>IF(E325&lt;&gt;"",IF(Weld_list[[#This Row],[尺寸]]&lt;1,1,E325),"")</f>
        <v>6</v>
      </c>
      <c r="G325" s="14" t="s">
        <v>92</v>
      </c>
      <c r="H325" s="14">
        <v>304</v>
      </c>
      <c r="I325" s="14" t="s">
        <v>76</v>
      </c>
      <c r="J325" s="14" t="s">
        <v>95</v>
      </c>
      <c r="K325" s="63">
        <v>45974</v>
      </c>
      <c r="L325" s="14" t="s">
        <v>270</v>
      </c>
      <c r="M325" s="63">
        <v>45977</v>
      </c>
      <c r="Q32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\\192.168.1.50\3勝一\SE-37(彰濱)\01.工程圖面\01.ISO\ISO\25.(UG)WW-18026-S1P4U-01.pdf</v>
      </c>
      <c r="R325" s="14"/>
      <c r="S325" s="14">
        <v>1</v>
      </c>
    </row>
    <row r="326" spans="1:19" ht="20.25" hidden="1" customHeight="1">
      <c r="A326" s="14">
        <v>25</v>
      </c>
      <c r="B326" s="17" t="s">
        <v>136</v>
      </c>
      <c r="C326" s="49" t="s">
        <v>85</v>
      </c>
      <c r="D326" s="14">
        <v>5</v>
      </c>
      <c r="E326" s="14">
        <v>6</v>
      </c>
      <c r="F326" s="21">
        <f>IF(E326&lt;&gt;"",IF(Weld_list[[#This Row],[尺寸]]&lt;1,1,E326),"")</f>
        <v>6</v>
      </c>
      <c r="G326" s="14" t="s">
        <v>92</v>
      </c>
      <c r="H326" s="14">
        <v>304</v>
      </c>
      <c r="I326" s="14" t="s">
        <v>76</v>
      </c>
      <c r="J326" s="14" t="s">
        <v>95</v>
      </c>
      <c r="K326" s="14" t="str">
        <f>IFERROR(TEXT(_xlfn.XLOOKUP(_xlfn.CONCAT(Weld_list[[#This Row],[流水號]],"_",Weld_list[[#This Row],[銲口編號]]),焊口登報表!D:D,焊口登報表!C:C,,0),"yyyy/mm/dd"),"")</f>
        <v>2025/08/25</v>
      </c>
      <c r="L326" s="14" t="s">
        <v>270</v>
      </c>
      <c r="M326" s="63">
        <v>45897</v>
      </c>
      <c r="Q32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\\192.168.1.50\3勝一\SE-37(彰濱)\01.工程圖面\01.ISO\ISO\25.(UG)WW-18026-S1P4U-01.pdf</v>
      </c>
      <c r="R326" s="14"/>
      <c r="S326" s="14">
        <v>1</v>
      </c>
    </row>
    <row r="327" spans="1:19" ht="20.25" hidden="1" customHeight="1">
      <c r="A327" s="14">
        <v>26</v>
      </c>
      <c r="B327" s="17" t="s">
        <v>138</v>
      </c>
      <c r="C327" s="49" t="s">
        <v>85</v>
      </c>
      <c r="D327" s="73">
        <v>1</v>
      </c>
      <c r="E327" s="14">
        <v>6</v>
      </c>
      <c r="F327" s="21">
        <f>IF(E327&lt;&gt;"",IF(Weld_list[[#This Row],[尺寸]]&lt;1,1,E327),"")</f>
        <v>6</v>
      </c>
      <c r="G327" s="14" t="s">
        <v>92</v>
      </c>
      <c r="H327" s="14">
        <v>304</v>
      </c>
      <c r="I327" s="14" t="s">
        <v>76</v>
      </c>
      <c r="J327" s="14" t="s">
        <v>95</v>
      </c>
      <c r="K327" s="63">
        <v>45974</v>
      </c>
      <c r="L327" s="14" t="s">
        <v>270</v>
      </c>
      <c r="M327" s="63">
        <v>45977</v>
      </c>
      <c r="Q32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\\192.168.1.50\3勝一\SE-37(彰濱)\01.工程圖面\01.ISO\ISO\26.(UG)WW-18031-S1P4U-01.pdf</v>
      </c>
      <c r="R327" s="14"/>
      <c r="S327" s="14">
        <v>1</v>
      </c>
    </row>
    <row r="328" spans="1:19" ht="20.25" hidden="1" customHeight="1">
      <c r="A328" s="14">
        <v>26</v>
      </c>
      <c r="B328" s="17" t="s">
        <v>138</v>
      </c>
      <c r="C328" s="49" t="s">
        <v>85</v>
      </c>
      <c r="D328" s="14">
        <v>2</v>
      </c>
      <c r="E328" s="14">
        <v>6</v>
      </c>
      <c r="F328" s="21">
        <f>IF(E328&lt;&gt;"",IF(Weld_list[[#This Row],[尺寸]]&lt;1,1,E328),"")</f>
        <v>6</v>
      </c>
      <c r="G328" s="14" t="s">
        <v>92</v>
      </c>
      <c r="H328" s="14">
        <v>304</v>
      </c>
      <c r="I328" s="14" t="s">
        <v>76</v>
      </c>
      <c r="J328" s="14" t="s">
        <v>95</v>
      </c>
      <c r="K328" s="14" t="str">
        <f>IFERROR(TEXT(_xlfn.XLOOKUP(_xlfn.CONCAT(Weld_list[[#This Row],[流水號]],"_",Weld_list[[#This Row],[銲口編號]]),焊口登報表!D:D,焊口登報表!C:C,,0),"yyyy/mm/dd"),"")</f>
        <v>2025/08/25</v>
      </c>
      <c r="L328" s="14" t="s">
        <v>270</v>
      </c>
      <c r="M328" s="63">
        <v>45897</v>
      </c>
      <c r="Q32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\\192.168.1.50\3勝一\SE-37(彰濱)\01.工程圖面\01.ISO\ISO\26.(UG)WW-18031-S1P4U-01.pdf</v>
      </c>
      <c r="R328" s="14"/>
      <c r="S328" s="14">
        <v>1</v>
      </c>
    </row>
    <row r="329" spans="1:19" ht="20.25" hidden="1" customHeight="1">
      <c r="A329" s="14">
        <v>26</v>
      </c>
      <c r="B329" s="17" t="s">
        <v>138</v>
      </c>
      <c r="C329" s="49" t="s">
        <v>85</v>
      </c>
      <c r="D329" s="14">
        <v>3</v>
      </c>
      <c r="E329" s="14">
        <v>6</v>
      </c>
      <c r="F329" s="21">
        <f>IF(E329&lt;&gt;"",IF(Weld_list[[#This Row],[尺寸]]&lt;1,1,E329),"")</f>
        <v>6</v>
      </c>
      <c r="G329" s="14" t="s">
        <v>92</v>
      </c>
      <c r="H329" s="14">
        <v>304</v>
      </c>
      <c r="I329" s="14" t="s">
        <v>76</v>
      </c>
      <c r="J329" s="14" t="s">
        <v>95</v>
      </c>
      <c r="K329" s="14" t="str">
        <f>IFERROR(TEXT(_xlfn.XLOOKUP(_xlfn.CONCAT(Weld_list[[#This Row],[流水號]],"_",Weld_list[[#This Row],[銲口編號]]),焊口登報表!D:D,焊口登報表!C:C,,0),"yyyy/mm/dd"),"")</f>
        <v>2025/08/25</v>
      </c>
      <c r="L329" s="14" t="s">
        <v>270</v>
      </c>
      <c r="M329" s="63">
        <v>45897</v>
      </c>
      <c r="Q32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\\192.168.1.50\3勝一\SE-37(彰濱)\01.工程圖面\01.ISO\ISO\26.(UG)WW-18031-S1P4U-01.pdf</v>
      </c>
      <c r="R329" s="14"/>
      <c r="S329" s="14">
        <v>1</v>
      </c>
    </row>
    <row r="330" spans="1:19" ht="20.25" hidden="1" customHeight="1">
      <c r="A330" s="14">
        <v>26</v>
      </c>
      <c r="B330" s="17" t="s">
        <v>138</v>
      </c>
      <c r="C330" s="49" t="s">
        <v>85</v>
      </c>
      <c r="D330" s="14" t="s">
        <v>132</v>
      </c>
      <c r="E330" s="14">
        <v>6</v>
      </c>
      <c r="F330" s="21">
        <f>IF(E330&lt;&gt;"",IF(Weld_list[[#This Row],[尺寸]]&lt;1,1,E330),"")</f>
        <v>6</v>
      </c>
      <c r="G330" s="14" t="s">
        <v>92</v>
      </c>
      <c r="H330" s="14">
        <v>304</v>
      </c>
      <c r="I330" s="14" t="s">
        <v>94</v>
      </c>
      <c r="J330" s="14" t="s">
        <v>90</v>
      </c>
      <c r="K330" s="14" t="str">
        <f>IFERROR(TEXT(_xlfn.XLOOKUP(_xlfn.CONCAT(Weld_list[[#This Row],[流水號]],"_",Weld_list[[#This Row],[銲口編號]]),焊口登報表!D:D,焊口登報表!C:C,,0),"yyyy/mm/dd"),"")</f>
        <v/>
      </c>
      <c r="M330" s="15" t="str">
        <f>IFERROR(TEXT(_xlfn.XLOOKUP(_xlfn.CONCAT(Weld_list[[#This Row],[流水號]],"_",Weld_list[[#This Row],[銲口編號]]),焊口登報表!F:F,焊口登報表!E:E,,0),"yyyy/mm/dd"),"")</f>
        <v/>
      </c>
      <c r="P330" s="15" t="e">
        <f>_xlfn.TEXTJOIN("-",TRUE,INDEX(_xlfn.TEXTSPLIT(B330,"-"),1),INDEX(_xlfn.TEXTSPLIT(B330,"-"),2),INDEX(_xlfn.TEXTSPLIT(B330,"-"),3),INDEX(_xlfn.TEXTSPLIT(B330,"-"),4),INDEX(_xlfn.TEXTSPLIT(B330,"-"),5))</f>
        <v>#REF!</v>
      </c>
      <c r="Q33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\\192.168.1.50\3勝一\SE-37(彰濱)\01.工程圖面\01.ISO\ISO\26.(UG)WW-18031-S1P4U-01.pdf</v>
      </c>
      <c r="R330" s="14" t="str">
        <f>IF(Weld_list[[#This Row],[組銲完成日期]]&lt;&gt;"","已完成","未完成")</f>
        <v>未完成</v>
      </c>
      <c r="S330" s="14">
        <v>1</v>
      </c>
    </row>
    <row r="331" spans="1:19" ht="20.25" hidden="1" customHeight="1">
      <c r="A331" s="14">
        <v>26</v>
      </c>
      <c r="B331" s="17" t="s">
        <v>138</v>
      </c>
      <c r="C331" s="49" t="s">
        <v>85</v>
      </c>
      <c r="D331" s="73">
        <v>4</v>
      </c>
      <c r="E331" s="14">
        <v>6</v>
      </c>
      <c r="F331" s="21">
        <f>IF(E331&lt;&gt;"",IF(Weld_list[[#This Row],[尺寸]]&lt;1,1,E331),"")</f>
        <v>6</v>
      </c>
      <c r="G331" s="14" t="s">
        <v>92</v>
      </c>
      <c r="H331" s="14">
        <v>304</v>
      </c>
      <c r="I331" s="14" t="s">
        <v>76</v>
      </c>
      <c r="J331" s="14" t="s">
        <v>95</v>
      </c>
      <c r="K331" s="63">
        <v>45974</v>
      </c>
      <c r="L331" s="14" t="s">
        <v>270</v>
      </c>
      <c r="M331" s="63">
        <v>45977</v>
      </c>
      <c r="Q33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\\192.168.1.50\3勝一\SE-37(彰濱)\01.工程圖面\01.ISO\ISO\26.(UG)WW-18031-S1P4U-01.pdf</v>
      </c>
      <c r="R331" s="14"/>
      <c r="S331" s="14">
        <v>1</v>
      </c>
    </row>
    <row r="332" spans="1:19" ht="20.25" hidden="1" customHeight="1">
      <c r="A332" s="14">
        <v>26</v>
      </c>
      <c r="B332" s="17" t="s">
        <v>138</v>
      </c>
      <c r="C332" s="49" t="s">
        <v>85</v>
      </c>
      <c r="D332" s="73">
        <v>5</v>
      </c>
      <c r="E332" s="14">
        <v>6</v>
      </c>
      <c r="F332" s="21">
        <f>IF(E332&lt;&gt;"",IF(Weld_list[[#This Row],[尺寸]]&lt;1,1,E332),"")</f>
        <v>6</v>
      </c>
      <c r="G332" s="14" t="s">
        <v>92</v>
      </c>
      <c r="H332" s="14">
        <v>304</v>
      </c>
      <c r="I332" s="14" t="s">
        <v>76</v>
      </c>
      <c r="J332" s="14" t="s">
        <v>95</v>
      </c>
      <c r="K332" s="63">
        <v>45974</v>
      </c>
      <c r="L332" s="14" t="s">
        <v>270</v>
      </c>
      <c r="M332" s="63">
        <v>45977</v>
      </c>
      <c r="Q33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\\192.168.1.50\3勝一\SE-37(彰濱)\01.工程圖面\01.ISO\ISO\26.(UG)WW-18031-S1P4U-01.pdf</v>
      </c>
      <c r="R332" s="14"/>
      <c r="S332" s="14">
        <v>1</v>
      </c>
    </row>
    <row r="333" spans="1:19" ht="20.25" hidden="1" customHeight="1">
      <c r="A333" s="14">
        <v>27</v>
      </c>
      <c r="B333" s="17" t="s">
        <v>139</v>
      </c>
      <c r="C333" s="49" t="s">
        <v>85</v>
      </c>
      <c r="D333" s="73">
        <v>1</v>
      </c>
      <c r="E333" s="14">
        <v>4</v>
      </c>
      <c r="F333" s="21">
        <f>IF(E333&lt;&gt;"",IF(Weld_list[[#This Row],[尺寸]]&lt;1,1,E333),"")</f>
        <v>4</v>
      </c>
      <c r="G333" s="14" t="s">
        <v>92</v>
      </c>
      <c r="H333" s="14">
        <v>304</v>
      </c>
      <c r="I333" s="14" t="s">
        <v>76</v>
      </c>
      <c r="J333" s="14" t="s">
        <v>95</v>
      </c>
      <c r="K333" s="63">
        <v>45974</v>
      </c>
      <c r="L333" s="14" t="s">
        <v>270</v>
      </c>
      <c r="M333" s="63">
        <v>45977</v>
      </c>
      <c r="Q33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33" s="14"/>
      <c r="S333" s="14">
        <v>1</v>
      </c>
    </row>
    <row r="334" spans="1:19" ht="20.25" hidden="1" customHeight="1">
      <c r="A334" s="14">
        <v>27</v>
      </c>
      <c r="B334" s="17" t="s">
        <v>139</v>
      </c>
      <c r="C334" s="49" t="s">
        <v>85</v>
      </c>
      <c r="D334" s="14">
        <v>2</v>
      </c>
      <c r="E334" s="14">
        <v>4</v>
      </c>
      <c r="F334" s="21">
        <f>IF(E334&lt;&gt;"",IF(Weld_list[[#This Row],[尺寸]]&lt;1,1,E334),"")</f>
        <v>4</v>
      </c>
      <c r="G334" s="14" t="s">
        <v>92</v>
      </c>
      <c r="H334" s="14">
        <v>304</v>
      </c>
      <c r="I334" s="14" t="s">
        <v>76</v>
      </c>
      <c r="J334" s="14" t="s">
        <v>95</v>
      </c>
      <c r="K334" s="14" t="str">
        <f>IFERROR(TEXT(_xlfn.XLOOKUP(_xlfn.CONCAT(Weld_list[[#This Row],[流水號]],"_",Weld_list[[#This Row],[銲口編號]]),焊口登報表!D:D,焊口登報表!C:C,,0),"yyyy/mm/dd"),"")</f>
        <v>2025/08/25</v>
      </c>
      <c r="L334" s="14" t="s">
        <v>270</v>
      </c>
      <c r="M334" s="63">
        <v>45897</v>
      </c>
      <c r="Q33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34" s="14"/>
      <c r="S334" s="14">
        <v>1</v>
      </c>
    </row>
    <row r="335" spans="1:19" ht="20.25" hidden="1" customHeight="1">
      <c r="A335" s="14">
        <v>27</v>
      </c>
      <c r="B335" s="17" t="s">
        <v>139</v>
      </c>
      <c r="C335" s="49" t="s">
        <v>85</v>
      </c>
      <c r="D335" s="14">
        <v>3</v>
      </c>
      <c r="E335" s="14">
        <v>4</v>
      </c>
      <c r="F335" s="21">
        <f>IF(E335&lt;&gt;"",IF(Weld_list[[#This Row],[尺寸]]&lt;1,1,E335),"")</f>
        <v>4</v>
      </c>
      <c r="G335" s="14" t="s">
        <v>92</v>
      </c>
      <c r="H335" s="14">
        <v>304</v>
      </c>
      <c r="I335" s="14" t="s">
        <v>76</v>
      </c>
      <c r="J335" s="14" t="s">
        <v>95</v>
      </c>
      <c r="K335" s="14" t="str">
        <f>IFERROR(TEXT(_xlfn.XLOOKUP(_xlfn.CONCAT(Weld_list[[#This Row],[流水號]],"_",Weld_list[[#This Row],[銲口編號]]),焊口登報表!D:D,焊口登報表!C:C,,0),"yyyy/mm/dd"),"")</f>
        <v>2025/08/25</v>
      </c>
      <c r="L335" s="14" t="s">
        <v>270</v>
      </c>
      <c r="M335" s="63">
        <v>45897</v>
      </c>
      <c r="Q33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35" s="14"/>
      <c r="S335" s="14">
        <v>1</v>
      </c>
    </row>
    <row r="336" spans="1:19" ht="20.25" hidden="1" customHeight="1">
      <c r="A336" s="14">
        <v>27</v>
      </c>
      <c r="B336" s="17" t="s">
        <v>139</v>
      </c>
      <c r="C336" s="49" t="s">
        <v>85</v>
      </c>
      <c r="D336" s="14">
        <v>4</v>
      </c>
      <c r="E336" s="14">
        <v>4</v>
      </c>
      <c r="F336" s="21">
        <f>IF(E336&lt;&gt;"",IF(Weld_list[[#This Row],[尺寸]]&lt;1,1,E336),"")</f>
        <v>4</v>
      </c>
      <c r="G336" s="14" t="s">
        <v>92</v>
      </c>
      <c r="H336" s="14">
        <v>304</v>
      </c>
      <c r="I336" s="14" t="s">
        <v>76</v>
      </c>
      <c r="J336" s="14" t="s">
        <v>95</v>
      </c>
      <c r="K336" s="14" t="str">
        <f>IFERROR(TEXT(_xlfn.XLOOKUP(_xlfn.CONCAT(Weld_list[[#This Row],[流水號]],"_",Weld_list[[#This Row],[銲口編號]]),焊口登報表!D:D,焊口登報表!C:C,,0),"yyyy/mm/dd"),"")</f>
        <v>2025/08/25</v>
      </c>
      <c r="L336" s="14" t="s">
        <v>270</v>
      </c>
      <c r="M336" s="63">
        <v>45897</v>
      </c>
      <c r="Q33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36" s="14"/>
      <c r="S336" s="14">
        <v>1</v>
      </c>
    </row>
    <row r="337" spans="1:19" ht="20.25" hidden="1" customHeight="1">
      <c r="A337" s="14">
        <v>27</v>
      </c>
      <c r="B337" s="17" t="s">
        <v>139</v>
      </c>
      <c r="C337" s="49" t="s">
        <v>85</v>
      </c>
      <c r="D337" s="14" t="s">
        <v>134</v>
      </c>
      <c r="E337" s="14">
        <v>4</v>
      </c>
      <c r="F337" s="21">
        <f>IF(E337&lt;&gt;"",IF(Weld_list[[#This Row],[尺寸]]&lt;1,1,E337),"")</f>
        <v>4</v>
      </c>
      <c r="G337" s="14" t="s">
        <v>92</v>
      </c>
      <c r="H337" s="14">
        <v>304</v>
      </c>
      <c r="I337" s="14" t="s">
        <v>94</v>
      </c>
      <c r="J337" s="14" t="s">
        <v>90</v>
      </c>
      <c r="K337" s="14" t="str">
        <f>IFERROR(TEXT(_xlfn.XLOOKUP(_xlfn.CONCAT(Weld_list[[#This Row],[流水號]],"_",Weld_list[[#This Row],[銲口編號]]),焊口登報表!D:D,焊口登報表!C:C,,0),"yyyy/mm/dd"),"")</f>
        <v/>
      </c>
      <c r="M337" s="15" t="str">
        <f>IFERROR(TEXT(_xlfn.XLOOKUP(_xlfn.CONCAT(Weld_list[[#This Row],[流水號]],"_",Weld_list[[#This Row],[銲口編號]]),焊口登報表!F:F,焊口登報表!E:E,,0),"yyyy/mm/dd"),"")</f>
        <v/>
      </c>
      <c r="P337" s="15" t="e">
        <f>_xlfn.TEXTJOIN("-",TRUE,INDEX(_xlfn.TEXTSPLIT(B337,"-"),1),INDEX(_xlfn.TEXTSPLIT(B337,"-"),2),INDEX(_xlfn.TEXTSPLIT(B337,"-"),3),INDEX(_xlfn.TEXTSPLIT(B337,"-"),4),INDEX(_xlfn.TEXTSPLIT(B337,"-"),5))</f>
        <v>#REF!</v>
      </c>
      <c r="Q33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37" s="14" t="str">
        <f>IF(Weld_list[[#This Row],[組銲完成日期]]&lt;&gt;"","已完成","未完成")</f>
        <v>未完成</v>
      </c>
      <c r="S337" s="14">
        <v>1</v>
      </c>
    </row>
    <row r="338" spans="1:19" ht="20.25" hidden="1" customHeight="1">
      <c r="A338" s="14">
        <v>27</v>
      </c>
      <c r="B338" s="17" t="s">
        <v>139</v>
      </c>
      <c r="C338" s="49" t="s">
        <v>85</v>
      </c>
      <c r="D338" s="73">
        <v>5</v>
      </c>
      <c r="E338" s="14">
        <v>4</v>
      </c>
      <c r="F338" s="21">
        <f>IF(E338&lt;&gt;"",IF(Weld_list[[#This Row],[尺寸]]&lt;1,1,E338),"")</f>
        <v>4</v>
      </c>
      <c r="G338" s="14" t="s">
        <v>92</v>
      </c>
      <c r="H338" s="14">
        <v>304</v>
      </c>
      <c r="I338" s="14" t="s">
        <v>76</v>
      </c>
      <c r="J338" s="14" t="s">
        <v>95</v>
      </c>
      <c r="K338" s="63">
        <v>45974</v>
      </c>
      <c r="L338" s="14" t="s">
        <v>270</v>
      </c>
      <c r="M338" s="63">
        <v>45977</v>
      </c>
      <c r="Q33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38" s="14"/>
      <c r="S338" s="14">
        <v>1</v>
      </c>
    </row>
    <row r="339" spans="1:19" ht="20.25" hidden="1" customHeight="1">
      <c r="A339" s="14">
        <v>27</v>
      </c>
      <c r="B339" s="17" t="s">
        <v>139</v>
      </c>
      <c r="C339" s="49" t="s">
        <v>85</v>
      </c>
      <c r="D339" s="73">
        <v>6</v>
      </c>
      <c r="E339" s="14">
        <v>4</v>
      </c>
      <c r="F339" s="21">
        <f>IF(E339&lt;&gt;"",IF(Weld_list[[#This Row],[尺寸]]&lt;1,1,E339),"")</f>
        <v>4</v>
      </c>
      <c r="G339" s="14" t="s">
        <v>92</v>
      </c>
      <c r="H339" s="14">
        <v>304</v>
      </c>
      <c r="I339" s="14" t="s">
        <v>76</v>
      </c>
      <c r="J339" s="14" t="s">
        <v>95</v>
      </c>
      <c r="K339" s="63">
        <v>45974</v>
      </c>
      <c r="L339" s="14" t="s">
        <v>270</v>
      </c>
      <c r="M339" s="63">
        <v>45977</v>
      </c>
      <c r="Q33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39" s="14"/>
      <c r="S339" s="14">
        <v>1</v>
      </c>
    </row>
    <row r="340" spans="1:19" ht="20.25" hidden="1" customHeight="1">
      <c r="A340" s="14">
        <v>27</v>
      </c>
      <c r="B340" s="17" t="s">
        <v>139</v>
      </c>
      <c r="C340" s="49" t="s">
        <v>85</v>
      </c>
      <c r="D340" s="14">
        <v>7</v>
      </c>
      <c r="E340" s="14">
        <v>4</v>
      </c>
      <c r="F340" s="21">
        <f>IF(E340&lt;&gt;"",IF(Weld_list[[#This Row],[尺寸]]&lt;1,1,E340),"")</f>
        <v>4</v>
      </c>
      <c r="G340" s="14" t="s">
        <v>92</v>
      </c>
      <c r="H340" s="14">
        <v>304</v>
      </c>
      <c r="I340" s="14" t="s">
        <v>76</v>
      </c>
      <c r="J340" s="14" t="s">
        <v>95</v>
      </c>
      <c r="K340" s="14" t="str">
        <f>IFERROR(TEXT(_xlfn.XLOOKUP(_xlfn.CONCAT(Weld_list[[#This Row],[流水號]],"_",Weld_list[[#This Row],[銲口編號]]),焊口登報表!D:D,焊口登報表!C:C,,0),"yyyy/mm/dd"),"")</f>
        <v>2025/08/25</v>
      </c>
      <c r="L340" s="14" t="s">
        <v>270</v>
      </c>
      <c r="M340" s="63">
        <v>45897</v>
      </c>
      <c r="Q34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40" s="14"/>
      <c r="S340" s="14">
        <v>1</v>
      </c>
    </row>
    <row r="341" spans="1:19" ht="20.25" hidden="1" customHeight="1">
      <c r="A341" s="14">
        <v>27</v>
      </c>
      <c r="B341" s="17" t="s">
        <v>139</v>
      </c>
      <c r="C341" s="49" t="s">
        <v>85</v>
      </c>
      <c r="D341" s="14">
        <v>8</v>
      </c>
      <c r="E341" s="14">
        <v>4</v>
      </c>
      <c r="F341" s="21">
        <f>IF(E341&lt;&gt;"",IF(Weld_list[[#This Row],[尺寸]]&lt;1,1,E341),"")</f>
        <v>4</v>
      </c>
      <c r="G341" s="14" t="s">
        <v>92</v>
      </c>
      <c r="H341" s="14">
        <v>304</v>
      </c>
      <c r="I341" s="14" t="s">
        <v>76</v>
      </c>
      <c r="J341" s="14" t="s">
        <v>95</v>
      </c>
      <c r="K341" s="14" t="str">
        <f>IFERROR(TEXT(_xlfn.XLOOKUP(_xlfn.CONCAT(Weld_list[[#This Row],[流水號]],"_",Weld_list[[#This Row],[銲口編號]]),焊口登報表!D:D,焊口登報表!C:C,,0),"yyyy/mm/dd"),"")</f>
        <v>2025/08/25</v>
      </c>
      <c r="L341" s="14" t="s">
        <v>270</v>
      </c>
      <c r="M341" s="63">
        <v>45897</v>
      </c>
      <c r="Q34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41" s="14"/>
      <c r="S341" s="14">
        <v>1</v>
      </c>
    </row>
    <row r="342" spans="1:19" ht="20.25" hidden="1" customHeight="1">
      <c r="A342" s="14">
        <v>27</v>
      </c>
      <c r="B342" s="17" t="s">
        <v>139</v>
      </c>
      <c r="C342" s="49" t="s">
        <v>85</v>
      </c>
      <c r="D342" s="14">
        <v>9</v>
      </c>
      <c r="E342" s="14">
        <v>4</v>
      </c>
      <c r="F342" s="21">
        <f>IF(E342&lt;&gt;"",IF(Weld_list[[#This Row],[尺寸]]&lt;1,1,E342),"")</f>
        <v>4</v>
      </c>
      <c r="G342" s="14" t="s">
        <v>92</v>
      </c>
      <c r="H342" s="14">
        <v>304</v>
      </c>
      <c r="I342" s="14" t="s">
        <v>76</v>
      </c>
      <c r="J342" s="14" t="s">
        <v>95</v>
      </c>
      <c r="K342" s="14" t="str">
        <f>IFERROR(TEXT(_xlfn.XLOOKUP(_xlfn.CONCAT(Weld_list[[#This Row],[流水號]],"_",Weld_list[[#This Row],[銲口編號]]),焊口登報表!D:D,焊口登報表!C:C,,0),"yyyy/mm/dd"),"")</f>
        <v>2025/08/25</v>
      </c>
      <c r="L342" s="14" t="s">
        <v>270</v>
      </c>
      <c r="M342" s="63">
        <v>45897</v>
      </c>
      <c r="Q34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42" s="14"/>
      <c r="S342" s="14">
        <v>1</v>
      </c>
    </row>
    <row r="343" spans="1:19" ht="20.25" hidden="1" customHeight="1">
      <c r="A343" s="14">
        <v>27</v>
      </c>
      <c r="B343" s="17" t="s">
        <v>139</v>
      </c>
      <c r="C343" s="49" t="s">
        <v>85</v>
      </c>
      <c r="D343" s="73">
        <v>10</v>
      </c>
      <c r="E343" s="14">
        <v>4</v>
      </c>
      <c r="F343" s="21">
        <f>IF(E343&lt;&gt;"",IF(Weld_list[[#This Row],[尺寸]]&lt;1,1,E343),"")</f>
        <v>4</v>
      </c>
      <c r="G343" s="14" t="s">
        <v>92</v>
      </c>
      <c r="H343" s="14">
        <v>304</v>
      </c>
      <c r="I343" s="14" t="s">
        <v>76</v>
      </c>
      <c r="J343" s="14" t="s">
        <v>95</v>
      </c>
      <c r="K343" s="63">
        <v>45974</v>
      </c>
      <c r="L343" s="14" t="s">
        <v>270</v>
      </c>
      <c r="M343" s="63">
        <v>45977</v>
      </c>
      <c r="Q34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\\192.168.1.50\3勝一\SE-37(彰濱)\01.工程圖面\01.ISO\ISO\27.(UG)WW-18032-S1P4U-01.pdf</v>
      </c>
      <c r="R343" s="14"/>
      <c r="S343" s="14">
        <v>1</v>
      </c>
    </row>
    <row r="344" spans="1:19" ht="20.25" hidden="1" customHeight="1">
      <c r="A344" s="14">
        <v>28</v>
      </c>
      <c r="B344" s="17" t="s">
        <v>140</v>
      </c>
      <c r="C344" s="49" t="s">
        <v>85</v>
      </c>
      <c r="D344" s="73">
        <v>1</v>
      </c>
      <c r="E344" s="14">
        <v>4</v>
      </c>
      <c r="F344" s="21">
        <f>IF(E344&lt;&gt;"",IF(Weld_list[[#This Row],[尺寸]]&lt;1,1,E344),"")</f>
        <v>4</v>
      </c>
      <c r="G344" s="14" t="s">
        <v>92</v>
      </c>
      <c r="H344" s="14">
        <v>304</v>
      </c>
      <c r="I344" s="14" t="s">
        <v>76</v>
      </c>
      <c r="J344" s="14" t="s">
        <v>95</v>
      </c>
      <c r="K344" s="63">
        <v>45974</v>
      </c>
      <c r="L344" s="14" t="s">
        <v>270</v>
      </c>
      <c r="M344" s="63">
        <v>45977</v>
      </c>
      <c r="Q34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\\192.168.1.50\3勝一\SE-37(彰濱)\01.工程圖面\01.ISO\ISO\28.(UG)WW-18033-S1P4U-01.pdf</v>
      </c>
      <c r="R344" s="14"/>
      <c r="S344" s="14">
        <v>1</v>
      </c>
    </row>
    <row r="345" spans="1:19" ht="20.25" hidden="1" customHeight="1">
      <c r="A345" s="14">
        <v>28</v>
      </c>
      <c r="B345" s="17" t="s">
        <v>140</v>
      </c>
      <c r="C345" s="49" t="s">
        <v>85</v>
      </c>
      <c r="D345" s="14">
        <v>2</v>
      </c>
      <c r="E345" s="14">
        <v>4</v>
      </c>
      <c r="F345" s="21">
        <f>IF(E345&lt;&gt;"",IF(Weld_list[[#This Row],[尺寸]]&lt;1,1,E345),"")</f>
        <v>4</v>
      </c>
      <c r="G345" s="14" t="s">
        <v>92</v>
      </c>
      <c r="H345" s="14">
        <v>304</v>
      </c>
      <c r="I345" s="14" t="s">
        <v>76</v>
      </c>
      <c r="J345" s="14" t="s">
        <v>95</v>
      </c>
      <c r="K345" s="14" t="str">
        <f>IFERROR(TEXT(_xlfn.XLOOKUP(_xlfn.CONCAT(Weld_list[[#This Row],[流水號]],"_",Weld_list[[#This Row],[銲口編號]]),焊口登報表!D:D,焊口登報表!C:C,,0),"yyyy/mm/dd"),"")</f>
        <v>2025/08/25</v>
      </c>
      <c r="L345" s="14" t="s">
        <v>270</v>
      </c>
      <c r="M345" s="63">
        <v>45897</v>
      </c>
      <c r="Q34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\\192.168.1.50\3勝一\SE-37(彰濱)\01.工程圖面\01.ISO\ISO\28.(UG)WW-18033-S1P4U-01.pdf</v>
      </c>
      <c r="R345" s="14"/>
      <c r="S345" s="14">
        <v>1</v>
      </c>
    </row>
    <row r="346" spans="1:19" ht="20.25" hidden="1" customHeight="1">
      <c r="A346" s="14">
        <v>28</v>
      </c>
      <c r="B346" s="17" t="s">
        <v>140</v>
      </c>
      <c r="C346" s="49" t="s">
        <v>85</v>
      </c>
      <c r="D346" s="73">
        <v>3</v>
      </c>
      <c r="E346" s="14">
        <v>4</v>
      </c>
      <c r="F346" s="21">
        <f>IF(E346&lt;&gt;"",IF(Weld_list[[#This Row],[尺寸]]&lt;1,1,E346),"")</f>
        <v>4</v>
      </c>
      <c r="G346" s="14" t="s">
        <v>92</v>
      </c>
      <c r="H346" s="14">
        <v>304</v>
      </c>
      <c r="I346" s="14" t="s">
        <v>76</v>
      </c>
      <c r="J346" s="14" t="s">
        <v>95</v>
      </c>
      <c r="K346" s="63">
        <v>45974</v>
      </c>
      <c r="L346" s="14" t="s">
        <v>270</v>
      </c>
      <c r="M346" s="63">
        <v>45977</v>
      </c>
      <c r="Q34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\\192.168.1.50\3勝一\SE-37(彰濱)\01.工程圖面\01.ISO\ISO\28.(UG)WW-18033-S1P4U-01.pdf</v>
      </c>
      <c r="R346" s="14"/>
      <c r="S346" s="14">
        <v>1</v>
      </c>
    </row>
    <row r="347" spans="1:19" ht="20.25" hidden="1" customHeight="1">
      <c r="A347" s="14">
        <v>28</v>
      </c>
      <c r="B347" s="17" t="s">
        <v>140</v>
      </c>
      <c r="C347" s="49" t="s">
        <v>85</v>
      </c>
      <c r="D347" s="14">
        <v>4</v>
      </c>
      <c r="E347" s="14">
        <v>4</v>
      </c>
      <c r="F347" s="21">
        <f>IF(E347&lt;&gt;"",IF(Weld_list[[#This Row],[尺寸]]&lt;1,1,E347),"")</f>
        <v>4</v>
      </c>
      <c r="G347" s="14" t="s">
        <v>92</v>
      </c>
      <c r="H347" s="14">
        <v>304</v>
      </c>
      <c r="I347" s="14" t="s">
        <v>76</v>
      </c>
      <c r="J347" s="14" t="s">
        <v>95</v>
      </c>
      <c r="K347" s="14" t="str">
        <f>IFERROR(TEXT(_xlfn.XLOOKUP(_xlfn.CONCAT(Weld_list[[#This Row],[流水號]],"_",Weld_list[[#This Row],[銲口編號]]),焊口登報表!D:D,焊口登報表!C:C,,0),"yyyy/mm/dd"),"")</f>
        <v>2025/08/25</v>
      </c>
      <c r="L347" s="14" t="s">
        <v>270</v>
      </c>
      <c r="M347" s="63">
        <v>45897</v>
      </c>
      <c r="Q34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\\192.168.1.50\3勝一\SE-37(彰濱)\01.工程圖面\01.ISO\ISO\28.(UG)WW-18033-S1P4U-01.pdf</v>
      </c>
      <c r="R347" s="14"/>
      <c r="S347" s="14">
        <v>1</v>
      </c>
    </row>
    <row r="348" spans="1:19" ht="20.25" hidden="1" customHeight="1">
      <c r="A348" s="14">
        <v>28</v>
      </c>
      <c r="B348" s="17" t="s">
        <v>140</v>
      </c>
      <c r="C348" s="49" t="s">
        <v>85</v>
      </c>
      <c r="D348" s="73">
        <v>5</v>
      </c>
      <c r="E348" s="14">
        <v>4</v>
      </c>
      <c r="F348" s="21">
        <f>IF(E348&lt;&gt;"",IF(Weld_list[[#This Row],[尺寸]]&lt;1,1,E348),"")</f>
        <v>4</v>
      </c>
      <c r="G348" s="14" t="s">
        <v>92</v>
      </c>
      <c r="H348" s="14">
        <v>304</v>
      </c>
      <c r="I348" s="14" t="s">
        <v>76</v>
      </c>
      <c r="J348" s="14" t="s">
        <v>95</v>
      </c>
      <c r="K348" s="63">
        <v>45974</v>
      </c>
      <c r="L348" s="14" t="s">
        <v>270</v>
      </c>
      <c r="M348" s="63">
        <v>45977</v>
      </c>
      <c r="Q348" s="18" t="str">
        <f>HYPERLINK(_xlfn.CONCAT("\\192.168.1.50\3勝一\SE-37(彰濱)\01.工程圖面\01.ISO\ISO\",Weld_list[[#This Row],[流水號]],".",Weld_list[[#This Row],[DWG NO]],".pdf"))</f>
        <v>\\192.168.1.50\3勝一\SE-37(彰濱)\01.工程圖面\01.ISO\ISO\28.(UG)WW-18033-S1P4U-01.pdf</v>
      </c>
      <c r="R348" s="14"/>
      <c r="S348" s="14">
        <v>1</v>
      </c>
    </row>
    <row r="349" spans="1:19" ht="20.25" hidden="1" customHeight="1">
      <c r="A349" s="14">
        <v>29</v>
      </c>
      <c r="B349" s="17" t="s">
        <v>141</v>
      </c>
      <c r="C349" s="49" t="s">
        <v>85</v>
      </c>
      <c r="D349" s="14">
        <v>1</v>
      </c>
      <c r="E349" s="14">
        <v>4</v>
      </c>
      <c r="F349" s="21">
        <f>IF(E349&lt;&gt;"",IF(Weld_list[[#This Row],[尺寸]]&lt;1,1,E349),"")</f>
        <v>4</v>
      </c>
      <c r="G349" s="14" t="s">
        <v>92</v>
      </c>
      <c r="H349" s="14">
        <v>304</v>
      </c>
      <c r="I349" s="14" t="s">
        <v>76</v>
      </c>
      <c r="J349" s="14" t="s">
        <v>95</v>
      </c>
      <c r="K349" s="14" t="str">
        <f>IFERROR(TEXT(_xlfn.XLOOKUP(_xlfn.CONCAT(Weld_list[[#This Row],[流水號]],"_",Weld_list[[#This Row],[銲口編號]]),焊口登報表!D:D,焊口登報表!C:C,,0),"yyyy/mm/dd"),"")</f>
        <v/>
      </c>
      <c r="L349" s="14" t="s">
        <v>270</v>
      </c>
      <c r="M349" s="15" t="str">
        <f>IFERROR(TEXT(_xlfn.XLOOKUP(_xlfn.CONCAT(Weld_list[[#This Row],[流水號]],"_",Weld_list[[#This Row],[銲口編號]]),焊口登報表!F:F,焊口登報表!E:E,,0),"yyyy/mm/dd"),"")</f>
        <v/>
      </c>
      <c r="Q349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49" s="14"/>
      <c r="S349" s="14">
        <v>1</v>
      </c>
    </row>
    <row r="350" spans="1:19" ht="20.25" hidden="1" customHeight="1">
      <c r="A350" s="14">
        <v>29</v>
      </c>
      <c r="B350" s="17" t="s">
        <v>141</v>
      </c>
      <c r="C350" s="49" t="s">
        <v>85</v>
      </c>
      <c r="D350" s="14">
        <v>2</v>
      </c>
      <c r="E350" s="14">
        <v>4</v>
      </c>
      <c r="F350" s="21">
        <f>IF(E350&lt;&gt;"",IF(Weld_list[[#This Row],[尺寸]]&lt;1,1,E350),"")</f>
        <v>4</v>
      </c>
      <c r="G350" s="14" t="s">
        <v>92</v>
      </c>
      <c r="H350" s="14">
        <v>304</v>
      </c>
      <c r="I350" s="14" t="s">
        <v>76</v>
      </c>
      <c r="J350" s="14" t="s">
        <v>95</v>
      </c>
      <c r="K350" s="14" t="str">
        <f>IFERROR(TEXT(_xlfn.XLOOKUP(_xlfn.CONCAT(Weld_list[[#This Row],[流水號]],"_",Weld_list[[#This Row],[銲口編號]]),焊口登報表!D:D,焊口登報表!C:C,,0),"yyyy/mm/dd"),"")</f>
        <v>2025/08/25</v>
      </c>
      <c r="L350" s="14" t="s">
        <v>270</v>
      </c>
      <c r="M350" s="63">
        <v>45897</v>
      </c>
      <c r="Q350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0" s="14"/>
      <c r="S350" s="14">
        <v>1</v>
      </c>
    </row>
    <row r="351" spans="1:19" ht="20.25" hidden="1" customHeight="1">
      <c r="A351" s="14">
        <v>29</v>
      </c>
      <c r="B351" s="17" t="s">
        <v>141</v>
      </c>
      <c r="C351" s="49" t="s">
        <v>85</v>
      </c>
      <c r="D351" s="14" t="s">
        <v>137</v>
      </c>
      <c r="E351" s="14">
        <v>4</v>
      </c>
      <c r="F351" s="21">
        <f>IF(E351&lt;&gt;"",IF(Weld_list[[#This Row],[尺寸]]&lt;1,1,E351),"")</f>
        <v>4</v>
      </c>
      <c r="G351" s="14" t="s">
        <v>92</v>
      </c>
      <c r="H351" s="14">
        <v>304</v>
      </c>
      <c r="I351" s="14" t="s">
        <v>94</v>
      </c>
      <c r="J351" s="14" t="s">
        <v>90</v>
      </c>
      <c r="K351" s="14" t="str">
        <f>IFERROR(TEXT(_xlfn.XLOOKUP(_xlfn.CONCAT(Weld_list[[#This Row],[流水號]],"_",Weld_list[[#This Row],[銲口編號]]),焊口登報表!D:D,焊口登報表!C:C,,0),"yyyy/mm/dd"),"")</f>
        <v/>
      </c>
      <c r="M351" s="15" t="str">
        <f>IFERROR(TEXT(_xlfn.XLOOKUP(_xlfn.CONCAT(Weld_list[[#This Row],[流水號]],"_",Weld_list[[#This Row],[銲口編號]]),焊口登報表!F:F,焊口登報表!E:E,,0),"yyyy/mm/dd"),"")</f>
        <v/>
      </c>
      <c r="P351" s="15" t="e">
        <f>_xlfn.TEXTJOIN("-",TRUE,INDEX(_xlfn.TEXTSPLIT(B351,"-"),1),INDEX(_xlfn.TEXTSPLIT(B351,"-"),2),INDEX(_xlfn.TEXTSPLIT(B351,"-"),3),INDEX(_xlfn.TEXTSPLIT(B351,"-"),4),INDEX(_xlfn.TEXTSPLIT(B351,"-"),5))</f>
        <v>#REF!</v>
      </c>
      <c r="Q351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1" s="14" t="str">
        <f>IF(Weld_list[[#This Row],[組銲完成日期]]&lt;&gt;"","已完成","未完成")</f>
        <v>未完成</v>
      </c>
      <c r="S351" s="14">
        <v>1</v>
      </c>
    </row>
    <row r="352" spans="1:19" ht="20.25" hidden="1" customHeight="1">
      <c r="A352" s="14">
        <v>29</v>
      </c>
      <c r="B352" s="17" t="s">
        <v>141</v>
      </c>
      <c r="C352" s="49" t="s">
        <v>85</v>
      </c>
      <c r="D352" s="14">
        <v>3</v>
      </c>
      <c r="E352" s="14">
        <v>4</v>
      </c>
      <c r="F352" s="21">
        <f>IF(E352&lt;&gt;"",IF(Weld_list[[#This Row],[尺寸]]&lt;1,1,E352),"")</f>
        <v>4</v>
      </c>
      <c r="G352" s="14" t="s">
        <v>92</v>
      </c>
      <c r="H352" s="14">
        <v>304</v>
      </c>
      <c r="I352" s="14" t="s">
        <v>76</v>
      </c>
      <c r="J352" s="14" t="s">
        <v>95</v>
      </c>
      <c r="K352" s="14" t="str">
        <f>IFERROR(TEXT(_xlfn.XLOOKUP(_xlfn.CONCAT(Weld_list[[#This Row],[流水號]],"_",Weld_list[[#This Row],[銲口編號]]),焊口登報表!D:D,焊口登報表!C:C,,0),"yyyy/mm/dd"),"")</f>
        <v/>
      </c>
      <c r="L352" s="14" t="s">
        <v>270</v>
      </c>
      <c r="M352" s="15" t="str">
        <f>IFERROR(TEXT(_xlfn.XLOOKUP(_xlfn.CONCAT(Weld_list[[#This Row],[流水號]],"_",Weld_list[[#This Row],[銲口編號]]),焊口登報表!F:F,焊口登報表!E:E,,0),"yyyy/mm/dd"),"")</f>
        <v/>
      </c>
      <c r="Q352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2" s="14"/>
      <c r="S352" s="14">
        <v>1</v>
      </c>
    </row>
    <row r="353" spans="1:19" ht="20.25" hidden="1" customHeight="1">
      <c r="A353" s="14">
        <v>29</v>
      </c>
      <c r="B353" s="17" t="s">
        <v>141</v>
      </c>
      <c r="C353" s="49" t="s">
        <v>85</v>
      </c>
      <c r="D353" s="14">
        <v>4</v>
      </c>
      <c r="E353" s="14">
        <v>4</v>
      </c>
      <c r="F353" s="21">
        <f>IF(E353&lt;&gt;"",IF(Weld_list[[#This Row],[尺寸]]&lt;1,1,E353),"")</f>
        <v>4</v>
      </c>
      <c r="G353" s="14" t="s">
        <v>92</v>
      </c>
      <c r="H353" s="14">
        <v>304</v>
      </c>
      <c r="I353" s="14" t="s">
        <v>76</v>
      </c>
      <c r="J353" s="14" t="s">
        <v>95</v>
      </c>
      <c r="K353" s="14" t="str">
        <f>IFERROR(TEXT(_xlfn.XLOOKUP(_xlfn.CONCAT(Weld_list[[#This Row],[流水號]],"_",Weld_list[[#This Row],[銲口編號]]),焊口登報表!D:D,焊口登報表!C:C,,0),"yyyy/mm/dd"),"")</f>
        <v/>
      </c>
      <c r="L353" s="14" t="s">
        <v>270</v>
      </c>
      <c r="M353" s="15" t="str">
        <f>IFERROR(TEXT(_xlfn.XLOOKUP(_xlfn.CONCAT(Weld_list[[#This Row],[流水號]],"_",Weld_list[[#This Row],[銲口編號]]),焊口登報表!F:F,焊口登報表!E:E,,0),"yyyy/mm/dd"),"")</f>
        <v/>
      </c>
      <c r="Q353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3" s="14"/>
      <c r="S353" s="14">
        <v>1</v>
      </c>
    </row>
    <row r="354" spans="1:19" ht="20.25" hidden="1" customHeight="1">
      <c r="A354" s="14">
        <v>29</v>
      </c>
      <c r="B354" s="17" t="s">
        <v>141</v>
      </c>
      <c r="C354" s="49" t="s">
        <v>85</v>
      </c>
      <c r="D354" s="14">
        <v>5</v>
      </c>
      <c r="E354" s="14">
        <v>4</v>
      </c>
      <c r="F354" s="21">
        <f>IF(E354&lt;&gt;"",IF(Weld_list[[#This Row],[尺寸]]&lt;1,1,E354),"")</f>
        <v>4</v>
      </c>
      <c r="G354" s="14" t="s">
        <v>92</v>
      </c>
      <c r="H354" s="14">
        <v>304</v>
      </c>
      <c r="I354" s="14" t="s">
        <v>76</v>
      </c>
      <c r="J354" s="14" t="s">
        <v>95</v>
      </c>
      <c r="K354" s="14" t="str">
        <f>IFERROR(TEXT(_xlfn.XLOOKUP(_xlfn.CONCAT(Weld_list[[#This Row],[流水號]],"_",Weld_list[[#This Row],[銲口編號]]),焊口登報表!D:D,焊口登報表!C:C,,0),"yyyy/mm/dd"),"")</f>
        <v>2025/08/25</v>
      </c>
      <c r="L354" s="14" t="s">
        <v>270</v>
      </c>
      <c r="M354" s="63">
        <v>45897</v>
      </c>
      <c r="Q354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4" s="14"/>
      <c r="S354" s="14">
        <v>1</v>
      </c>
    </row>
    <row r="355" spans="1:19" ht="20.25" hidden="1" customHeight="1">
      <c r="A355" s="14">
        <v>29</v>
      </c>
      <c r="B355" s="17" t="s">
        <v>141</v>
      </c>
      <c r="C355" s="49" t="s">
        <v>85</v>
      </c>
      <c r="D355" s="14">
        <v>6</v>
      </c>
      <c r="E355" s="14">
        <v>4</v>
      </c>
      <c r="F355" s="21">
        <f>IF(E355&lt;&gt;"",IF(Weld_list[[#This Row],[尺寸]]&lt;1,1,E355),"")</f>
        <v>4</v>
      </c>
      <c r="G355" s="14" t="s">
        <v>92</v>
      </c>
      <c r="H355" s="14">
        <v>304</v>
      </c>
      <c r="I355" s="14" t="s">
        <v>76</v>
      </c>
      <c r="J355" s="14" t="s">
        <v>95</v>
      </c>
      <c r="K355" s="14" t="str">
        <f>IFERROR(TEXT(_xlfn.XLOOKUP(_xlfn.CONCAT(Weld_list[[#This Row],[流水號]],"_",Weld_list[[#This Row],[銲口編號]]),焊口登報表!D:D,焊口登報表!C:C,,0),"yyyy/mm/dd"),"")</f>
        <v>2025/08/25</v>
      </c>
      <c r="L355" s="14" t="s">
        <v>270</v>
      </c>
      <c r="M355" s="63">
        <v>45897</v>
      </c>
      <c r="Q355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5" s="14"/>
      <c r="S355" s="14">
        <v>1</v>
      </c>
    </row>
    <row r="356" spans="1:19" ht="20.25" hidden="1" customHeight="1">
      <c r="A356" s="14">
        <v>29</v>
      </c>
      <c r="B356" s="17" t="s">
        <v>141</v>
      </c>
      <c r="C356" s="49" t="s">
        <v>85</v>
      </c>
      <c r="D356" s="14">
        <v>7</v>
      </c>
      <c r="E356" s="14">
        <v>4</v>
      </c>
      <c r="F356" s="21">
        <f>IF(E356&lt;&gt;"",IF(Weld_list[[#This Row],[尺寸]]&lt;1,1,E356),"")</f>
        <v>4</v>
      </c>
      <c r="G356" s="14" t="s">
        <v>92</v>
      </c>
      <c r="H356" s="14">
        <v>304</v>
      </c>
      <c r="I356" s="14" t="s">
        <v>76</v>
      </c>
      <c r="J356" s="14" t="s">
        <v>95</v>
      </c>
      <c r="K356" s="14" t="str">
        <f>IFERROR(TEXT(_xlfn.XLOOKUP(_xlfn.CONCAT(Weld_list[[#This Row],[流水號]],"_",Weld_list[[#This Row],[銲口編號]]),焊口登報表!D:D,焊口登報表!C:C,,0),"yyyy/mm/dd"),"")</f>
        <v/>
      </c>
      <c r="L356" s="14" t="s">
        <v>270</v>
      </c>
      <c r="M356" s="15" t="str">
        <f>IFERROR(TEXT(_xlfn.XLOOKUP(_xlfn.CONCAT(Weld_list[[#This Row],[流水號]],"_",Weld_list[[#This Row],[銲口編號]]),焊口登報表!F:F,焊口登報表!E:E,,0),"yyyy/mm/dd"),"")</f>
        <v/>
      </c>
      <c r="Q356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6" s="14"/>
      <c r="S356" s="14">
        <v>1</v>
      </c>
    </row>
    <row r="357" spans="1:19" ht="20.25" hidden="1" customHeight="1">
      <c r="A357" s="14">
        <v>29</v>
      </c>
      <c r="B357" s="17" t="s">
        <v>141</v>
      </c>
      <c r="C357" s="49" t="s">
        <v>85</v>
      </c>
      <c r="D357" s="14">
        <v>8</v>
      </c>
      <c r="E357" s="14">
        <v>4</v>
      </c>
      <c r="F357" s="21">
        <f>IF(E357&lt;&gt;"",IF(Weld_list[[#This Row],[尺寸]]&lt;1,1,E357),"")</f>
        <v>4</v>
      </c>
      <c r="G357" s="14" t="s">
        <v>92</v>
      </c>
      <c r="H357" s="14">
        <v>304</v>
      </c>
      <c r="I357" s="14" t="s">
        <v>76</v>
      </c>
      <c r="J357" s="14" t="s">
        <v>95</v>
      </c>
      <c r="K357" s="14" t="str">
        <f>IFERROR(TEXT(_xlfn.XLOOKUP(_xlfn.CONCAT(Weld_list[[#This Row],[流水號]],"_",Weld_list[[#This Row],[銲口編號]]),焊口登報表!D:D,焊口登報表!C:C,,0),"yyyy/mm/dd"),"")</f>
        <v>2025/08/25</v>
      </c>
      <c r="L357" s="14" t="s">
        <v>270</v>
      </c>
      <c r="M357" s="63">
        <v>45897</v>
      </c>
      <c r="Q357" s="18" t="str">
        <f>HYPERLINK(_xlfn.CONCAT("\\192.168.1.50\3勝一\SE-37(彰濱)\01.工程圖面\01.ISO\ISO\",Weld_list[[#This Row],[流水號]],".",Weld_list[[#This Row],[DWG NO]],".pdf"))</f>
        <v>\\192.168.1.50\3勝一\SE-37(彰濱)\01.工程圖面\01.ISO\ISO\29.(UG)WW-18039-S1P4U-01.pdf</v>
      </c>
      <c r="R357" s="14"/>
      <c r="S357" s="14">
        <v>1</v>
      </c>
    </row>
    <row r="358" spans="1:19" ht="20.25" hidden="1" customHeight="1">
      <c r="A358" s="14">
        <v>30</v>
      </c>
      <c r="B358" s="17" t="s">
        <v>143</v>
      </c>
      <c r="C358" s="49" t="s">
        <v>87</v>
      </c>
      <c r="D358" s="14">
        <v>1</v>
      </c>
      <c r="E358" s="14">
        <v>2</v>
      </c>
      <c r="F358" s="21">
        <f>IF(E358&lt;&gt;"",IF(Weld_list[[#This Row],[尺寸]]&lt;1,1,E358),"")</f>
        <v>2</v>
      </c>
      <c r="G358" s="14" t="s">
        <v>92</v>
      </c>
      <c r="H358" s="14">
        <v>304</v>
      </c>
      <c r="I358" s="14" t="s">
        <v>76</v>
      </c>
      <c r="J358" s="14" t="s">
        <v>95</v>
      </c>
      <c r="K358" s="14" t="str">
        <f>IFERROR(TEXT(_xlfn.XLOOKUP(_xlfn.CONCAT(Weld_list[[#This Row],[流水號]],"_",Weld_list[[#This Row],[銲口編號]]),焊口登報表!D:D,焊口登報表!C:C,,0),"yyyy/mm/dd"),"")</f>
        <v>2025/08/25</v>
      </c>
      <c r="L358" s="14" t="s">
        <v>270</v>
      </c>
      <c r="M358" s="63">
        <v>45897</v>
      </c>
      <c r="Q35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58" s="14"/>
      <c r="S358" s="14">
        <v>1</v>
      </c>
    </row>
    <row r="359" spans="1:19" ht="20.25" hidden="1" customHeight="1">
      <c r="A359" s="14">
        <v>30</v>
      </c>
      <c r="B359" s="17" t="s">
        <v>143</v>
      </c>
      <c r="C359" s="49" t="s">
        <v>87</v>
      </c>
      <c r="D359" s="14">
        <v>2</v>
      </c>
      <c r="E359" s="14">
        <v>2</v>
      </c>
      <c r="F359" s="21">
        <f>IF(E359&lt;&gt;"",IF(Weld_list[[#This Row],[尺寸]]&lt;1,1,E359),"")</f>
        <v>2</v>
      </c>
      <c r="G359" s="14" t="s">
        <v>92</v>
      </c>
      <c r="H359" s="14">
        <v>304</v>
      </c>
      <c r="I359" s="14" t="s">
        <v>76</v>
      </c>
      <c r="J359" s="14" t="s">
        <v>95</v>
      </c>
      <c r="K359" s="14" t="str">
        <f>IFERROR(TEXT(_xlfn.XLOOKUP(_xlfn.CONCAT(Weld_list[[#This Row],[流水號]],"_",Weld_list[[#This Row],[銲口編號]]),焊口登報表!D:D,焊口登報表!C:C,,0),"yyyy/mm/dd"),"")</f>
        <v>2025/08/25</v>
      </c>
      <c r="L359" s="14" t="s">
        <v>270</v>
      </c>
      <c r="M359" s="63">
        <v>45897</v>
      </c>
      <c r="Q35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59" s="14"/>
      <c r="S359" s="14">
        <v>1</v>
      </c>
    </row>
    <row r="360" spans="1:19" ht="20.25" hidden="1" customHeight="1">
      <c r="A360" s="14">
        <v>30</v>
      </c>
      <c r="B360" s="17" t="s">
        <v>143</v>
      </c>
      <c r="C360" s="49" t="s">
        <v>87</v>
      </c>
      <c r="D360" s="14">
        <v>3</v>
      </c>
      <c r="E360" s="14">
        <v>1</v>
      </c>
      <c r="F360" s="21">
        <f>IF(E360&lt;&gt;"",IF(Weld_list[[#This Row],[尺寸]]&lt;1,1,E360),"")</f>
        <v>1</v>
      </c>
      <c r="G360" s="14" t="s">
        <v>92</v>
      </c>
      <c r="H360" s="14">
        <v>304</v>
      </c>
      <c r="I360" s="14" t="s">
        <v>76</v>
      </c>
      <c r="J360" s="14" t="s">
        <v>95</v>
      </c>
      <c r="K360" s="14" t="str">
        <f>IFERROR(TEXT(_xlfn.XLOOKUP(_xlfn.CONCAT(Weld_list[[#This Row],[流水號]],"_",Weld_list[[#This Row],[銲口編號]]),焊口登報表!D:D,焊口登報表!C:C,,0),"yyyy/mm/dd"),"")</f>
        <v/>
      </c>
      <c r="L360" s="14" t="s">
        <v>270</v>
      </c>
      <c r="M360" s="15" t="str">
        <f>IFERROR(TEXT(_xlfn.XLOOKUP(_xlfn.CONCAT(Weld_list[[#This Row],[流水號]],"_",Weld_list[[#This Row],[銲口編號]]),焊口登報表!F:F,焊口登報表!E:E,,0),"yyyy/mm/dd"),"")</f>
        <v/>
      </c>
      <c r="Q36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0" s="14"/>
      <c r="S360" s="14">
        <v>1</v>
      </c>
    </row>
    <row r="361" spans="1:19" ht="20.25" hidden="1" customHeight="1">
      <c r="A361" s="14">
        <v>30</v>
      </c>
      <c r="B361" s="17" t="s">
        <v>143</v>
      </c>
      <c r="C361" s="49" t="s">
        <v>87</v>
      </c>
      <c r="D361" s="14">
        <v>4</v>
      </c>
      <c r="E361" s="14">
        <v>2</v>
      </c>
      <c r="F361" s="21">
        <f>IF(E361&lt;&gt;"",IF(Weld_list[[#This Row],[尺寸]]&lt;1,1,E361),"")</f>
        <v>2</v>
      </c>
      <c r="G361" s="14" t="s">
        <v>92</v>
      </c>
      <c r="H361" s="14">
        <v>304</v>
      </c>
      <c r="I361" s="14" t="s">
        <v>76</v>
      </c>
      <c r="J361" s="14" t="s">
        <v>95</v>
      </c>
      <c r="K361" s="14" t="str">
        <f>IFERROR(TEXT(_xlfn.XLOOKUP(_xlfn.CONCAT(Weld_list[[#This Row],[流水號]],"_",Weld_list[[#This Row],[銲口編號]]),焊口登報表!D:D,焊口登報表!C:C,,0),"yyyy/mm/dd"),"")</f>
        <v>2025/08/25</v>
      </c>
      <c r="L361" s="14" t="s">
        <v>270</v>
      </c>
      <c r="M361" s="63">
        <v>45897</v>
      </c>
      <c r="Q36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1" s="14"/>
      <c r="S361" s="14">
        <v>1</v>
      </c>
    </row>
    <row r="362" spans="1:19" ht="20.25" hidden="1" customHeight="1">
      <c r="A362" s="14">
        <v>30</v>
      </c>
      <c r="B362" s="17" t="s">
        <v>143</v>
      </c>
      <c r="C362" s="49" t="s">
        <v>87</v>
      </c>
      <c r="D362" s="14">
        <v>5</v>
      </c>
      <c r="E362" s="14">
        <v>2</v>
      </c>
      <c r="F362" s="21">
        <f>IF(E362&lt;&gt;"",IF(Weld_list[[#This Row],[尺寸]]&lt;1,1,E362),"")</f>
        <v>2</v>
      </c>
      <c r="G362" s="14" t="s">
        <v>92</v>
      </c>
      <c r="H362" s="14">
        <v>304</v>
      </c>
      <c r="I362" s="14" t="s">
        <v>76</v>
      </c>
      <c r="J362" s="14" t="s">
        <v>95</v>
      </c>
      <c r="K362" s="14" t="str">
        <f>IFERROR(TEXT(_xlfn.XLOOKUP(_xlfn.CONCAT(Weld_list[[#This Row],[流水號]],"_",Weld_list[[#This Row],[銲口編號]]),焊口登報表!D:D,焊口登報表!C:C,,0),"yyyy/mm/dd"),"")</f>
        <v>2025/08/25</v>
      </c>
      <c r="L362" s="14" t="s">
        <v>270</v>
      </c>
      <c r="M362" s="63">
        <v>45897</v>
      </c>
      <c r="Q36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2" s="14"/>
      <c r="S362" s="14">
        <v>1</v>
      </c>
    </row>
    <row r="363" spans="1:19" ht="20.25" hidden="1" customHeight="1">
      <c r="A363" s="14">
        <v>30</v>
      </c>
      <c r="B363" s="17" t="s">
        <v>143</v>
      </c>
      <c r="C363" s="49" t="s">
        <v>87</v>
      </c>
      <c r="D363" s="14">
        <v>6</v>
      </c>
      <c r="E363" s="14">
        <v>2</v>
      </c>
      <c r="F363" s="21">
        <f>IF(E363&lt;&gt;"",IF(Weld_list[[#This Row],[尺寸]]&lt;1,1,E363),"")</f>
        <v>2</v>
      </c>
      <c r="G363" s="14" t="s">
        <v>92</v>
      </c>
      <c r="H363" s="14">
        <v>304</v>
      </c>
      <c r="I363" s="14" t="s">
        <v>76</v>
      </c>
      <c r="J363" s="14" t="s">
        <v>95</v>
      </c>
      <c r="K363" s="14" t="str">
        <f>IFERROR(TEXT(_xlfn.XLOOKUP(_xlfn.CONCAT(Weld_list[[#This Row],[流水號]],"_",Weld_list[[#This Row],[銲口編號]]),焊口登報表!D:D,焊口登報表!C:C,,0),"yyyy/mm/dd"),"")</f>
        <v>2025/08/25</v>
      </c>
      <c r="L363" s="14" t="s">
        <v>270</v>
      </c>
      <c r="M363" s="63">
        <v>45897</v>
      </c>
      <c r="Q36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3" s="14"/>
      <c r="S363" s="14">
        <v>1</v>
      </c>
    </row>
    <row r="364" spans="1:19" ht="20.25" hidden="1" customHeight="1">
      <c r="A364" s="14">
        <v>30</v>
      </c>
      <c r="B364" s="17" t="s">
        <v>143</v>
      </c>
      <c r="C364" s="49" t="s">
        <v>87</v>
      </c>
      <c r="D364" s="14">
        <v>7</v>
      </c>
      <c r="E364" s="14">
        <v>2</v>
      </c>
      <c r="F364" s="21">
        <f>IF(E364&lt;&gt;"",IF(Weld_list[[#This Row],[尺寸]]&lt;1,1,E364),"")</f>
        <v>2</v>
      </c>
      <c r="G364" s="14" t="s">
        <v>92</v>
      </c>
      <c r="H364" s="14">
        <v>304</v>
      </c>
      <c r="I364" s="14" t="s">
        <v>76</v>
      </c>
      <c r="J364" s="14" t="s">
        <v>95</v>
      </c>
      <c r="K364" s="14" t="str">
        <f>IFERROR(TEXT(_xlfn.XLOOKUP(_xlfn.CONCAT(Weld_list[[#This Row],[流水號]],"_",Weld_list[[#This Row],[銲口編號]]),焊口登報表!D:D,焊口登報表!C:C,,0),"yyyy/mm/dd"),"")</f>
        <v>2025/08/25</v>
      </c>
      <c r="L364" s="14" t="s">
        <v>270</v>
      </c>
      <c r="M364" s="63">
        <v>45897</v>
      </c>
      <c r="Q36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4" s="14"/>
      <c r="S364" s="14">
        <v>1</v>
      </c>
    </row>
    <row r="365" spans="1:19" ht="20.25" hidden="1" customHeight="1">
      <c r="A365" s="14">
        <v>30</v>
      </c>
      <c r="B365" s="17" t="s">
        <v>143</v>
      </c>
      <c r="C365" s="49" t="s">
        <v>87</v>
      </c>
      <c r="D365" s="14">
        <v>8</v>
      </c>
      <c r="E365" s="14">
        <v>2</v>
      </c>
      <c r="F365" s="21">
        <f>IF(E365&lt;&gt;"",IF(Weld_list[[#This Row],[尺寸]]&lt;1,1,E365),"")</f>
        <v>2</v>
      </c>
      <c r="G365" s="14" t="s">
        <v>92</v>
      </c>
      <c r="H365" s="14">
        <v>304</v>
      </c>
      <c r="I365" s="14" t="s">
        <v>76</v>
      </c>
      <c r="J365" s="14" t="s">
        <v>95</v>
      </c>
      <c r="K365" s="14" t="str">
        <f>IFERROR(TEXT(_xlfn.XLOOKUP(_xlfn.CONCAT(Weld_list[[#This Row],[流水號]],"_",Weld_list[[#This Row],[銲口編號]]),焊口登報表!D:D,焊口登報表!C:C,,0),"yyyy/mm/dd"),"")</f>
        <v>2025/08/25</v>
      </c>
      <c r="L365" s="14" t="s">
        <v>270</v>
      </c>
      <c r="M365" s="63">
        <v>45897</v>
      </c>
      <c r="Q36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5" s="14"/>
      <c r="S365" s="14">
        <v>1</v>
      </c>
    </row>
    <row r="366" spans="1:19" ht="20.25" hidden="1" customHeight="1">
      <c r="A366" s="14">
        <v>30</v>
      </c>
      <c r="B366" s="17" t="s">
        <v>143</v>
      </c>
      <c r="C366" s="49" t="s">
        <v>87</v>
      </c>
      <c r="D366" s="14" t="s">
        <v>144</v>
      </c>
      <c r="E366" s="14">
        <v>2</v>
      </c>
      <c r="F366" s="21">
        <f>IF(E366&lt;&gt;"",IF(Weld_list[[#This Row],[尺寸]]&lt;1,1,E366),"")</f>
        <v>2</v>
      </c>
      <c r="G366" s="14" t="s">
        <v>92</v>
      </c>
      <c r="H366" s="14">
        <v>304</v>
      </c>
      <c r="I366" s="14" t="s">
        <v>94</v>
      </c>
      <c r="J366" s="14" t="s">
        <v>90</v>
      </c>
      <c r="K366" s="14" t="str">
        <f>IFERROR(TEXT(_xlfn.XLOOKUP(_xlfn.CONCAT(Weld_list[[#This Row],[流水號]],"_",Weld_list[[#This Row],[銲口編號]]),焊口登報表!D:D,焊口登報表!C:C,,0),"yyyy/mm/dd"),"")</f>
        <v/>
      </c>
      <c r="M366" s="15" t="str">
        <f>IFERROR(TEXT(_xlfn.XLOOKUP(_xlfn.CONCAT(Weld_list[[#This Row],[流水號]],"_",Weld_list[[#This Row],[銲口編號]]),焊口登報表!F:F,焊口登報表!E:E,,0),"yyyy/mm/dd"),"")</f>
        <v/>
      </c>
      <c r="P366" s="15" t="e">
        <f>_xlfn.TEXTJOIN("-",TRUE,INDEX(_xlfn.TEXTSPLIT(B366,"-"),1),INDEX(_xlfn.TEXTSPLIT(B366,"-"),2),INDEX(_xlfn.TEXTSPLIT(B366,"-"),3),INDEX(_xlfn.TEXTSPLIT(B366,"-"),4),INDEX(_xlfn.TEXTSPLIT(B366,"-"),5))</f>
        <v>#REF!</v>
      </c>
      <c r="Q36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6" s="14" t="str">
        <f>IF(Weld_list[[#This Row],[組銲完成日期]]&lt;&gt;"","已完成","未完成")</f>
        <v>未完成</v>
      </c>
      <c r="S366" s="14">
        <v>1</v>
      </c>
    </row>
    <row r="367" spans="1:19" ht="20.25" hidden="1" customHeight="1">
      <c r="A367" s="14">
        <v>30</v>
      </c>
      <c r="B367" s="17" t="s">
        <v>143</v>
      </c>
      <c r="C367" s="49" t="s">
        <v>87</v>
      </c>
      <c r="D367" s="14">
        <v>9</v>
      </c>
      <c r="E367" s="14">
        <v>1</v>
      </c>
      <c r="F367" s="21">
        <f>IF(E367&lt;&gt;"",IF(Weld_list[[#This Row],[尺寸]]&lt;1,1,E367),"")</f>
        <v>1</v>
      </c>
      <c r="G367" s="14" t="s">
        <v>92</v>
      </c>
      <c r="H367" s="14">
        <v>304</v>
      </c>
      <c r="I367" s="14" t="s">
        <v>76</v>
      </c>
      <c r="J367" s="14" t="s">
        <v>95</v>
      </c>
      <c r="K367" s="14" t="str">
        <f>IFERROR(TEXT(_xlfn.XLOOKUP(_xlfn.CONCAT(Weld_list[[#This Row],[流水號]],"_",Weld_list[[#This Row],[銲口編號]]),焊口登報表!D:D,焊口登報表!C:C,,0),"yyyy/mm/dd"),"")</f>
        <v/>
      </c>
      <c r="L367" s="14" t="s">
        <v>270</v>
      </c>
      <c r="M367" s="15" t="str">
        <f>IFERROR(TEXT(_xlfn.XLOOKUP(_xlfn.CONCAT(Weld_list[[#This Row],[流水號]],"_",Weld_list[[#This Row],[銲口編號]]),焊口登報表!F:F,焊口登報表!E:E,,0),"yyyy/mm/dd"),"")</f>
        <v/>
      </c>
      <c r="Q36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7" s="14"/>
      <c r="S367" s="14">
        <v>1</v>
      </c>
    </row>
    <row r="368" spans="1:19" ht="20.25" hidden="1" customHeight="1">
      <c r="A368" s="14">
        <v>30</v>
      </c>
      <c r="B368" s="17" t="s">
        <v>143</v>
      </c>
      <c r="C368" s="49" t="s">
        <v>87</v>
      </c>
      <c r="D368" s="14">
        <v>10</v>
      </c>
      <c r="E368" s="14">
        <v>1</v>
      </c>
      <c r="F368" s="21">
        <f>IF(E368&lt;&gt;"",IF(Weld_list[[#This Row],[尺寸]]&lt;1,1,E368),"")</f>
        <v>1</v>
      </c>
      <c r="G368" s="14" t="s">
        <v>92</v>
      </c>
      <c r="H368" s="14">
        <v>304</v>
      </c>
      <c r="I368" s="14" t="s">
        <v>101</v>
      </c>
      <c r="J368" s="14" t="s">
        <v>95</v>
      </c>
      <c r="K368" s="14" t="str">
        <f>IFERROR(TEXT(_xlfn.XLOOKUP(_xlfn.CONCAT(Weld_list[[#This Row],[流水號]],"_",Weld_list[[#This Row],[銲口編號]]),焊口登報表!D:D,焊口登報表!C:C,,0),"yyyy/mm/dd"),"")</f>
        <v>2025/08/25</v>
      </c>
      <c r="L368" s="14" t="s">
        <v>275</v>
      </c>
      <c r="M368" s="63">
        <v>45897</v>
      </c>
      <c r="Q36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8" s="14"/>
      <c r="S368" s="14">
        <v>1</v>
      </c>
    </row>
    <row r="369" spans="1:19" ht="20.25" hidden="1" customHeight="1">
      <c r="A369" s="14">
        <v>30</v>
      </c>
      <c r="B369" s="17" t="s">
        <v>143</v>
      </c>
      <c r="C369" s="49" t="s">
        <v>87</v>
      </c>
      <c r="D369" s="14">
        <v>11</v>
      </c>
      <c r="E369" s="14">
        <v>1</v>
      </c>
      <c r="F369" s="21">
        <f>IF(E369&lt;&gt;"",IF(Weld_list[[#This Row],[尺寸]]&lt;1,1,E369),"")</f>
        <v>1</v>
      </c>
      <c r="G369" s="14" t="s">
        <v>92</v>
      </c>
      <c r="H369" s="14">
        <v>304</v>
      </c>
      <c r="I369" s="14" t="s">
        <v>101</v>
      </c>
      <c r="J369" s="14" t="s">
        <v>95</v>
      </c>
      <c r="K369" s="14" t="str">
        <f>IFERROR(TEXT(_xlfn.XLOOKUP(_xlfn.CONCAT(Weld_list[[#This Row],[流水號]],"_",Weld_list[[#This Row],[銲口編號]]),焊口登報表!D:D,焊口登報表!C:C,,0),"yyyy/mm/dd"),"")</f>
        <v>2025/08/25</v>
      </c>
      <c r="L369" s="14" t="s">
        <v>275</v>
      </c>
      <c r="M369" s="63">
        <v>45897</v>
      </c>
      <c r="Q36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69" s="14"/>
      <c r="S369" s="14">
        <v>1</v>
      </c>
    </row>
    <row r="370" spans="1:19" ht="20.25" hidden="1" customHeight="1">
      <c r="A370" s="14">
        <v>30</v>
      </c>
      <c r="B370" s="17" t="s">
        <v>143</v>
      </c>
      <c r="C370" s="49" t="s">
        <v>87</v>
      </c>
      <c r="D370" s="14">
        <v>12</v>
      </c>
      <c r="E370" s="14">
        <v>1</v>
      </c>
      <c r="F370" s="21">
        <f>IF(E370&lt;&gt;"",IF(Weld_list[[#This Row],[尺寸]]&lt;1,1,E370),"")</f>
        <v>1</v>
      </c>
      <c r="G370" s="14" t="s">
        <v>92</v>
      </c>
      <c r="H370" s="14">
        <v>304</v>
      </c>
      <c r="I370" s="14" t="s">
        <v>101</v>
      </c>
      <c r="J370" s="14" t="s">
        <v>95</v>
      </c>
      <c r="K370" s="14" t="str">
        <f>IFERROR(TEXT(_xlfn.XLOOKUP(_xlfn.CONCAT(Weld_list[[#This Row],[流水號]],"_",Weld_list[[#This Row],[銲口編號]]),焊口登報表!D:D,焊口登報表!C:C,,0),"yyyy/mm/dd"),"")</f>
        <v>2025/08/25</v>
      </c>
      <c r="L370" s="14" t="s">
        <v>275</v>
      </c>
      <c r="M370" s="63">
        <v>45897</v>
      </c>
      <c r="Q37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0" s="14"/>
      <c r="S370" s="14">
        <v>1</v>
      </c>
    </row>
    <row r="371" spans="1:19" ht="20.25" hidden="1" customHeight="1">
      <c r="A371" s="14">
        <v>30</v>
      </c>
      <c r="B371" s="17" t="s">
        <v>143</v>
      </c>
      <c r="C371" s="49" t="s">
        <v>87</v>
      </c>
      <c r="D371" s="14">
        <v>13</v>
      </c>
      <c r="E371" s="14">
        <v>2</v>
      </c>
      <c r="F371" s="21">
        <f>IF(E371&lt;&gt;"",IF(Weld_list[[#This Row],[尺寸]]&lt;1,1,E371),"")</f>
        <v>2</v>
      </c>
      <c r="G371" s="14" t="s">
        <v>92</v>
      </c>
      <c r="H371" s="14">
        <v>304</v>
      </c>
      <c r="I371" s="14" t="s">
        <v>76</v>
      </c>
      <c r="J371" s="14" t="s">
        <v>95</v>
      </c>
      <c r="K371" s="14" t="str">
        <f>IFERROR(TEXT(_xlfn.XLOOKUP(_xlfn.CONCAT(Weld_list[[#This Row],[流水號]],"_",Weld_list[[#This Row],[銲口編號]]),焊口登報表!D:D,焊口登報表!C:C,,0),"yyyy/mm/dd"),"")</f>
        <v>2025/08/25</v>
      </c>
      <c r="L371" s="14" t="s">
        <v>270</v>
      </c>
      <c r="M371" s="63">
        <v>45897</v>
      </c>
      <c r="Q37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1" s="14"/>
      <c r="S371" s="14">
        <v>1</v>
      </c>
    </row>
    <row r="372" spans="1:19" ht="20.25" hidden="1" customHeight="1">
      <c r="A372" s="14">
        <v>30</v>
      </c>
      <c r="B372" s="17" t="s">
        <v>143</v>
      </c>
      <c r="C372" s="49" t="s">
        <v>87</v>
      </c>
      <c r="D372" s="14">
        <v>14</v>
      </c>
      <c r="E372" s="14">
        <v>1</v>
      </c>
      <c r="F372" s="21">
        <f>IF(E372&lt;&gt;"",IF(Weld_list[[#This Row],[尺寸]]&lt;1,1,E372),"")</f>
        <v>1</v>
      </c>
      <c r="G372" s="14" t="s">
        <v>92</v>
      </c>
      <c r="H372" s="14">
        <v>304</v>
      </c>
      <c r="I372" s="14" t="s">
        <v>76</v>
      </c>
      <c r="J372" s="14" t="s">
        <v>95</v>
      </c>
      <c r="K372" s="14" t="str">
        <f>IFERROR(TEXT(_xlfn.XLOOKUP(_xlfn.CONCAT(Weld_list[[#This Row],[流水號]],"_",Weld_list[[#This Row],[銲口編號]]),焊口登報表!D:D,焊口登報表!C:C,,0),"yyyy/mm/dd"),"")</f>
        <v>2025/08/25</v>
      </c>
      <c r="L372" s="14" t="s">
        <v>270</v>
      </c>
      <c r="M372" s="63">
        <v>45897</v>
      </c>
      <c r="Q37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2" s="14"/>
      <c r="S372" s="14">
        <v>1</v>
      </c>
    </row>
    <row r="373" spans="1:19" ht="20.25" hidden="1" customHeight="1">
      <c r="A373" s="14">
        <v>30</v>
      </c>
      <c r="B373" s="17" t="s">
        <v>143</v>
      </c>
      <c r="C373" s="49" t="s">
        <v>87</v>
      </c>
      <c r="D373" s="14">
        <v>15</v>
      </c>
      <c r="E373" s="14">
        <v>1</v>
      </c>
      <c r="F373" s="21">
        <f>IF(E373&lt;&gt;"",IF(Weld_list[[#This Row],[尺寸]]&lt;1,1,E373),"")</f>
        <v>1</v>
      </c>
      <c r="G373" s="14" t="s">
        <v>92</v>
      </c>
      <c r="H373" s="14">
        <v>304</v>
      </c>
      <c r="I373" s="14" t="s">
        <v>101</v>
      </c>
      <c r="J373" s="14" t="s">
        <v>95</v>
      </c>
      <c r="K373" s="14" t="str">
        <f>IFERROR(TEXT(_xlfn.XLOOKUP(_xlfn.CONCAT(Weld_list[[#This Row],[流水號]],"_",Weld_list[[#This Row],[銲口編號]]),焊口登報表!D:D,焊口登報表!C:C,,0),"yyyy/mm/dd"),"")</f>
        <v>2025/08/25</v>
      </c>
      <c r="L373" s="14" t="s">
        <v>275</v>
      </c>
      <c r="M373" s="63">
        <v>45897</v>
      </c>
      <c r="Q37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3" s="14"/>
      <c r="S373" s="14">
        <v>1</v>
      </c>
    </row>
    <row r="374" spans="1:19" ht="20.25" hidden="1" customHeight="1">
      <c r="A374" s="14">
        <v>30</v>
      </c>
      <c r="B374" s="17" t="s">
        <v>143</v>
      </c>
      <c r="C374" s="49" t="s">
        <v>87</v>
      </c>
      <c r="D374" s="14">
        <v>16</v>
      </c>
      <c r="E374" s="14">
        <v>1</v>
      </c>
      <c r="F374" s="21">
        <f>IF(E374&lt;&gt;"",IF(Weld_list[[#This Row],[尺寸]]&lt;1,1,E374),"")</f>
        <v>1</v>
      </c>
      <c r="G374" s="14" t="s">
        <v>92</v>
      </c>
      <c r="H374" s="14">
        <v>304</v>
      </c>
      <c r="I374" s="14" t="s">
        <v>101</v>
      </c>
      <c r="J374" s="14" t="s">
        <v>95</v>
      </c>
      <c r="K374" s="14" t="str">
        <f>IFERROR(TEXT(_xlfn.XLOOKUP(_xlfn.CONCAT(Weld_list[[#This Row],[流水號]],"_",Weld_list[[#This Row],[銲口編號]]),焊口登報表!D:D,焊口登報表!C:C,,0),"yyyy/mm/dd"),"")</f>
        <v>2025/08/25</v>
      </c>
      <c r="L374" s="14" t="s">
        <v>275</v>
      </c>
      <c r="M374" s="63">
        <v>45897</v>
      </c>
      <c r="Q37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4" s="14"/>
      <c r="S374" s="14">
        <v>1</v>
      </c>
    </row>
    <row r="375" spans="1:19" ht="20.25" hidden="1" customHeight="1">
      <c r="A375" s="14">
        <v>30</v>
      </c>
      <c r="B375" s="17" t="s">
        <v>143</v>
      </c>
      <c r="C375" s="49" t="s">
        <v>87</v>
      </c>
      <c r="D375" s="14">
        <v>17</v>
      </c>
      <c r="E375" s="14">
        <v>2</v>
      </c>
      <c r="F375" s="21">
        <f>IF(E375&lt;&gt;"",IF(Weld_list[[#This Row],[尺寸]]&lt;1,1,E375),"")</f>
        <v>2</v>
      </c>
      <c r="G375" s="14" t="s">
        <v>92</v>
      </c>
      <c r="H375" s="14">
        <v>304</v>
      </c>
      <c r="I375" s="14" t="s">
        <v>76</v>
      </c>
      <c r="J375" s="14" t="s">
        <v>95</v>
      </c>
      <c r="K375" s="14" t="str">
        <f>IFERROR(TEXT(_xlfn.XLOOKUP(_xlfn.CONCAT(Weld_list[[#This Row],[流水號]],"_",Weld_list[[#This Row],[銲口編號]]),焊口登報表!D:D,焊口登報表!C:C,,0),"yyyy/mm/dd"),"")</f>
        <v>2025/08/25</v>
      </c>
      <c r="L375" s="14" t="s">
        <v>270</v>
      </c>
      <c r="M375" s="63">
        <v>45897</v>
      </c>
      <c r="Q37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5" s="14"/>
      <c r="S375" s="14">
        <v>1</v>
      </c>
    </row>
    <row r="376" spans="1:19" ht="20.25" hidden="1" customHeight="1">
      <c r="A376" s="14">
        <v>30</v>
      </c>
      <c r="B376" s="17" t="s">
        <v>143</v>
      </c>
      <c r="C376" s="49" t="s">
        <v>87</v>
      </c>
      <c r="D376" s="14" t="s">
        <v>145</v>
      </c>
      <c r="E376" s="14">
        <v>2</v>
      </c>
      <c r="F376" s="21">
        <f>IF(E376&lt;&gt;"",IF(Weld_list[[#This Row],[尺寸]]&lt;1,1,E376),"")</f>
        <v>2</v>
      </c>
      <c r="G376" s="14" t="s">
        <v>92</v>
      </c>
      <c r="H376" s="14">
        <v>304</v>
      </c>
      <c r="I376" s="14" t="s">
        <v>94</v>
      </c>
      <c r="J376" s="14" t="s">
        <v>90</v>
      </c>
      <c r="K376" s="14" t="str">
        <f>IFERROR(TEXT(_xlfn.XLOOKUP(_xlfn.CONCAT(Weld_list[[#This Row],[流水號]],"_",Weld_list[[#This Row],[銲口編號]]),焊口登報表!D:D,焊口登報表!C:C,,0),"yyyy/mm/dd"),"")</f>
        <v/>
      </c>
      <c r="M376" s="15" t="str">
        <f>IFERROR(TEXT(_xlfn.XLOOKUP(_xlfn.CONCAT(Weld_list[[#This Row],[流水號]],"_",Weld_list[[#This Row],[銲口編號]]),焊口登報表!F:F,焊口登報表!E:E,,0),"yyyy/mm/dd"),"")</f>
        <v/>
      </c>
      <c r="Q37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6" s="14"/>
      <c r="S376" s="14">
        <v>1</v>
      </c>
    </row>
    <row r="377" spans="1:19" ht="20.25" hidden="1" customHeight="1">
      <c r="A377" s="14">
        <v>30</v>
      </c>
      <c r="B377" s="17" t="s">
        <v>143</v>
      </c>
      <c r="C377" s="49" t="s">
        <v>87</v>
      </c>
      <c r="D377" s="14">
        <v>1001</v>
      </c>
      <c r="E377" s="14">
        <v>1</v>
      </c>
      <c r="F377" s="21">
        <f>IF(E377&lt;&gt;"",IF(Weld_list[[#This Row],[尺寸]]&lt;1,1,E377),"")</f>
        <v>1</v>
      </c>
      <c r="G377" s="14" t="s">
        <v>92</v>
      </c>
      <c r="H377" s="14">
        <v>304</v>
      </c>
      <c r="I377" s="14" t="s">
        <v>101</v>
      </c>
      <c r="J377" s="14" t="s">
        <v>95</v>
      </c>
      <c r="K377" s="14" t="str">
        <f>IFERROR(TEXT(_xlfn.XLOOKUP(_xlfn.CONCAT(Weld_list[[#This Row],[流水號]],"_",Weld_list[[#This Row],[銲口編號]]),焊口登報表!D:D,焊口登報表!C:C,,0),"yyyy/mm/dd"),"")</f>
        <v>2025/08/25</v>
      </c>
      <c r="L377" s="14" t="s">
        <v>275</v>
      </c>
      <c r="M377" s="63">
        <v>45897</v>
      </c>
      <c r="Q37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\\192.168.1.50\3勝一\SE-37(彰濱)\01.工程圖面\01.ISO\ISO\30.(UG)WW-18041-S1P4U-01.pdf</v>
      </c>
      <c r="R377" s="14" t="str">
        <f>IF(Weld_list[[#This Row],[組銲完成日期]]&lt;&gt;"","已完成","未完成")</f>
        <v>已完成</v>
      </c>
      <c r="S377" s="14">
        <v>1</v>
      </c>
    </row>
    <row r="378" spans="1:19" ht="20.25" hidden="1" customHeight="1">
      <c r="A378" s="14">
        <v>31</v>
      </c>
      <c r="B378" s="17" t="s">
        <v>146</v>
      </c>
      <c r="C378" s="49" t="s">
        <v>89</v>
      </c>
      <c r="D378" s="14">
        <v>18</v>
      </c>
      <c r="E378" s="14">
        <v>2</v>
      </c>
      <c r="F378" s="21">
        <f>IF(E378&lt;&gt;"",IF(Weld_list[[#This Row],[尺寸]]&lt;1,1,E378),"")</f>
        <v>2</v>
      </c>
      <c r="G378" s="14" t="s">
        <v>92</v>
      </c>
      <c r="H378" s="14">
        <v>304</v>
      </c>
      <c r="I378" s="14" t="s">
        <v>76</v>
      </c>
      <c r="J378" s="14" t="s">
        <v>95</v>
      </c>
      <c r="K378" s="14" t="str">
        <f>IFERROR(TEXT(_xlfn.XLOOKUP(_xlfn.CONCAT(Weld_list[[#This Row],[流水號]],"_",Weld_list[[#This Row],[銲口編號]]),焊口登報表!D:D,焊口登報表!C:C,,0),"yyyy/mm/dd"),"")</f>
        <v>2025/08/25</v>
      </c>
      <c r="L378" s="14" t="s">
        <v>270</v>
      </c>
      <c r="M378" s="63">
        <v>45897</v>
      </c>
      <c r="Q37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78" s="14"/>
      <c r="S378" s="14">
        <v>1</v>
      </c>
    </row>
    <row r="379" spans="1:19" ht="20.25" hidden="1" customHeight="1">
      <c r="A379" s="14">
        <v>31</v>
      </c>
      <c r="B379" s="17" t="s">
        <v>146</v>
      </c>
      <c r="C379" s="49" t="s">
        <v>89</v>
      </c>
      <c r="D379" s="14">
        <v>19</v>
      </c>
      <c r="E379" s="14">
        <v>2</v>
      </c>
      <c r="F379" s="21">
        <f>IF(E379&lt;&gt;"",IF(Weld_list[[#This Row],[尺寸]]&lt;1,1,E379),"")</f>
        <v>2</v>
      </c>
      <c r="G379" s="14" t="s">
        <v>92</v>
      </c>
      <c r="H379" s="14">
        <v>304</v>
      </c>
      <c r="I379" s="14" t="s">
        <v>76</v>
      </c>
      <c r="J379" s="14" t="s">
        <v>95</v>
      </c>
      <c r="K379" s="14" t="str">
        <f>IFERROR(TEXT(_xlfn.XLOOKUP(_xlfn.CONCAT(Weld_list[[#This Row],[流水號]],"_",Weld_list[[#This Row],[銲口編號]]),焊口登報表!D:D,焊口登報表!C:C,,0),"yyyy/mm/dd"),"")</f>
        <v>2025/08/25</v>
      </c>
      <c r="L379" s="14" t="s">
        <v>270</v>
      </c>
      <c r="M379" s="63">
        <v>45897</v>
      </c>
      <c r="Q37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79" s="14"/>
      <c r="S379" s="14">
        <v>1</v>
      </c>
    </row>
    <row r="380" spans="1:19" ht="20.25" hidden="1" customHeight="1">
      <c r="A380" s="14">
        <v>31</v>
      </c>
      <c r="B380" s="17" t="s">
        <v>146</v>
      </c>
      <c r="C380" s="49" t="s">
        <v>89</v>
      </c>
      <c r="D380" s="14">
        <v>20</v>
      </c>
      <c r="E380" s="14">
        <v>2</v>
      </c>
      <c r="F380" s="21">
        <f>IF(E380&lt;&gt;"",IF(Weld_list[[#This Row],[尺寸]]&lt;1,1,E380),"")</f>
        <v>2</v>
      </c>
      <c r="G380" s="14" t="s">
        <v>92</v>
      </c>
      <c r="H380" s="14">
        <v>304</v>
      </c>
      <c r="I380" s="14" t="s">
        <v>76</v>
      </c>
      <c r="J380" s="14" t="s">
        <v>95</v>
      </c>
      <c r="K380" s="14" t="str">
        <f>IFERROR(TEXT(_xlfn.XLOOKUP(_xlfn.CONCAT(Weld_list[[#This Row],[流水號]],"_",Weld_list[[#This Row],[銲口編號]]),焊口登報表!D:D,焊口登報表!C:C,,0),"yyyy/mm/dd"),"")</f>
        <v>2025/08/25</v>
      </c>
      <c r="L380" s="14" t="s">
        <v>270</v>
      </c>
      <c r="M380" s="63">
        <v>45897</v>
      </c>
      <c r="Q38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0" s="14"/>
      <c r="S380" s="14">
        <v>1</v>
      </c>
    </row>
    <row r="381" spans="1:19" ht="20.25" hidden="1" customHeight="1">
      <c r="A381" s="14">
        <v>31</v>
      </c>
      <c r="B381" s="17" t="s">
        <v>146</v>
      </c>
      <c r="C381" s="49" t="s">
        <v>89</v>
      </c>
      <c r="D381" s="14">
        <v>21</v>
      </c>
      <c r="E381" s="14">
        <v>2</v>
      </c>
      <c r="F381" s="21">
        <f>IF(E381&lt;&gt;"",IF(Weld_list[[#This Row],[尺寸]]&lt;1,1,E381),"")</f>
        <v>2</v>
      </c>
      <c r="G381" s="14" t="s">
        <v>92</v>
      </c>
      <c r="H381" s="14">
        <v>304</v>
      </c>
      <c r="I381" s="14" t="s">
        <v>76</v>
      </c>
      <c r="J381" s="14" t="s">
        <v>95</v>
      </c>
      <c r="K381" s="14" t="str">
        <f>IFERROR(TEXT(_xlfn.XLOOKUP(_xlfn.CONCAT(Weld_list[[#This Row],[流水號]],"_",Weld_list[[#This Row],[銲口編號]]),焊口登報表!D:D,焊口登報表!C:C,,0),"yyyy/mm/dd"),"")</f>
        <v/>
      </c>
      <c r="L381" s="14" t="s">
        <v>270</v>
      </c>
      <c r="M381" s="15" t="str">
        <f>IFERROR(TEXT(_xlfn.XLOOKUP(_xlfn.CONCAT(Weld_list[[#This Row],[流水號]],"_",Weld_list[[#This Row],[銲口編號]]),焊口登報表!F:F,焊口登報表!E:E,,0),"yyyy/mm/dd"),"")</f>
        <v/>
      </c>
      <c r="Q38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1" s="14"/>
      <c r="S381" s="14">
        <v>1</v>
      </c>
    </row>
    <row r="382" spans="1:19" ht="20.25" hidden="1" customHeight="1">
      <c r="A382" s="14">
        <v>31</v>
      </c>
      <c r="B382" s="17" t="s">
        <v>146</v>
      </c>
      <c r="C382" s="49" t="s">
        <v>89</v>
      </c>
      <c r="D382" s="14">
        <v>22</v>
      </c>
      <c r="E382" s="14">
        <v>2</v>
      </c>
      <c r="F382" s="21">
        <f>IF(E382&lt;&gt;"",IF(Weld_list[[#This Row],[尺寸]]&lt;1,1,E382),"")</f>
        <v>2</v>
      </c>
      <c r="G382" s="14" t="s">
        <v>92</v>
      </c>
      <c r="H382" s="14">
        <v>304</v>
      </c>
      <c r="I382" s="14" t="s">
        <v>76</v>
      </c>
      <c r="J382" s="14" t="s">
        <v>95</v>
      </c>
      <c r="K382" s="14" t="str">
        <f>IFERROR(TEXT(_xlfn.XLOOKUP(_xlfn.CONCAT(Weld_list[[#This Row],[流水號]],"_",Weld_list[[#This Row],[銲口編號]]),焊口登報表!D:D,焊口登報表!C:C,,0),"yyyy/mm/dd"),"")</f>
        <v/>
      </c>
      <c r="L382" s="14" t="s">
        <v>270</v>
      </c>
      <c r="M382" s="15" t="str">
        <f>IFERROR(TEXT(_xlfn.XLOOKUP(_xlfn.CONCAT(Weld_list[[#This Row],[流水號]],"_",Weld_list[[#This Row],[銲口編號]]),焊口登報表!F:F,焊口登報表!E:E,,0),"yyyy/mm/dd"),"")</f>
        <v/>
      </c>
      <c r="Q38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2" s="14"/>
      <c r="S382" s="14">
        <v>1</v>
      </c>
    </row>
    <row r="383" spans="1:19" ht="20.25" hidden="1" customHeight="1">
      <c r="A383" s="14">
        <v>31</v>
      </c>
      <c r="B383" s="17" t="s">
        <v>146</v>
      </c>
      <c r="C383" s="49" t="s">
        <v>89</v>
      </c>
      <c r="D383" s="14">
        <v>23</v>
      </c>
      <c r="E383" s="14">
        <v>2</v>
      </c>
      <c r="F383" s="21">
        <f>IF(E383&lt;&gt;"",IF(Weld_list[[#This Row],[尺寸]]&lt;1,1,E383),"")</f>
        <v>2</v>
      </c>
      <c r="G383" s="14" t="s">
        <v>92</v>
      </c>
      <c r="H383" s="14">
        <v>304</v>
      </c>
      <c r="I383" s="14" t="s">
        <v>76</v>
      </c>
      <c r="J383" s="14" t="s">
        <v>95</v>
      </c>
      <c r="K383" s="14" t="str">
        <f>IFERROR(TEXT(_xlfn.XLOOKUP(_xlfn.CONCAT(Weld_list[[#This Row],[流水號]],"_",Weld_list[[#This Row],[銲口編號]]),焊口登報表!D:D,焊口登報表!C:C,,0),"yyyy/mm/dd"),"")</f>
        <v>2025/08/25</v>
      </c>
      <c r="L383" s="14" t="s">
        <v>270</v>
      </c>
      <c r="M383" s="63">
        <v>45897</v>
      </c>
      <c r="Q38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3" s="14"/>
      <c r="S383" s="14">
        <v>1</v>
      </c>
    </row>
    <row r="384" spans="1:19" ht="20.25" hidden="1" customHeight="1">
      <c r="A384" s="14">
        <v>31</v>
      </c>
      <c r="B384" s="17" t="s">
        <v>146</v>
      </c>
      <c r="C384" s="49" t="s">
        <v>89</v>
      </c>
      <c r="D384" s="14">
        <v>24</v>
      </c>
      <c r="E384" s="14">
        <v>2</v>
      </c>
      <c r="F384" s="21">
        <f>IF(E384&lt;&gt;"",IF(Weld_list[[#This Row],[尺寸]]&lt;1,1,E384),"")</f>
        <v>2</v>
      </c>
      <c r="G384" s="14" t="s">
        <v>92</v>
      </c>
      <c r="H384" s="14">
        <v>304</v>
      </c>
      <c r="I384" s="14" t="s">
        <v>76</v>
      </c>
      <c r="J384" s="14" t="s">
        <v>95</v>
      </c>
      <c r="K384" s="14" t="str">
        <f>IFERROR(TEXT(_xlfn.XLOOKUP(_xlfn.CONCAT(Weld_list[[#This Row],[流水號]],"_",Weld_list[[#This Row],[銲口編號]]),焊口登報表!D:D,焊口登報表!C:C,,0),"yyyy/mm/dd"),"")</f>
        <v/>
      </c>
      <c r="L384" s="14" t="s">
        <v>270</v>
      </c>
      <c r="M384" s="15" t="str">
        <f>IFERROR(TEXT(_xlfn.XLOOKUP(_xlfn.CONCAT(Weld_list[[#This Row],[流水號]],"_",Weld_list[[#This Row],[銲口編號]]),焊口登報表!F:F,焊口登報表!E:E,,0),"yyyy/mm/dd"),"")</f>
        <v/>
      </c>
      <c r="Q38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4" s="14"/>
      <c r="S384" s="14">
        <v>1</v>
      </c>
    </row>
    <row r="385" spans="1:19" ht="20.25" hidden="1" customHeight="1">
      <c r="A385" s="14">
        <v>31</v>
      </c>
      <c r="B385" s="17" t="s">
        <v>146</v>
      </c>
      <c r="C385" s="49" t="s">
        <v>89</v>
      </c>
      <c r="D385" s="14">
        <v>25</v>
      </c>
      <c r="E385" s="14">
        <v>2</v>
      </c>
      <c r="F385" s="21">
        <f>IF(E385&lt;&gt;"",IF(Weld_list[[#This Row],[尺寸]]&lt;1,1,E385),"")</f>
        <v>2</v>
      </c>
      <c r="G385" s="14" t="s">
        <v>92</v>
      </c>
      <c r="H385" s="14">
        <v>304</v>
      </c>
      <c r="I385" s="14" t="s">
        <v>76</v>
      </c>
      <c r="J385" s="14" t="s">
        <v>95</v>
      </c>
      <c r="K385" s="14" t="str">
        <f>IFERROR(TEXT(_xlfn.XLOOKUP(_xlfn.CONCAT(Weld_list[[#This Row],[流水號]],"_",Weld_list[[#This Row],[銲口編號]]),焊口登報表!D:D,焊口登報表!C:C,,0),"yyyy/mm/dd"),"")</f>
        <v>2025/08/25</v>
      </c>
      <c r="L385" s="14" t="s">
        <v>270</v>
      </c>
      <c r="M385" s="63">
        <v>45897</v>
      </c>
      <c r="Q38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5" s="14"/>
      <c r="S385" s="14">
        <v>1</v>
      </c>
    </row>
    <row r="386" spans="1:19" ht="20.25" hidden="1" customHeight="1">
      <c r="A386" s="14">
        <v>31</v>
      </c>
      <c r="B386" s="17" t="s">
        <v>146</v>
      </c>
      <c r="C386" s="49" t="s">
        <v>89</v>
      </c>
      <c r="D386" s="14">
        <v>26</v>
      </c>
      <c r="E386" s="14">
        <v>2</v>
      </c>
      <c r="F386" s="21">
        <f>IF(E386&lt;&gt;"",IF(Weld_list[[#This Row],[尺寸]]&lt;1,1,E386),"")</f>
        <v>2</v>
      </c>
      <c r="G386" s="14" t="s">
        <v>92</v>
      </c>
      <c r="H386" s="14">
        <v>304</v>
      </c>
      <c r="I386" s="14" t="s">
        <v>76</v>
      </c>
      <c r="J386" s="14" t="s">
        <v>95</v>
      </c>
      <c r="K386" s="14" t="str">
        <f>IFERROR(TEXT(_xlfn.XLOOKUP(_xlfn.CONCAT(Weld_list[[#This Row],[流水號]],"_",Weld_list[[#This Row],[銲口編號]]),焊口登報表!D:D,焊口登報表!C:C,,0),"yyyy/mm/dd"),"")</f>
        <v/>
      </c>
      <c r="L386" s="14" t="s">
        <v>270</v>
      </c>
      <c r="M386" s="15" t="str">
        <f>IFERROR(TEXT(_xlfn.XLOOKUP(_xlfn.CONCAT(Weld_list[[#This Row],[流水號]],"_",Weld_list[[#This Row],[銲口編號]]),焊口登報表!F:F,焊口登報表!E:E,,0),"yyyy/mm/dd"),"")</f>
        <v/>
      </c>
      <c r="Q38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6" s="14"/>
      <c r="S386" s="14">
        <v>1</v>
      </c>
    </row>
    <row r="387" spans="1:19" ht="20.25" hidden="1" customHeight="1">
      <c r="A387" s="14">
        <v>31</v>
      </c>
      <c r="B387" s="17" t="s">
        <v>146</v>
      </c>
      <c r="C387" s="49" t="s">
        <v>89</v>
      </c>
      <c r="D387" s="14">
        <v>27</v>
      </c>
      <c r="E387" s="14">
        <v>2</v>
      </c>
      <c r="F387" s="21">
        <f>IF(E387&lt;&gt;"",IF(Weld_list[[#This Row],[尺寸]]&lt;1,1,E387),"")</f>
        <v>2</v>
      </c>
      <c r="G387" s="14" t="s">
        <v>92</v>
      </c>
      <c r="H387" s="14">
        <v>304</v>
      </c>
      <c r="I387" s="14" t="s">
        <v>76</v>
      </c>
      <c r="J387" s="14" t="s">
        <v>95</v>
      </c>
      <c r="K387" s="14" t="str">
        <f>IFERROR(TEXT(_xlfn.XLOOKUP(_xlfn.CONCAT(Weld_list[[#This Row],[流水號]],"_",Weld_list[[#This Row],[銲口編號]]),焊口登報表!D:D,焊口登報表!C:C,,0),"yyyy/mm/dd"),"")</f>
        <v>2025/08/25</v>
      </c>
      <c r="L387" s="14" t="s">
        <v>270</v>
      </c>
      <c r="M387" s="63">
        <v>45897</v>
      </c>
      <c r="Q38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7" s="14"/>
      <c r="S387" s="14">
        <v>1</v>
      </c>
    </row>
    <row r="388" spans="1:19" ht="20.25" hidden="1" customHeight="1">
      <c r="A388" s="14">
        <v>31</v>
      </c>
      <c r="B388" s="17" t="s">
        <v>146</v>
      </c>
      <c r="C388" s="49" t="s">
        <v>89</v>
      </c>
      <c r="D388" s="14">
        <v>28</v>
      </c>
      <c r="E388" s="14">
        <v>2</v>
      </c>
      <c r="F388" s="21">
        <f>IF(E388&lt;&gt;"",IF(Weld_list[[#This Row],[尺寸]]&lt;1,1,E388),"")</f>
        <v>2</v>
      </c>
      <c r="G388" s="14" t="s">
        <v>92</v>
      </c>
      <c r="H388" s="14">
        <v>304</v>
      </c>
      <c r="I388" s="14" t="s">
        <v>76</v>
      </c>
      <c r="J388" s="14" t="s">
        <v>95</v>
      </c>
      <c r="K388" s="14" t="str">
        <f>IFERROR(TEXT(_xlfn.XLOOKUP(_xlfn.CONCAT(Weld_list[[#This Row],[流水號]],"_",Weld_list[[#This Row],[銲口編號]]),焊口登報表!D:D,焊口登報表!C:C,,0),"yyyy/mm/dd"),"")</f>
        <v/>
      </c>
      <c r="L388" s="14" t="s">
        <v>270</v>
      </c>
      <c r="M388" s="15" t="str">
        <f>IFERROR(TEXT(_xlfn.XLOOKUP(_xlfn.CONCAT(Weld_list[[#This Row],[流水號]],"_",Weld_list[[#This Row],[銲口編號]]),焊口登報表!F:F,焊口登報表!E:E,,0),"yyyy/mm/dd"),"")</f>
        <v/>
      </c>
      <c r="Q38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8" s="14"/>
      <c r="S388" s="14">
        <v>1</v>
      </c>
    </row>
    <row r="389" spans="1:19" ht="20.25" hidden="1" customHeight="1">
      <c r="A389" s="14">
        <v>31</v>
      </c>
      <c r="B389" s="17" t="s">
        <v>146</v>
      </c>
      <c r="C389" s="49" t="s">
        <v>89</v>
      </c>
      <c r="D389" s="14">
        <v>29</v>
      </c>
      <c r="E389" s="14">
        <v>2</v>
      </c>
      <c r="F389" s="21">
        <f>IF(E389&lt;&gt;"",IF(Weld_list[[#This Row],[尺寸]]&lt;1,1,E389),"")</f>
        <v>2</v>
      </c>
      <c r="G389" s="14" t="s">
        <v>92</v>
      </c>
      <c r="H389" s="14">
        <v>304</v>
      </c>
      <c r="I389" s="14" t="s">
        <v>76</v>
      </c>
      <c r="J389" s="14" t="s">
        <v>95</v>
      </c>
      <c r="K389" s="14" t="str">
        <f>IFERROR(TEXT(_xlfn.XLOOKUP(_xlfn.CONCAT(Weld_list[[#This Row],[流水號]],"_",Weld_list[[#This Row],[銲口編號]]),焊口登報表!D:D,焊口登報表!C:C,,0),"yyyy/mm/dd"),"")</f>
        <v>2025/08/25</v>
      </c>
      <c r="L389" s="14" t="s">
        <v>270</v>
      </c>
      <c r="M389" s="63">
        <v>45897</v>
      </c>
      <c r="Q38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89" s="14"/>
      <c r="S389" s="14">
        <v>1</v>
      </c>
    </row>
    <row r="390" spans="1:19" ht="20.25" hidden="1" customHeight="1">
      <c r="A390" s="14">
        <v>31</v>
      </c>
      <c r="B390" s="17" t="s">
        <v>146</v>
      </c>
      <c r="C390" s="49" t="s">
        <v>89</v>
      </c>
      <c r="D390" s="14">
        <v>30</v>
      </c>
      <c r="E390" s="14">
        <v>2</v>
      </c>
      <c r="F390" s="21">
        <f>IF(E390&lt;&gt;"",IF(Weld_list[[#This Row],[尺寸]]&lt;1,1,E390),"")</f>
        <v>2</v>
      </c>
      <c r="G390" s="14" t="s">
        <v>92</v>
      </c>
      <c r="H390" s="14">
        <v>304</v>
      </c>
      <c r="I390" s="14" t="s">
        <v>76</v>
      </c>
      <c r="J390" s="14" t="s">
        <v>95</v>
      </c>
      <c r="K390" s="14" t="str">
        <f>IFERROR(TEXT(_xlfn.XLOOKUP(_xlfn.CONCAT(Weld_list[[#This Row],[流水號]],"_",Weld_list[[#This Row],[銲口編號]]),焊口登報表!D:D,焊口登報表!C:C,,0),"yyyy/mm/dd"),"")</f>
        <v>2025/08/25</v>
      </c>
      <c r="L390" s="14" t="s">
        <v>270</v>
      </c>
      <c r="M390" s="63">
        <v>45897</v>
      </c>
      <c r="Q39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0" s="14"/>
      <c r="S390" s="14">
        <v>1</v>
      </c>
    </row>
    <row r="391" spans="1:19" ht="20.25" hidden="1" customHeight="1">
      <c r="A391" s="14">
        <v>31</v>
      </c>
      <c r="B391" s="17" t="s">
        <v>146</v>
      </c>
      <c r="C391" s="49" t="s">
        <v>89</v>
      </c>
      <c r="D391" s="14">
        <v>31</v>
      </c>
      <c r="E391" s="14">
        <v>2</v>
      </c>
      <c r="F391" s="21">
        <f>IF(E391&lt;&gt;"",IF(Weld_list[[#This Row],[尺寸]]&lt;1,1,E391),"")</f>
        <v>2</v>
      </c>
      <c r="G391" s="14" t="s">
        <v>92</v>
      </c>
      <c r="H391" s="14">
        <v>304</v>
      </c>
      <c r="I391" s="14" t="s">
        <v>76</v>
      </c>
      <c r="J391" s="14" t="s">
        <v>95</v>
      </c>
      <c r="K391" s="14" t="str">
        <f>IFERROR(TEXT(_xlfn.XLOOKUP(_xlfn.CONCAT(Weld_list[[#This Row],[流水號]],"_",Weld_list[[#This Row],[銲口編號]]),焊口登報表!D:D,焊口登報表!C:C,,0),"yyyy/mm/dd"),"")</f>
        <v>2025/08/25</v>
      </c>
      <c r="L391" s="14" t="s">
        <v>270</v>
      </c>
      <c r="M391" s="63">
        <v>45897</v>
      </c>
      <c r="Q39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1" s="14"/>
      <c r="S391" s="14">
        <v>1</v>
      </c>
    </row>
    <row r="392" spans="1:19" ht="20.25" hidden="1" customHeight="1">
      <c r="A392" s="14">
        <v>31</v>
      </c>
      <c r="B392" s="17" t="s">
        <v>146</v>
      </c>
      <c r="C392" s="49" t="s">
        <v>89</v>
      </c>
      <c r="D392" s="14">
        <v>32</v>
      </c>
      <c r="E392" s="14">
        <v>2</v>
      </c>
      <c r="F392" s="21">
        <f>IF(E392&lt;&gt;"",IF(Weld_list[[#This Row],[尺寸]]&lt;1,1,E392),"")</f>
        <v>2</v>
      </c>
      <c r="G392" s="14" t="s">
        <v>92</v>
      </c>
      <c r="H392" s="14">
        <v>304</v>
      </c>
      <c r="I392" s="14" t="s">
        <v>76</v>
      </c>
      <c r="J392" s="14" t="s">
        <v>95</v>
      </c>
      <c r="K392" s="14" t="str">
        <f>IFERROR(TEXT(_xlfn.XLOOKUP(_xlfn.CONCAT(Weld_list[[#This Row],[流水號]],"_",Weld_list[[#This Row],[銲口編號]]),焊口登報表!D:D,焊口登報表!C:C,,0),"yyyy/mm/dd"),"")</f>
        <v>2025/08/25</v>
      </c>
      <c r="L392" s="14" t="s">
        <v>270</v>
      </c>
      <c r="M392" s="63">
        <v>45897</v>
      </c>
      <c r="Q39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2" s="14"/>
      <c r="S392" s="14">
        <v>1</v>
      </c>
    </row>
    <row r="393" spans="1:19" ht="20.25" hidden="1" customHeight="1">
      <c r="A393" s="14">
        <v>31</v>
      </c>
      <c r="B393" s="17" t="s">
        <v>146</v>
      </c>
      <c r="C393" s="49" t="s">
        <v>89</v>
      </c>
      <c r="D393" s="14">
        <v>33</v>
      </c>
      <c r="E393" s="14">
        <v>2</v>
      </c>
      <c r="F393" s="21">
        <f>IF(E393&lt;&gt;"",IF(Weld_list[[#This Row],[尺寸]]&lt;1,1,E393),"")</f>
        <v>2</v>
      </c>
      <c r="G393" s="14" t="s">
        <v>92</v>
      </c>
      <c r="H393" s="14">
        <v>304</v>
      </c>
      <c r="I393" s="14" t="s">
        <v>76</v>
      </c>
      <c r="J393" s="14" t="s">
        <v>95</v>
      </c>
      <c r="K393" s="14" t="str">
        <f>IFERROR(TEXT(_xlfn.XLOOKUP(_xlfn.CONCAT(Weld_list[[#This Row],[流水號]],"_",Weld_list[[#This Row],[銲口編號]]),焊口登報表!D:D,焊口登報表!C:C,,0),"yyyy/mm/dd"),"")</f>
        <v>2025/12/13</v>
      </c>
      <c r="L393" s="14" t="s">
        <v>270</v>
      </c>
      <c r="M393" s="15" t="str">
        <f>IFERROR(TEXT(_xlfn.XLOOKUP(_xlfn.CONCAT(Weld_list[[#This Row],[流水號]],"_",Weld_list[[#This Row],[銲口編號]]),焊口登報表!F:F,焊口登報表!E:E,,0),"yyyy/mm/dd"),"")</f>
        <v>2025/12/14</v>
      </c>
      <c r="Q39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3" s="14"/>
      <c r="S393" s="14">
        <v>1</v>
      </c>
    </row>
    <row r="394" spans="1:19" ht="20.25" hidden="1" customHeight="1">
      <c r="A394" s="14">
        <v>31</v>
      </c>
      <c r="B394" s="17" t="s">
        <v>146</v>
      </c>
      <c r="C394" s="49" t="s">
        <v>89</v>
      </c>
      <c r="D394" s="14">
        <v>34</v>
      </c>
      <c r="E394" s="14">
        <v>2</v>
      </c>
      <c r="F394" s="21">
        <f>IF(E394&lt;&gt;"",IF(Weld_list[[#This Row],[尺寸]]&lt;1,1,E394),"")</f>
        <v>2</v>
      </c>
      <c r="G394" s="14" t="s">
        <v>92</v>
      </c>
      <c r="H394" s="14">
        <v>304</v>
      </c>
      <c r="I394" s="14" t="s">
        <v>76</v>
      </c>
      <c r="J394" s="14" t="s">
        <v>95</v>
      </c>
      <c r="K394" s="14" t="str">
        <f>IFERROR(TEXT(_xlfn.XLOOKUP(_xlfn.CONCAT(Weld_list[[#This Row],[流水號]],"_",Weld_list[[#This Row],[銲口編號]]),焊口登報表!D:D,焊口登報表!C:C,,0),"yyyy/mm/dd"),"")</f>
        <v>2025/08/25</v>
      </c>
      <c r="L394" s="14" t="s">
        <v>270</v>
      </c>
      <c r="M394" s="63">
        <v>45897</v>
      </c>
      <c r="Q39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4" s="14"/>
      <c r="S394" s="14">
        <v>1</v>
      </c>
    </row>
    <row r="395" spans="1:19" ht="20.25" hidden="1" customHeight="1">
      <c r="A395" s="14">
        <v>31</v>
      </c>
      <c r="B395" s="17" t="s">
        <v>146</v>
      </c>
      <c r="C395" s="49" t="s">
        <v>89</v>
      </c>
      <c r="D395" s="14">
        <v>35</v>
      </c>
      <c r="E395" s="14">
        <v>2</v>
      </c>
      <c r="F395" s="21">
        <f>IF(E395&lt;&gt;"",IF(Weld_list[[#This Row],[尺寸]]&lt;1,1,E395),"")</f>
        <v>2</v>
      </c>
      <c r="G395" s="14" t="s">
        <v>92</v>
      </c>
      <c r="H395" s="14">
        <v>304</v>
      </c>
      <c r="I395" s="14" t="s">
        <v>76</v>
      </c>
      <c r="J395" s="14" t="s">
        <v>95</v>
      </c>
      <c r="K395" s="14" t="str">
        <f>IFERROR(TEXT(_xlfn.XLOOKUP(_xlfn.CONCAT(Weld_list[[#This Row],[流水號]],"_",Weld_list[[#This Row],[銲口編號]]),焊口登報表!D:D,焊口登報表!C:C,,0),"yyyy/mm/dd"),"")</f>
        <v>2025/08/25</v>
      </c>
      <c r="L395" s="14" t="s">
        <v>270</v>
      </c>
      <c r="M395" s="63">
        <v>45897</v>
      </c>
      <c r="Q39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5" s="14"/>
      <c r="S395" s="14">
        <v>1</v>
      </c>
    </row>
    <row r="396" spans="1:19" ht="20.25" hidden="1" customHeight="1">
      <c r="A396" s="14">
        <v>31</v>
      </c>
      <c r="B396" s="17" t="s">
        <v>146</v>
      </c>
      <c r="C396" s="49" t="s">
        <v>89</v>
      </c>
      <c r="D396" s="14">
        <v>36</v>
      </c>
      <c r="E396" s="14">
        <v>2</v>
      </c>
      <c r="F396" s="21">
        <f>IF(E396&lt;&gt;"",IF(Weld_list[[#This Row],[尺寸]]&lt;1,1,E396),"")</f>
        <v>2</v>
      </c>
      <c r="G396" s="14" t="s">
        <v>92</v>
      </c>
      <c r="H396" s="14">
        <v>304</v>
      </c>
      <c r="I396" s="14" t="s">
        <v>76</v>
      </c>
      <c r="J396" s="14" t="s">
        <v>95</v>
      </c>
      <c r="K396" s="14" t="str">
        <f>IFERROR(TEXT(_xlfn.XLOOKUP(_xlfn.CONCAT(Weld_list[[#This Row],[流水號]],"_",Weld_list[[#This Row],[銲口編號]]),焊口登報表!D:D,焊口登報表!C:C,,0),"yyyy/mm/dd"),"")</f>
        <v>2025/08/25</v>
      </c>
      <c r="L396" s="14" t="s">
        <v>270</v>
      </c>
      <c r="M396" s="63">
        <v>45897</v>
      </c>
      <c r="Q39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6" s="14"/>
      <c r="S396" s="14">
        <v>1</v>
      </c>
    </row>
    <row r="397" spans="1:19" ht="20.25" hidden="1" customHeight="1">
      <c r="A397" s="14">
        <v>31</v>
      </c>
      <c r="B397" s="17" t="s">
        <v>146</v>
      </c>
      <c r="C397" s="49" t="s">
        <v>89</v>
      </c>
      <c r="D397" s="14">
        <v>37</v>
      </c>
      <c r="E397" s="14">
        <v>2</v>
      </c>
      <c r="F397" s="21">
        <f>IF(E397&lt;&gt;"",IF(Weld_list[[#This Row],[尺寸]]&lt;1,1,E397),"")</f>
        <v>2</v>
      </c>
      <c r="G397" s="14" t="s">
        <v>92</v>
      </c>
      <c r="H397" s="14">
        <v>304</v>
      </c>
      <c r="I397" s="14" t="s">
        <v>76</v>
      </c>
      <c r="J397" s="14" t="s">
        <v>95</v>
      </c>
      <c r="K397" s="14" t="str">
        <f>IFERROR(TEXT(_xlfn.XLOOKUP(_xlfn.CONCAT(Weld_list[[#This Row],[流水號]],"_",Weld_list[[#This Row],[銲口編號]]),焊口登報表!D:D,焊口登報表!C:C,,0),"yyyy/mm/dd"),"")</f>
        <v>2025/08/25</v>
      </c>
      <c r="L397" s="14" t="s">
        <v>270</v>
      </c>
      <c r="M397" s="63">
        <v>45897</v>
      </c>
      <c r="Q39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7" s="14"/>
      <c r="S397" s="14">
        <v>1</v>
      </c>
    </row>
    <row r="398" spans="1:19" ht="20.25" hidden="1" customHeight="1">
      <c r="A398" s="14">
        <v>31</v>
      </c>
      <c r="B398" s="17" t="s">
        <v>146</v>
      </c>
      <c r="C398" s="49" t="s">
        <v>89</v>
      </c>
      <c r="D398" s="14">
        <v>38</v>
      </c>
      <c r="E398" s="14">
        <v>2</v>
      </c>
      <c r="F398" s="21">
        <f>IF(E398&lt;&gt;"",IF(Weld_list[[#This Row],[尺寸]]&lt;1,1,E398),"")</f>
        <v>2</v>
      </c>
      <c r="G398" s="14" t="s">
        <v>92</v>
      </c>
      <c r="H398" s="14">
        <v>304</v>
      </c>
      <c r="I398" s="14" t="s">
        <v>76</v>
      </c>
      <c r="J398" s="14" t="s">
        <v>95</v>
      </c>
      <c r="K398" s="14" t="str">
        <f>IFERROR(TEXT(_xlfn.XLOOKUP(_xlfn.CONCAT(Weld_list[[#This Row],[流水號]],"_",Weld_list[[#This Row],[銲口編號]]),焊口登報表!D:D,焊口登報表!C:C,,0),"yyyy/mm/dd"),"")</f>
        <v>2025/08/25</v>
      </c>
      <c r="L398" s="14" t="s">
        <v>270</v>
      </c>
      <c r="M398" s="63">
        <v>45897</v>
      </c>
      <c r="Q39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8" s="14"/>
      <c r="S398" s="14">
        <v>1</v>
      </c>
    </row>
    <row r="399" spans="1:19" ht="20.25" hidden="1" customHeight="1">
      <c r="A399" s="14">
        <v>31</v>
      </c>
      <c r="B399" s="17" t="s">
        <v>146</v>
      </c>
      <c r="C399" s="49" t="s">
        <v>89</v>
      </c>
      <c r="D399" s="14" t="s">
        <v>147</v>
      </c>
      <c r="E399" s="14">
        <v>2</v>
      </c>
      <c r="F399" s="21">
        <f>IF(E399&lt;&gt;"",IF(Weld_list[[#This Row],[尺寸]]&lt;1,1,E399),"")</f>
        <v>2</v>
      </c>
      <c r="G399" s="14" t="s">
        <v>92</v>
      </c>
      <c r="H399" s="14">
        <v>304</v>
      </c>
      <c r="I399" s="14" t="s">
        <v>94</v>
      </c>
      <c r="J399" s="14" t="s">
        <v>90</v>
      </c>
      <c r="K399" s="14" t="str">
        <f>IFERROR(TEXT(_xlfn.XLOOKUP(_xlfn.CONCAT(Weld_list[[#This Row],[流水號]],"_",Weld_list[[#This Row],[銲口編號]]),焊口登報表!D:D,焊口登報表!C:C,,0),"yyyy/mm/dd"),"")</f>
        <v/>
      </c>
      <c r="M399" s="15" t="str">
        <f>IFERROR(TEXT(_xlfn.XLOOKUP(_xlfn.CONCAT(Weld_list[[#This Row],[流水號]],"_",Weld_list[[#This Row],[銲口編號]]),焊口登報表!F:F,焊口登報表!E:E,,0),"yyyy/mm/dd"),"")</f>
        <v/>
      </c>
      <c r="Q39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\\192.168.1.50\3勝一\SE-37(彰濱)\01.工程圖面\01.ISO\ISO\31.(UG)WW-18041-S1P4U-02.pdf</v>
      </c>
      <c r="R399" s="14"/>
      <c r="S399" s="14">
        <v>1</v>
      </c>
    </row>
    <row r="400" spans="1:19" ht="20.25" hidden="1" customHeight="1">
      <c r="A400" s="14">
        <v>32</v>
      </c>
      <c r="B400" s="17" t="s">
        <v>148</v>
      </c>
      <c r="C400" s="49" t="s">
        <v>85</v>
      </c>
      <c r="D400" s="14">
        <v>1</v>
      </c>
      <c r="E400" s="14">
        <v>2</v>
      </c>
      <c r="F400" s="21">
        <f>IF(E400&lt;&gt;"",IF(Weld_list[[#This Row],[尺寸]]&lt;1,1,E400),"")</f>
        <v>2</v>
      </c>
      <c r="G400" s="14" t="s">
        <v>92</v>
      </c>
      <c r="H400" s="14">
        <v>304</v>
      </c>
      <c r="I400" s="14" t="s">
        <v>76</v>
      </c>
      <c r="J400" s="14" t="s">
        <v>95</v>
      </c>
      <c r="K400" s="14" t="str">
        <f>IFERROR(TEXT(_xlfn.XLOOKUP(_xlfn.CONCAT(Weld_list[[#This Row],[流水號]],"_",Weld_list[[#This Row],[銲口編號]]),焊口登報表!D:D,焊口登報表!C:C,,0),"yyyy/mm/dd"),"")</f>
        <v>2025/08/25</v>
      </c>
      <c r="L400" s="14" t="s">
        <v>270</v>
      </c>
      <c r="M400" s="63">
        <v>45897</v>
      </c>
      <c r="Q40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\\192.168.1.50\3勝一\SE-37(彰濱)\01.工程圖面\01.ISO\ISO\32.(UG)WW-18042-S1P4U-01.pdf</v>
      </c>
      <c r="R400" s="14"/>
      <c r="S400" s="14">
        <v>1</v>
      </c>
    </row>
    <row r="401" spans="1:19" ht="20.25" hidden="1" customHeight="1">
      <c r="A401" s="14">
        <v>32</v>
      </c>
      <c r="B401" s="17" t="s">
        <v>148</v>
      </c>
      <c r="C401" s="49" t="s">
        <v>85</v>
      </c>
      <c r="D401" s="14">
        <v>2</v>
      </c>
      <c r="E401" s="14">
        <v>2</v>
      </c>
      <c r="F401" s="21">
        <f>IF(E401&lt;&gt;"",IF(Weld_list[[#This Row],[尺寸]]&lt;1,1,E401),"")</f>
        <v>2</v>
      </c>
      <c r="G401" s="14" t="s">
        <v>92</v>
      </c>
      <c r="H401" s="14">
        <v>304</v>
      </c>
      <c r="I401" s="14" t="s">
        <v>76</v>
      </c>
      <c r="J401" s="14" t="s">
        <v>95</v>
      </c>
      <c r="K401" s="14" t="str">
        <f>IFERROR(TEXT(_xlfn.XLOOKUP(_xlfn.CONCAT(Weld_list[[#This Row],[流水號]],"_",Weld_list[[#This Row],[銲口編號]]),焊口登報表!D:D,焊口登報表!C:C,,0),"yyyy/mm/dd"),"")</f>
        <v>2025/08/25</v>
      </c>
      <c r="L401" s="14" t="s">
        <v>270</v>
      </c>
      <c r="M401" s="63">
        <v>45897</v>
      </c>
      <c r="Q40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\\192.168.1.50\3勝一\SE-37(彰濱)\01.工程圖面\01.ISO\ISO\32.(UG)WW-18042-S1P4U-01.pdf</v>
      </c>
      <c r="R401" s="14"/>
      <c r="S401" s="14">
        <v>1</v>
      </c>
    </row>
    <row r="402" spans="1:19" ht="20.25" hidden="1" customHeight="1">
      <c r="A402" s="14">
        <v>32</v>
      </c>
      <c r="B402" s="17" t="s">
        <v>148</v>
      </c>
      <c r="C402" s="49" t="s">
        <v>85</v>
      </c>
      <c r="D402" s="14">
        <v>3</v>
      </c>
      <c r="E402" s="14">
        <v>2</v>
      </c>
      <c r="F402" s="21">
        <f>IF(E402&lt;&gt;"",IF(Weld_list[[#This Row],[尺寸]]&lt;1,1,E402),"")</f>
        <v>2</v>
      </c>
      <c r="G402" s="14" t="s">
        <v>92</v>
      </c>
      <c r="H402" s="14">
        <v>304</v>
      </c>
      <c r="I402" s="14" t="s">
        <v>76</v>
      </c>
      <c r="J402" s="14" t="s">
        <v>95</v>
      </c>
      <c r="K402" s="14" t="str">
        <f>IFERROR(TEXT(_xlfn.XLOOKUP(_xlfn.CONCAT(Weld_list[[#This Row],[流水號]],"_",Weld_list[[#This Row],[銲口編號]]),焊口登報表!D:D,焊口登報表!C:C,,0),"yyyy/mm/dd"),"")</f>
        <v>2025/08/25</v>
      </c>
      <c r="L402" s="14" t="s">
        <v>270</v>
      </c>
      <c r="M402" s="63">
        <v>45897</v>
      </c>
      <c r="Q40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\\192.168.1.50\3勝一\SE-37(彰濱)\01.工程圖面\01.ISO\ISO\32.(UG)WW-18042-S1P4U-01.pdf</v>
      </c>
      <c r="R402" s="14"/>
      <c r="S402" s="14">
        <v>1</v>
      </c>
    </row>
    <row r="403" spans="1:19" ht="20.25" hidden="1" customHeight="1">
      <c r="A403" s="14">
        <v>32</v>
      </c>
      <c r="B403" s="17" t="s">
        <v>148</v>
      </c>
      <c r="C403" s="49" t="s">
        <v>85</v>
      </c>
      <c r="D403" s="14" t="s">
        <v>132</v>
      </c>
      <c r="E403" s="14">
        <v>2</v>
      </c>
      <c r="F403" s="21">
        <f>IF(E403&lt;&gt;"",IF(Weld_list[[#This Row],[尺寸]]&lt;1,1,E403),"")</f>
        <v>2</v>
      </c>
      <c r="G403" s="14" t="s">
        <v>92</v>
      </c>
      <c r="H403" s="14">
        <v>304</v>
      </c>
      <c r="I403" s="14" t="s">
        <v>94</v>
      </c>
      <c r="J403" s="14" t="s">
        <v>90</v>
      </c>
      <c r="K403" s="14" t="str">
        <f>IFERROR(TEXT(_xlfn.XLOOKUP(_xlfn.CONCAT(Weld_list[[#This Row],[流水號]],"_",Weld_list[[#This Row],[銲口編號]]),焊口登報表!D:D,焊口登報表!C:C,,0),"yyyy/mm/dd"),"")</f>
        <v/>
      </c>
      <c r="M403" s="15" t="str">
        <f>IFERROR(TEXT(_xlfn.XLOOKUP(_xlfn.CONCAT(Weld_list[[#This Row],[流水號]],"_",Weld_list[[#This Row],[銲口編號]]),焊口登報表!F:F,焊口登報表!E:E,,0),"yyyy/mm/dd"),"")</f>
        <v/>
      </c>
      <c r="P403" s="15" t="e">
        <f>_xlfn.TEXTJOIN("-",TRUE,INDEX(_xlfn.TEXTSPLIT(B403,"-"),1),INDEX(_xlfn.TEXTSPLIT(B403,"-"),2),INDEX(_xlfn.TEXTSPLIT(B403,"-"),3),INDEX(_xlfn.TEXTSPLIT(B403,"-"),4),INDEX(_xlfn.TEXTSPLIT(B403,"-"),5))</f>
        <v>#REF!</v>
      </c>
      <c r="Q40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\\192.168.1.50\3勝一\SE-37(彰濱)\01.工程圖面\01.ISO\ISO\32.(UG)WW-18042-S1P4U-01.pdf</v>
      </c>
      <c r="R403" s="14" t="str">
        <f>IF(Weld_list[[#This Row],[組銲完成日期]]&lt;&gt;"","已完成","未完成")</f>
        <v>未完成</v>
      </c>
      <c r="S403" s="14">
        <v>1</v>
      </c>
    </row>
    <row r="404" spans="1:19" ht="20.25" hidden="1" customHeight="1">
      <c r="A404" s="14">
        <v>32</v>
      </c>
      <c r="B404" s="17" t="s">
        <v>148</v>
      </c>
      <c r="C404" s="49" t="s">
        <v>85</v>
      </c>
      <c r="D404" s="14">
        <v>4</v>
      </c>
      <c r="E404" s="14">
        <v>2</v>
      </c>
      <c r="F404" s="21">
        <f>IF(E404&lt;&gt;"",IF(Weld_list[[#This Row],[尺寸]]&lt;1,1,E404),"")</f>
        <v>2</v>
      </c>
      <c r="G404" s="14" t="s">
        <v>92</v>
      </c>
      <c r="H404" s="14">
        <v>304</v>
      </c>
      <c r="I404" s="14" t="s">
        <v>76</v>
      </c>
      <c r="J404" s="14" t="s">
        <v>95</v>
      </c>
      <c r="K404" s="14" t="str">
        <f>IFERROR(TEXT(_xlfn.XLOOKUP(_xlfn.CONCAT(Weld_list[[#This Row],[流水號]],"_",Weld_list[[#This Row],[銲口編號]]),焊口登報表!D:D,焊口登報表!C:C,,0),"yyyy/mm/dd"),"")</f>
        <v>2025/08/25</v>
      </c>
      <c r="L404" s="14" t="s">
        <v>270</v>
      </c>
      <c r="M404" s="63">
        <v>45897</v>
      </c>
      <c r="Q40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\\192.168.1.50\3勝一\SE-37(彰濱)\01.工程圖面\01.ISO\ISO\32.(UG)WW-18042-S1P4U-01.pdf</v>
      </c>
      <c r="R404" s="14"/>
      <c r="S404" s="14">
        <v>1</v>
      </c>
    </row>
    <row r="405" spans="1:19" ht="20.25" hidden="1" customHeight="1">
      <c r="A405" s="14">
        <v>32</v>
      </c>
      <c r="B405" s="17" t="s">
        <v>148</v>
      </c>
      <c r="C405" s="49" t="s">
        <v>85</v>
      </c>
      <c r="D405" s="14">
        <v>5</v>
      </c>
      <c r="E405" s="14">
        <v>2</v>
      </c>
      <c r="F405" s="21">
        <f>IF(E405&lt;&gt;"",IF(Weld_list[[#This Row],[尺寸]]&lt;1,1,E405),"")</f>
        <v>2</v>
      </c>
      <c r="G405" s="14" t="s">
        <v>92</v>
      </c>
      <c r="H405" s="14">
        <v>304</v>
      </c>
      <c r="I405" s="14" t="s">
        <v>76</v>
      </c>
      <c r="J405" s="14" t="s">
        <v>95</v>
      </c>
      <c r="K405" s="14" t="str">
        <f>IFERROR(TEXT(_xlfn.XLOOKUP(_xlfn.CONCAT(Weld_list[[#This Row],[流水號]],"_",Weld_list[[#This Row],[銲口編號]]),焊口登報表!D:D,焊口登報表!C:C,,0),"yyyy/mm/dd"),"")</f>
        <v>2025/08/25</v>
      </c>
      <c r="L405" s="14" t="s">
        <v>270</v>
      </c>
      <c r="M405" s="63">
        <v>45897</v>
      </c>
      <c r="Q40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\\192.168.1.50\3勝一\SE-37(彰濱)\01.工程圖面\01.ISO\ISO\32.(UG)WW-18042-S1P4U-01.pdf</v>
      </c>
      <c r="R405" s="14"/>
      <c r="S405" s="14">
        <v>1</v>
      </c>
    </row>
    <row r="406" spans="1:19" ht="20.25" hidden="1" customHeight="1">
      <c r="A406" s="14">
        <v>32</v>
      </c>
      <c r="B406" s="17" t="s">
        <v>148</v>
      </c>
      <c r="C406" s="49" t="s">
        <v>85</v>
      </c>
      <c r="D406" s="14">
        <v>6</v>
      </c>
      <c r="E406" s="14">
        <v>2</v>
      </c>
      <c r="F406" s="21">
        <f>IF(E406&lt;&gt;"",IF(Weld_list[[#This Row],[尺寸]]&lt;1,1,E406),"")</f>
        <v>2</v>
      </c>
      <c r="G406" s="14" t="s">
        <v>92</v>
      </c>
      <c r="H406" s="14">
        <v>304</v>
      </c>
      <c r="I406" s="14" t="s">
        <v>76</v>
      </c>
      <c r="J406" s="14" t="s">
        <v>95</v>
      </c>
      <c r="K406" s="14" t="str">
        <f>IFERROR(TEXT(_xlfn.XLOOKUP(_xlfn.CONCAT(Weld_list[[#This Row],[流水號]],"_",Weld_list[[#This Row],[銲口編號]]),焊口登報表!D:D,焊口登報表!C:C,,0),"yyyy/mm/dd"),"")</f>
        <v>2025/08/25</v>
      </c>
      <c r="L406" s="14" t="s">
        <v>270</v>
      </c>
      <c r="M406" s="63">
        <v>45897</v>
      </c>
      <c r="Q40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\\192.168.1.50\3勝一\SE-37(彰濱)\01.工程圖面\01.ISO\ISO\32.(UG)WW-18042-S1P4U-01.pdf</v>
      </c>
      <c r="R406" s="14"/>
      <c r="S406" s="14">
        <v>1</v>
      </c>
    </row>
    <row r="407" spans="1:19" ht="20.25" hidden="1" customHeight="1">
      <c r="A407" s="14">
        <v>33</v>
      </c>
      <c r="B407" s="17" t="s">
        <v>149</v>
      </c>
      <c r="C407" s="49" t="s">
        <v>85</v>
      </c>
      <c r="D407" s="14">
        <v>1</v>
      </c>
      <c r="E407" s="14">
        <v>4</v>
      </c>
      <c r="F407" s="21">
        <f>IF(E407&lt;&gt;"",IF(Weld_list[[#This Row],[尺寸]]&lt;1,1,E407),"")</f>
        <v>4</v>
      </c>
      <c r="G407" s="14" t="s">
        <v>92</v>
      </c>
      <c r="H407" s="14">
        <v>304</v>
      </c>
      <c r="I407" s="14" t="s">
        <v>76</v>
      </c>
      <c r="J407" s="14" t="s">
        <v>95</v>
      </c>
      <c r="K407" s="63">
        <v>45974</v>
      </c>
      <c r="L407" s="14" t="s">
        <v>270</v>
      </c>
      <c r="M407" s="63">
        <v>45977</v>
      </c>
      <c r="Q40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07" s="14"/>
      <c r="S407" s="14">
        <v>1</v>
      </c>
    </row>
    <row r="408" spans="1:19" ht="20.25" hidden="1" customHeight="1">
      <c r="A408" s="14">
        <v>33</v>
      </c>
      <c r="B408" s="17" t="s">
        <v>149</v>
      </c>
      <c r="C408" s="49" t="s">
        <v>85</v>
      </c>
      <c r="D408" s="14">
        <v>2</v>
      </c>
      <c r="E408" s="14">
        <v>4</v>
      </c>
      <c r="F408" s="21">
        <f>IF(E408&lt;&gt;"",IF(Weld_list[[#This Row],[尺寸]]&lt;1,1,E408),"")</f>
        <v>4</v>
      </c>
      <c r="G408" s="14" t="s">
        <v>92</v>
      </c>
      <c r="H408" s="14">
        <v>304</v>
      </c>
      <c r="I408" s="14" t="s">
        <v>76</v>
      </c>
      <c r="J408" s="14" t="s">
        <v>95</v>
      </c>
      <c r="K408" s="14" t="str">
        <f>IFERROR(TEXT(_xlfn.XLOOKUP(_xlfn.CONCAT(Weld_list[[#This Row],[流水號]],"_",Weld_list[[#This Row],[銲口編號]]),焊口登報表!D:D,焊口登報表!C:C,,0),"yyyy/mm/dd"),"")</f>
        <v>2025/08/25</v>
      </c>
      <c r="L408" s="14" t="s">
        <v>270</v>
      </c>
      <c r="M408" s="63">
        <v>45897</v>
      </c>
      <c r="Q40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08" s="14"/>
      <c r="S408" s="14">
        <v>1</v>
      </c>
    </row>
    <row r="409" spans="1:19" ht="20.25" hidden="1" customHeight="1">
      <c r="A409" s="14">
        <v>33</v>
      </c>
      <c r="B409" s="17" t="s">
        <v>149</v>
      </c>
      <c r="C409" s="49" t="s">
        <v>85</v>
      </c>
      <c r="D409" s="14" t="s">
        <v>137</v>
      </c>
      <c r="E409" s="14">
        <v>4</v>
      </c>
      <c r="F409" s="21">
        <f>IF(E409&lt;&gt;"",IF(Weld_list[[#This Row],[尺寸]]&lt;1,1,E409),"")</f>
        <v>4</v>
      </c>
      <c r="G409" s="14" t="s">
        <v>92</v>
      </c>
      <c r="H409" s="14">
        <v>304</v>
      </c>
      <c r="I409" s="14" t="s">
        <v>94</v>
      </c>
      <c r="J409" s="14" t="s">
        <v>90</v>
      </c>
      <c r="K409" s="14" t="str">
        <f>IFERROR(TEXT(_xlfn.XLOOKUP(_xlfn.CONCAT(Weld_list[[#This Row],[流水號]],"_",Weld_list[[#This Row],[銲口編號]]),焊口登報表!D:D,焊口登報表!C:C,,0),"yyyy/mm/dd"),"")</f>
        <v/>
      </c>
      <c r="M409" s="15" t="str">
        <f>IFERROR(TEXT(_xlfn.XLOOKUP(_xlfn.CONCAT(Weld_list[[#This Row],[流水號]],"_",Weld_list[[#This Row],[銲口編號]]),焊口登報表!F:F,焊口登報表!E:E,,0),"yyyy/mm/dd"),"")</f>
        <v/>
      </c>
      <c r="P409" s="15" t="e">
        <f>_xlfn.TEXTJOIN("-",TRUE,INDEX(_xlfn.TEXTSPLIT(B409,"-"),1),INDEX(_xlfn.TEXTSPLIT(B409,"-"),2),INDEX(_xlfn.TEXTSPLIT(B409,"-"),3),INDEX(_xlfn.TEXTSPLIT(B409,"-"),4),INDEX(_xlfn.TEXTSPLIT(B409,"-"),5))</f>
        <v>#REF!</v>
      </c>
      <c r="Q40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09" s="14" t="str">
        <f>IF(Weld_list[[#This Row],[組銲完成日期]]&lt;&gt;"","已完成","未完成")</f>
        <v>未完成</v>
      </c>
      <c r="S409" s="14">
        <v>1</v>
      </c>
    </row>
    <row r="410" spans="1:19" ht="20.25" hidden="1" customHeight="1">
      <c r="A410" s="14">
        <v>33</v>
      </c>
      <c r="B410" s="17" t="s">
        <v>149</v>
      </c>
      <c r="C410" s="49" t="s">
        <v>85</v>
      </c>
      <c r="D410" s="73">
        <v>3</v>
      </c>
      <c r="E410" s="14">
        <v>4</v>
      </c>
      <c r="F410" s="21">
        <f>IF(E410&lt;&gt;"",IF(Weld_list[[#This Row],[尺寸]]&lt;1,1,E410),"")</f>
        <v>4</v>
      </c>
      <c r="G410" s="14" t="s">
        <v>92</v>
      </c>
      <c r="H410" s="14">
        <v>304</v>
      </c>
      <c r="I410" s="14" t="s">
        <v>76</v>
      </c>
      <c r="J410" s="14" t="s">
        <v>95</v>
      </c>
      <c r="K410" s="63">
        <v>45974</v>
      </c>
      <c r="L410" s="14" t="s">
        <v>270</v>
      </c>
      <c r="M410" s="63">
        <v>45977</v>
      </c>
      <c r="Q41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10" s="14"/>
      <c r="S410" s="14">
        <v>1</v>
      </c>
    </row>
    <row r="411" spans="1:19" ht="20.25" hidden="1" customHeight="1">
      <c r="A411" s="14">
        <v>33</v>
      </c>
      <c r="B411" s="17" t="s">
        <v>149</v>
      </c>
      <c r="C411" s="49" t="s">
        <v>85</v>
      </c>
      <c r="D411" s="73">
        <v>4</v>
      </c>
      <c r="E411" s="14">
        <v>4</v>
      </c>
      <c r="F411" s="21">
        <f>IF(E411&lt;&gt;"",IF(Weld_list[[#This Row],[尺寸]]&lt;1,1,E411),"")</f>
        <v>4</v>
      </c>
      <c r="G411" s="14" t="s">
        <v>92</v>
      </c>
      <c r="H411" s="14">
        <v>304</v>
      </c>
      <c r="I411" s="14" t="s">
        <v>76</v>
      </c>
      <c r="J411" s="14" t="s">
        <v>95</v>
      </c>
      <c r="K411" s="63">
        <v>45974</v>
      </c>
      <c r="L411" s="14" t="s">
        <v>270</v>
      </c>
      <c r="M411" s="63">
        <v>45977</v>
      </c>
      <c r="Q41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11" s="14"/>
      <c r="S411" s="14">
        <v>1</v>
      </c>
    </row>
    <row r="412" spans="1:19" ht="20.25" hidden="1" customHeight="1">
      <c r="A412" s="14">
        <v>33</v>
      </c>
      <c r="B412" s="17" t="s">
        <v>149</v>
      </c>
      <c r="C412" s="49" t="s">
        <v>85</v>
      </c>
      <c r="D412" s="14">
        <v>5</v>
      </c>
      <c r="E412" s="14">
        <v>4</v>
      </c>
      <c r="F412" s="21">
        <f>IF(E412&lt;&gt;"",IF(Weld_list[[#This Row],[尺寸]]&lt;1,1,E412),"")</f>
        <v>4</v>
      </c>
      <c r="G412" s="14" t="s">
        <v>92</v>
      </c>
      <c r="H412" s="14">
        <v>304</v>
      </c>
      <c r="I412" s="14" t="s">
        <v>76</v>
      </c>
      <c r="J412" s="14" t="s">
        <v>95</v>
      </c>
      <c r="K412" s="14" t="str">
        <f>IFERROR(TEXT(_xlfn.XLOOKUP(_xlfn.CONCAT(Weld_list[[#This Row],[流水號]],"_",Weld_list[[#This Row],[銲口編號]]),焊口登報表!D:D,焊口登報表!C:C,,0),"yyyy/mm/dd"),"")</f>
        <v>2025/08/25</v>
      </c>
      <c r="L412" s="14" t="s">
        <v>270</v>
      </c>
      <c r="M412" s="63">
        <v>45897</v>
      </c>
      <c r="Q41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12" s="14"/>
      <c r="S412" s="14">
        <v>1</v>
      </c>
    </row>
    <row r="413" spans="1:19" ht="20.25" hidden="1" customHeight="1">
      <c r="A413" s="14">
        <v>33</v>
      </c>
      <c r="B413" s="17" t="s">
        <v>149</v>
      </c>
      <c r="C413" s="49" t="s">
        <v>85</v>
      </c>
      <c r="D413" s="14">
        <v>6</v>
      </c>
      <c r="E413" s="14">
        <v>4</v>
      </c>
      <c r="F413" s="21">
        <f>IF(E413&lt;&gt;"",IF(Weld_list[[#This Row],[尺寸]]&lt;1,1,E413),"")</f>
        <v>4</v>
      </c>
      <c r="G413" s="14" t="s">
        <v>92</v>
      </c>
      <c r="H413" s="14">
        <v>304</v>
      </c>
      <c r="I413" s="14" t="s">
        <v>76</v>
      </c>
      <c r="J413" s="14" t="s">
        <v>95</v>
      </c>
      <c r="K413" s="14" t="str">
        <f>IFERROR(TEXT(_xlfn.XLOOKUP(_xlfn.CONCAT(Weld_list[[#This Row],[流水號]],"_",Weld_list[[#This Row],[銲口編號]]),焊口登報表!D:D,焊口登報表!C:C,,0),"yyyy/mm/dd"),"")</f>
        <v>2025/08/25</v>
      </c>
      <c r="L413" s="14" t="s">
        <v>270</v>
      </c>
      <c r="M413" s="63">
        <v>45897</v>
      </c>
      <c r="Q41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13" s="14"/>
      <c r="S413" s="14">
        <v>1</v>
      </c>
    </row>
    <row r="414" spans="1:19" ht="20.25" hidden="1" customHeight="1">
      <c r="A414" s="14">
        <v>33</v>
      </c>
      <c r="B414" s="17" t="s">
        <v>149</v>
      </c>
      <c r="C414" s="49" t="s">
        <v>85</v>
      </c>
      <c r="D414" s="14">
        <v>7</v>
      </c>
      <c r="E414" s="14">
        <v>4</v>
      </c>
      <c r="F414" s="21">
        <f>IF(E414&lt;&gt;"",IF(Weld_list[[#This Row],[尺寸]]&lt;1,1,E414),"")</f>
        <v>4</v>
      </c>
      <c r="G414" s="14" t="s">
        <v>92</v>
      </c>
      <c r="H414" s="14">
        <v>304</v>
      </c>
      <c r="I414" s="14" t="s">
        <v>76</v>
      </c>
      <c r="J414" s="14" t="s">
        <v>95</v>
      </c>
      <c r="K414" s="14" t="str">
        <f>IFERROR(TEXT(_xlfn.XLOOKUP(_xlfn.CONCAT(Weld_list[[#This Row],[流水號]],"_",Weld_list[[#This Row],[銲口編號]]),焊口登報表!D:D,焊口登報表!C:C,,0),"yyyy/mm/dd"),"")</f>
        <v>2025/08/25</v>
      </c>
      <c r="L414" s="14" t="s">
        <v>270</v>
      </c>
      <c r="M414" s="63">
        <v>45897</v>
      </c>
      <c r="Q41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\\192.168.1.50\3勝一\SE-37(彰濱)\01.工程圖面\01.ISO\ISO\33.(UG)WW-18044-S1P4U-01.pdf</v>
      </c>
      <c r="R414" s="14"/>
      <c r="S414" s="14">
        <v>1</v>
      </c>
    </row>
    <row r="415" spans="1:19" ht="20.25" hidden="1" customHeight="1">
      <c r="A415" s="14">
        <v>34</v>
      </c>
      <c r="B415" s="17" t="s">
        <v>150</v>
      </c>
      <c r="C415" s="49" t="s">
        <v>85</v>
      </c>
      <c r="D415" s="14">
        <v>1</v>
      </c>
      <c r="E415" s="14">
        <v>2</v>
      </c>
      <c r="F415" s="21">
        <f>IF(E415&lt;&gt;"",IF(Weld_list[[#This Row],[尺寸]]&lt;1,1,E415),"")</f>
        <v>2</v>
      </c>
      <c r="G415" s="14" t="s">
        <v>92</v>
      </c>
      <c r="H415" s="14">
        <v>304</v>
      </c>
      <c r="I415" s="14" t="s">
        <v>76</v>
      </c>
      <c r="J415" s="14" t="s">
        <v>95</v>
      </c>
      <c r="K415" s="14" t="str">
        <f>IFERROR(TEXT(_xlfn.XLOOKUP(_xlfn.CONCAT(Weld_list[[#This Row],[流水號]],"_",Weld_list[[#This Row],[銲口編號]]),焊口登報表!D:D,焊口登報表!C:C,,0),"yyyy/mm/dd"),"")</f>
        <v>2025/08/25</v>
      </c>
      <c r="L415" s="14" t="s">
        <v>270</v>
      </c>
      <c r="M415" s="63">
        <v>45897</v>
      </c>
      <c r="Q41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15" s="14"/>
      <c r="S415" s="14">
        <v>1</v>
      </c>
    </row>
    <row r="416" spans="1:19" ht="20.25" hidden="1" customHeight="1">
      <c r="A416" s="14">
        <v>34</v>
      </c>
      <c r="B416" s="17" t="s">
        <v>150</v>
      </c>
      <c r="C416" s="49" t="s">
        <v>85</v>
      </c>
      <c r="D416" s="14">
        <v>2</v>
      </c>
      <c r="E416" s="14">
        <v>2</v>
      </c>
      <c r="F416" s="21">
        <f>IF(E416&lt;&gt;"",IF(Weld_list[[#This Row],[尺寸]]&lt;1,1,E416),"")</f>
        <v>2</v>
      </c>
      <c r="G416" s="14" t="s">
        <v>92</v>
      </c>
      <c r="H416" s="14">
        <v>304</v>
      </c>
      <c r="I416" s="14" t="s">
        <v>76</v>
      </c>
      <c r="J416" s="14" t="s">
        <v>95</v>
      </c>
      <c r="K416" s="14" t="str">
        <f>IFERROR(TEXT(_xlfn.XLOOKUP(_xlfn.CONCAT(Weld_list[[#This Row],[流水號]],"_",Weld_list[[#This Row],[銲口編號]]),焊口登報表!D:D,焊口登報表!C:C,,0),"yyyy/mm/dd"),"")</f>
        <v>2025/08/25</v>
      </c>
      <c r="L416" s="14" t="s">
        <v>270</v>
      </c>
      <c r="M416" s="63">
        <v>45897</v>
      </c>
      <c r="Q41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16" s="14"/>
      <c r="S416" s="14">
        <v>1</v>
      </c>
    </row>
    <row r="417" spans="1:19" ht="20.25" hidden="1" customHeight="1">
      <c r="A417" s="14">
        <v>34</v>
      </c>
      <c r="B417" s="17" t="s">
        <v>150</v>
      </c>
      <c r="C417" s="49" t="s">
        <v>85</v>
      </c>
      <c r="D417" s="14">
        <v>3</v>
      </c>
      <c r="E417" s="14">
        <v>1</v>
      </c>
      <c r="F417" s="21">
        <f>IF(E417&lt;&gt;"",IF(Weld_list[[#This Row],[尺寸]]&lt;1,1,E417),"")</f>
        <v>1</v>
      </c>
      <c r="G417" s="14" t="s">
        <v>92</v>
      </c>
      <c r="H417" s="14">
        <v>304</v>
      </c>
      <c r="I417" s="14" t="s">
        <v>76</v>
      </c>
      <c r="J417" s="14" t="s">
        <v>95</v>
      </c>
      <c r="K417" s="14" t="str">
        <f>IFERROR(TEXT(_xlfn.XLOOKUP(_xlfn.CONCAT(Weld_list[[#This Row],[流水號]],"_",Weld_list[[#This Row],[銲口編號]]),焊口登報表!D:D,焊口登報表!C:C,,0),"yyyy/mm/dd"),"")</f>
        <v/>
      </c>
      <c r="L417" s="14" t="s">
        <v>270</v>
      </c>
      <c r="M417" s="15" t="str">
        <f>IFERROR(TEXT(_xlfn.XLOOKUP(_xlfn.CONCAT(Weld_list[[#This Row],[流水號]],"_",Weld_list[[#This Row],[銲口編號]]),焊口登報表!F:F,焊口登報表!E:E,,0),"yyyy/mm/dd"),"")</f>
        <v/>
      </c>
      <c r="Q41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17" s="14"/>
      <c r="S417" s="14">
        <v>1</v>
      </c>
    </row>
    <row r="418" spans="1:19" ht="20.25" hidden="1" customHeight="1">
      <c r="A418" s="14">
        <v>34</v>
      </c>
      <c r="B418" s="17" t="s">
        <v>150</v>
      </c>
      <c r="C418" s="49" t="s">
        <v>85</v>
      </c>
      <c r="D418" s="14">
        <v>4</v>
      </c>
      <c r="E418" s="14">
        <v>1</v>
      </c>
      <c r="F418" s="21">
        <f>IF(E418&lt;&gt;"",IF(Weld_list[[#This Row],[尺寸]]&lt;1,1,E418),"")</f>
        <v>1</v>
      </c>
      <c r="G418" s="14" t="s">
        <v>92</v>
      </c>
      <c r="H418" s="14">
        <v>304</v>
      </c>
      <c r="I418" s="14" t="s">
        <v>101</v>
      </c>
      <c r="J418" s="14" t="s">
        <v>95</v>
      </c>
      <c r="K418" s="14" t="str">
        <f>IFERROR(TEXT(_xlfn.XLOOKUP(_xlfn.CONCAT(Weld_list[[#This Row],[流水號]],"_",Weld_list[[#This Row],[銲口編號]]),焊口登報表!D:D,焊口登報表!C:C,,0),"yyyy/mm/dd"),"")</f>
        <v>2025/08/25</v>
      </c>
      <c r="L418" s="14" t="s">
        <v>275</v>
      </c>
      <c r="M418" s="63">
        <v>45897</v>
      </c>
      <c r="Q41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18" s="14"/>
      <c r="S418" s="14">
        <v>1</v>
      </c>
    </row>
    <row r="419" spans="1:19" ht="20.25" hidden="1" customHeight="1">
      <c r="A419" s="14">
        <v>34</v>
      </c>
      <c r="B419" s="17" t="s">
        <v>150</v>
      </c>
      <c r="C419" s="49" t="s">
        <v>85</v>
      </c>
      <c r="D419" s="14">
        <v>5</v>
      </c>
      <c r="E419" s="14">
        <v>1</v>
      </c>
      <c r="F419" s="21">
        <f>IF(E419&lt;&gt;"",IF(Weld_list[[#This Row],[尺寸]]&lt;1,1,E419),"")</f>
        <v>1</v>
      </c>
      <c r="G419" s="14" t="s">
        <v>92</v>
      </c>
      <c r="H419" s="14">
        <v>304</v>
      </c>
      <c r="I419" s="14" t="s">
        <v>101</v>
      </c>
      <c r="J419" s="14" t="s">
        <v>95</v>
      </c>
      <c r="K419" s="14" t="str">
        <f>IFERROR(TEXT(_xlfn.XLOOKUP(_xlfn.CONCAT(Weld_list[[#This Row],[流水號]],"_",Weld_list[[#This Row],[銲口編號]]),焊口登報表!D:D,焊口登報表!C:C,,0),"yyyy/mm/dd"),"")</f>
        <v>2025/08/25</v>
      </c>
      <c r="L419" s="14" t="s">
        <v>275</v>
      </c>
      <c r="M419" s="63">
        <v>45897</v>
      </c>
      <c r="Q41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19" s="14"/>
      <c r="S419" s="14">
        <v>1</v>
      </c>
    </row>
    <row r="420" spans="1:19" ht="20.25" hidden="1" customHeight="1">
      <c r="A420" s="14">
        <v>34</v>
      </c>
      <c r="B420" s="17" t="s">
        <v>150</v>
      </c>
      <c r="C420" s="49" t="s">
        <v>85</v>
      </c>
      <c r="D420" s="14">
        <v>6</v>
      </c>
      <c r="E420" s="14">
        <v>2</v>
      </c>
      <c r="F420" s="21">
        <f>IF(E420&lt;&gt;"",IF(Weld_list[[#This Row],[尺寸]]&lt;1,1,E420),"")</f>
        <v>2</v>
      </c>
      <c r="G420" s="14" t="s">
        <v>92</v>
      </c>
      <c r="H420" s="14">
        <v>304</v>
      </c>
      <c r="I420" s="14" t="s">
        <v>76</v>
      </c>
      <c r="J420" s="14" t="s">
        <v>95</v>
      </c>
      <c r="K420" s="14" t="str">
        <f>IFERROR(TEXT(_xlfn.XLOOKUP(_xlfn.CONCAT(Weld_list[[#This Row],[流水號]],"_",Weld_list[[#This Row],[銲口編號]]),焊口登報表!D:D,焊口登報表!C:C,,0),"yyyy/mm/dd"),"")</f>
        <v>2025/08/25</v>
      </c>
      <c r="L420" s="14" t="s">
        <v>270</v>
      </c>
      <c r="M420" s="63">
        <v>45897</v>
      </c>
      <c r="Q42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0" s="14"/>
      <c r="S420" s="14">
        <v>1</v>
      </c>
    </row>
    <row r="421" spans="1:19" ht="20.25" hidden="1" customHeight="1">
      <c r="A421" s="14">
        <v>34</v>
      </c>
      <c r="B421" s="17" t="s">
        <v>150</v>
      </c>
      <c r="C421" s="49" t="s">
        <v>85</v>
      </c>
      <c r="D421" s="14">
        <v>7</v>
      </c>
      <c r="E421" s="14">
        <v>2</v>
      </c>
      <c r="F421" s="21">
        <f>IF(E421&lt;&gt;"",IF(Weld_list[[#This Row],[尺寸]]&lt;1,1,E421),"")</f>
        <v>2</v>
      </c>
      <c r="G421" s="14" t="s">
        <v>92</v>
      </c>
      <c r="H421" s="14">
        <v>304</v>
      </c>
      <c r="I421" s="14" t="s">
        <v>76</v>
      </c>
      <c r="J421" s="14" t="s">
        <v>95</v>
      </c>
      <c r="K421" s="14" t="str">
        <f>IFERROR(TEXT(_xlfn.XLOOKUP(_xlfn.CONCAT(Weld_list[[#This Row],[流水號]],"_",Weld_list[[#This Row],[銲口編號]]),焊口登報表!D:D,焊口登報表!C:C,,0),"yyyy/mm/dd"),"")</f>
        <v>2025/08/25</v>
      </c>
      <c r="L421" s="14" t="s">
        <v>270</v>
      </c>
      <c r="M421" s="63">
        <v>45897</v>
      </c>
      <c r="Q42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1" s="14"/>
      <c r="S421" s="14">
        <v>1</v>
      </c>
    </row>
    <row r="422" spans="1:19" ht="20.25" hidden="1" customHeight="1">
      <c r="A422" s="14">
        <v>34</v>
      </c>
      <c r="B422" s="17" t="s">
        <v>150</v>
      </c>
      <c r="C422" s="49" t="s">
        <v>85</v>
      </c>
      <c r="D422" s="14">
        <v>8</v>
      </c>
      <c r="E422" s="14">
        <v>2</v>
      </c>
      <c r="F422" s="21">
        <f>IF(E422&lt;&gt;"",IF(Weld_list[[#This Row],[尺寸]]&lt;1,1,E422),"")</f>
        <v>2</v>
      </c>
      <c r="G422" s="14" t="s">
        <v>92</v>
      </c>
      <c r="H422" s="14">
        <v>304</v>
      </c>
      <c r="I422" s="14" t="s">
        <v>76</v>
      </c>
      <c r="J422" s="14" t="s">
        <v>95</v>
      </c>
      <c r="K422" s="14" t="str">
        <f>IFERROR(TEXT(_xlfn.XLOOKUP(_xlfn.CONCAT(Weld_list[[#This Row],[流水號]],"_",Weld_list[[#This Row],[銲口編號]]),焊口登報表!D:D,焊口登報表!C:C,,0),"yyyy/mm/dd"),"")</f>
        <v>2025/08/25</v>
      </c>
      <c r="L422" s="14" t="s">
        <v>270</v>
      </c>
      <c r="M422" s="63">
        <v>45897</v>
      </c>
      <c r="Q42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2" s="14"/>
      <c r="S422" s="14">
        <v>1</v>
      </c>
    </row>
    <row r="423" spans="1:19" ht="20.25" hidden="1" customHeight="1">
      <c r="A423" s="14">
        <v>34</v>
      </c>
      <c r="B423" s="17" t="s">
        <v>150</v>
      </c>
      <c r="C423" s="49" t="s">
        <v>85</v>
      </c>
      <c r="D423" s="14">
        <v>9</v>
      </c>
      <c r="E423" s="14">
        <v>2</v>
      </c>
      <c r="F423" s="21">
        <f>IF(E423&lt;&gt;"",IF(Weld_list[[#This Row],[尺寸]]&lt;1,1,E423),"")</f>
        <v>2</v>
      </c>
      <c r="G423" s="14" t="s">
        <v>92</v>
      </c>
      <c r="H423" s="14">
        <v>304</v>
      </c>
      <c r="I423" s="14" t="s">
        <v>76</v>
      </c>
      <c r="J423" s="14" t="s">
        <v>95</v>
      </c>
      <c r="K423" s="14" t="str">
        <f>IFERROR(TEXT(_xlfn.XLOOKUP(_xlfn.CONCAT(Weld_list[[#This Row],[流水號]],"_",Weld_list[[#This Row],[銲口編號]]),焊口登報表!D:D,焊口登報表!C:C,,0),"yyyy/mm/dd"),"")</f>
        <v>2025/08/25</v>
      </c>
      <c r="L423" s="14" t="s">
        <v>270</v>
      </c>
      <c r="M423" s="63">
        <v>45897</v>
      </c>
      <c r="Q42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3" s="14"/>
      <c r="S423" s="14">
        <v>1</v>
      </c>
    </row>
    <row r="424" spans="1:19" ht="20.25" hidden="1" customHeight="1">
      <c r="A424" s="14">
        <v>34</v>
      </c>
      <c r="B424" s="17" t="s">
        <v>150</v>
      </c>
      <c r="C424" s="49" t="s">
        <v>85</v>
      </c>
      <c r="D424" s="14">
        <v>10</v>
      </c>
      <c r="E424" s="14">
        <v>2</v>
      </c>
      <c r="F424" s="21">
        <f>IF(E424&lt;&gt;"",IF(Weld_list[[#This Row],[尺寸]]&lt;1,1,E424),"")</f>
        <v>2</v>
      </c>
      <c r="G424" s="14" t="s">
        <v>92</v>
      </c>
      <c r="H424" s="14">
        <v>304</v>
      </c>
      <c r="I424" s="14" t="s">
        <v>76</v>
      </c>
      <c r="J424" s="14" t="s">
        <v>95</v>
      </c>
      <c r="K424" s="14" t="str">
        <f>IFERROR(TEXT(_xlfn.XLOOKUP(_xlfn.CONCAT(Weld_list[[#This Row],[流水號]],"_",Weld_list[[#This Row],[銲口編號]]),焊口登報表!D:D,焊口登報表!C:C,,0),"yyyy/mm/dd"),"")</f>
        <v>2025/08/25</v>
      </c>
      <c r="L424" s="14" t="s">
        <v>270</v>
      </c>
      <c r="M424" s="63">
        <v>45897</v>
      </c>
      <c r="Q42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4" s="14"/>
      <c r="S424" s="14">
        <v>1</v>
      </c>
    </row>
    <row r="425" spans="1:19" ht="20.25" hidden="1" customHeight="1">
      <c r="A425" s="14">
        <v>34</v>
      </c>
      <c r="B425" s="17" t="s">
        <v>150</v>
      </c>
      <c r="C425" s="49" t="s">
        <v>85</v>
      </c>
      <c r="D425" s="14" t="s">
        <v>151</v>
      </c>
      <c r="E425" s="14">
        <v>2</v>
      </c>
      <c r="F425" s="21">
        <f>IF(E425&lt;&gt;"",IF(Weld_list[[#This Row],[尺寸]]&lt;1,1,E425),"")</f>
        <v>2</v>
      </c>
      <c r="G425" s="14" t="s">
        <v>92</v>
      </c>
      <c r="H425" s="14">
        <v>304</v>
      </c>
      <c r="I425" s="14" t="s">
        <v>94</v>
      </c>
      <c r="J425" s="14" t="s">
        <v>90</v>
      </c>
      <c r="K425" s="14" t="str">
        <f>IFERROR(TEXT(_xlfn.XLOOKUP(_xlfn.CONCAT(Weld_list[[#This Row],[流水號]],"_",Weld_list[[#This Row],[銲口編號]]),焊口登報表!D:D,焊口登報表!C:C,,0),"yyyy/mm/dd"),"")</f>
        <v/>
      </c>
      <c r="M425" s="15" t="str">
        <f>IFERROR(TEXT(_xlfn.XLOOKUP(_xlfn.CONCAT(Weld_list[[#This Row],[流水號]],"_",Weld_list[[#This Row],[銲口編號]]),焊口登報表!F:F,焊口登報表!E:E,,0),"yyyy/mm/dd"),"")</f>
        <v/>
      </c>
      <c r="P425" s="15" t="e">
        <f>_xlfn.TEXTJOIN("-",TRUE,INDEX(_xlfn.TEXTSPLIT(B425,"-"),1),INDEX(_xlfn.TEXTSPLIT(B425,"-"),2),INDEX(_xlfn.TEXTSPLIT(B425,"-"),3),INDEX(_xlfn.TEXTSPLIT(B425,"-"),4),INDEX(_xlfn.TEXTSPLIT(B425,"-"),5))</f>
        <v>#REF!</v>
      </c>
      <c r="Q42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5" s="14" t="str">
        <f>IF(Weld_list[[#This Row],[組銲完成日期]]&lt;&gt;"","已完成","未完成")</f>
        <v>未完成</v>
      </c>
      <c r="S425" s="14">
        <v>1</v>
      </c>
    </row>
    <row r="426" spans="1:19" ht="20.25" hidden="1" customHeight="1">
      <c r="A426" s="14">
        <v>34</v>
      </c>
      <c r="B426" s="17" t="s">
        <v>150</v>
      </c>
      <c r="C426" s="49" t="s">
        <v>85</v>
      </c>
      <c r="D426" s="14">
        <v>11</v>
      </c>
      <c r="E426" s="14">
        <v>1</v>
      </c>
      <c r="F426" s="21">
        <f>IF(E426&lt;&gt;"",IF(Weld_list[[#This Row],[尺寸]]&lt;1,1,E426),"")</f>
        <v>1</v>
      </c>
      <c r="G426" s="14" t="s">
        <v>92</v>
      </c>
      <c r="H426" s="14">
        <v>304</v>
      </c>
      <c r="I426" s="14" t="s">
        <v>76</v>
      </c>
      <c r="J426" s="14" t="s">
        <v>95</v>
      </c>
      <c r="K426" s="14" t="str">
        <f>IFERROR(TEXT(_xlfn.XLOOKUP(_xlfn.CONCAT(Weld_list[[#This Row],[流水號]],"_",Weld_list[[#This Row],[銲口編號]]),焊口登報表!D:D,焊口登報表!C:C,,0),"yyyy/mm/dd"),"")</f>
        <v/>
      </c>
      <c r="L426" s="14" t="s">
        <v>270</v>
      </c>
      <c r="M426" s="15" t="str">
        <f>IFERROR(TEXT(_xlfn.XLOOKUP(_xlfn.CONCAT(Weld_list[[#This Row],[流水號]],"_",Weld_list[[#This Row],[銲口編號]]),焊口登報表!F:F,焊口登報表!E:E,,0),"yyyy/mm/dd"),"")</f>
        <v/>
      </c>
      <c r="Q42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6" s="14"/>
      <c r="S426" s="14">
        <v>1</v>
      </c>
    </row>
    <row r="427" spans="1:19" ht="20.25" hidden="1" customHeight="1">
      <c r="A427" s="14">
        <v>34</v>
      </c>
      <c r="B427" s="17" t="s">
        <v>150</v>
      </c>
      <c r="C427" s="49" t="s">
        <v>85</v>
      </c>
      <c r="D427" s="14">
        <v>12</v>
      </c>
      <c r="E427" s="14">
        <v>1</v>
      </c>
      <c r="F427" s="21">
        <f>IF(E427&lt;&gt;"",IF(Weld_list[[#This Row],[尺寸]]&lt;1,1,E427),"")</f>
        <v>1</v>
      </c>
      <c r="G427" s="14" t="s">
        <v>92</v>
      </c>
      <c r="H427" s="14">
        <v>304</v>
      </c>
      <c r="I427" s="14" t="s">
        <v>101</v>
      </c>
      <c r="J427" s="14" t="s">
        <v>95</v>
      </c>
      <c r="K427" s="14" t="str">
        <f>IFERROR(TEXT(_xlfn.XLOOKUP(_xlfn.CONCAT(Weld_list[[#This Row],[流水號]],"_",Weld_list[[#This Row],[銲口編號]]),焊口登報表!D:D,焊口登報表!C:C,,0),"yyyy/mm/dd"),"")</f>
        <v>2025/08/25</v>
      </c>
      <c r="L427" s="14" t="s">
        <v>275</v>
      </c>
      <c r="M427" s="63">
        <v>45897</v>
      </c>
      <c r="Q42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7" s="14"/>
      <c r="S427" s="14">
        <v>1</v>
      </c>
    </row>
    <row r="428" spans="1:19" ht="20.25" hidden="1" customHeight="1">
      <c r="A428" s="14">
        <v>34</v>
      </c>
      <c r="B428" s="17" t="s">
        <v>150</v>
      </c>
      <c r="C428" s="49" t="s">
        <v>85</v>
      </c>
      <c r="D428" s="14">
        <v>13</v>
      </c>
      <c r="E428" s="14">
        <v>1</v>
      </c>
      <c r="F428" s="21">
        <f>IF(E428&lt;&gt;"",IF(Weld_list[[#This Row],[尺寸]]&lt;1,1,E428),"")</f>
        <v>1</v>
      </c>
      <c r="G428" s="14" t="s">
        <v>92</v>
      </c>
      <c r="H428" s="14">
        <v>304</v>
      </c>
      <c r="I428" s="14" t="s">
        <v>101</v>
      </c>
      <c r="J428" s="14" t="s">
        <v>95</v>
      </c>
      <c r="K428" s="14" t="str">
        <f>IFERROR(TEXT(_xlfn.XLOOKUP(_xlfn.CONCAT(Weld_list[[#This Row],[流水號]],"_",Weld_list[[#This Row],[銲口編號]]),焊口登報表!D:D,焊口登報表!C:C,,0),"yyyy/mm/dd"),"")</f>
        <v>2025/08/25</v>
      </c>
      <c r="L428" s="14" t="s">
        <v>275</v>
      </c>
      <c r="M428" s="63">
        <v>45897</v>
      </c>
      <c r="Q42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8" s="14"/>
      <c r="S428" s="14">
        <v>1</v>
      </c>
    </row>
    <row r="429" spans="1:19" ht="20.25" hidden="1" customHeight="1">
      <c r="A429" s="14">
        <v>34</v>
      </c>
      <c r="B429" s="17" t="s">
        <v>150</v>
      </c>
      <c r="C429" s="49" t="s">
        <v>85</v>
      </c>
      <c r="D429" s="14">
        <v>14</v>
      </c>
      <c r="E429" s="14">
        <v>2</v>
      </c>
      <c r="F429" s="21">
        <f>IF(E429&lt;&gt;"",IF(Weld_list[[#This Row],[尺寸]]&lt;1,1,E429),"")</f>
        <v>2</v>
      </c>
      <c r="G429" s="14" t="s">
        <v>92</v>
      </c>
      <c r="H429" s="14">
        <v>304</v>
      </c>
      <c r="I429" s="14" t="s">
        <v>76</v>
      </c>
      <c r="J429" s="14" t="s">
        <v>95</v>
      </c>
      <c r="K429" s="14" t="str">
        <f>IFERROR(TEXT(_xlfn.XLOOKUP(_xlfn.CONCAT(Weld_list[[#This Row],[流水號]],"_",Weld_list[[#This Row],[銲口編號]]),焊口登報表!D:D,焊口登報表!C:C,,0),"yyyy/mm/dd"),"")</f>
        <v>2025/08/25</v>
      </c>
      <c r="L429" s="14" t="s">
        <v>270</v>
      </c>
      <c r="M429" s="63">
        <v>45897</v>
      </c>
      <c r="Q42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29" s="14"/>
      <c r="S429" s="14">
        <v>1</v>
      </c>
    </row>
    <row r="430" spans="1:19" ht="20.25" hidden="1" customHeight="1">
      <c r="A430" s="14">
        <v>34</v>
      </c>
      <c r="B430" s="17" t="s">
        <v>150</v>
      </c>
      <c r="C430" s="49" t="s">
        <v>85</v>
      </c>
      <c r="D430" s="14">
        <v>15</v>
      </c>
      <c r="E430" s="14">
        <v>1</v>
      </c>
      <c r="F430" s="21">
        <f>IF(E430&lt;&gt;"",IF(Weld_list[[#This Row],[尺寸]]&lt;1,1,E430),"")</f>
        <v>1</v>
      </c>
      <c r="G430" s="14" t="s">
        <v>92</v>
      </c>
      <c r="H430" s="14">
        <v>304</v>
      </c>
      <c r="I430" s="14" t="s">
        <v>76</v>
      </c>
      <c r="J430" s="14" t="s">
        <v>95</v>
      </c>
      <c r="K430" s="14" t="str">
        <f>IFERROR(TEXT(_xlfn.XLOOKUP(_xlfn.CONCAT(Weld_list[[#This Row],[流水號]],"_",Weld_list[[#This Row],[銲口編號]]),焊口登報表!D:D,焊口登報表!C:C,,0),"yyyy/mm/dd"),"")</f>
        <v>2025/08/25</v>
      </c>
      <c r="L430" s="14" t="s">
        <v>270</v>
      </c>
      <c r="M430" s="63">
        <v>45897</v>
      </c>
      <c r="Q43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0" s="14"/>
      <c r="S430" s="14">
        <v>1</v>
      </c>
    </row>
    <row r="431" spans="1:19" ht="20.25" hidden="1" customHeight="1">
      <c r="A431" s="14">
        <v>34</v>
      </c>
      <c r="B431" s="17" t="s">
        <v>150</v>
      </c>
      <c r="C431" s="49" t="s">
        <v>85</v>
      </c>
      <c r="D431" s="14">
        <v>16</v>
      </c>
      <c r="E431" s="14">
        <v>1</v>
      </c>
      <c r="F431" s="21">
        <f>IF(E431&lt;&gt;"",IF(Weld_list[[#This Row],[尺寸]]&lt;1,1,E431),"")</f>
        <v>1</v>
      </c>
      <c r="G431" s="14" t="s">
        <v>92</v>
      </c>
      <c r="H431" s="14">
        <v>304</v>
      </c>
      <c r="I431" s="14" t="s">
        <v>101</v>
      </c>
      <c r="J431" s="14" t="s">
        <v>95</v>
      </c>
      <c r="K431" s="14" t="str">
        <f>IFERROR(TEXT(_xlfn.XLOOKUP(_xlfn.CONCAT(Weld_list[[#This Row],[流水號]],"_",Weld_list[[#This Row],[銲口編號]]),焊口登報表!D:D,焊口登報表!C:C,,0),"yyyy/mm/dd"),"")</f>
        <v>2025/08/25</v>
      </c>
      <c r="L431" s="14" t="s">
        <v>275</v>
      </c>
      <c r="M431" s="63">
        <v>45897</v>
      </c>
      <c r="Q43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1" s="14"/>
      <c r="S431" s="14">
        <v>1</v>
      </c>
    </row>
    <row r="432" spans="1:19" ht="20.25" hidden="1" customHeight="1">
      <c r="A432" s="14">
        <v>34</v>
      </c>
      <c r="B432" s="17" t="s">
        <v>150</v>
      </c>
      <c r="C432" s="49" t="s">
        <v>85</v>
      </c>
      <c r="D432" s="14">
        <v>17</v>
      </c>
      <c r="E432" s="14">
        <v>1</v>
      </c>
      <c r="F432" s="21">
        <f>IF(E432&lt;&gt;"",IF(Weld_list[[#This Row],[尺寸]]&lt;1,1,E432),"")</f>
        <v>1</v>
      </c>
      <c r="G432" s="14" t="s">
        <v>92</v>
      </c>
      <c r="H432" s="14">
        <v>304</v>
      </c>
      <c r="I432" s="14" t="s">
        <v>101</v>
      </c>
      <c r="J432" s="14" t="s">
        <v>95</v>
      </c>
      <c r="K432" s="14" t="str">
        <f>IFERROR(TEXT(_xlfn.XLOOKUP(_xlfn.CONCAT(Weld_list[[#This Row],[流水號]],"_",Weld_list[[#This Row],[銲口編號]]),焊口登報表!D:D,焊口登報表!C:C,,0),"yyyy/mm/dd"),"")</f>
        <v>2025/08/25</v>
      </c>
      <c r="L432" s="14" t="s">
        <v>275</v>
      </c>
      <c r="M432" s="63">
        <v>45897</v>
      </c>
      <c r="Q43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2" s="14"/>
      <c r="S432" s="14">
        <v>1</v>
      </c>
    </row>
    <row r="433" spans="1:19" ht="20.25" hidden="1" customHeight="1">
      <c r="A433" s="14">
        <v>34</v>
      </c>
      <c r="B433" s="17" t="s">
        <v>150</v>
      </c>
      <c r="C433" s="49" t="s">
        <v>85</v>
      </c>
      <c r="D433" s="14">
        <v>18</v>
      </c>
      <c r="E433" s="14">
        <v>2</v>
      </c>
      <c r="F433" s="21">
        <f>IF(E433&lt;&gt;"",IF(Weld_list[[#This Row],[尺寸]]&lt;1,1,E433),"")</f>
        <v>2</v>
      </c>
      <c r="G433" s="14" t="s">
        <v>92</v>
      </c>
      <c r="H433" s="14">
        <v>304</v>
      </c>
      <c r="I433" s="14" t="s">
        <v>76</v>
      </c>
      <c r="J433" s="14" t="s">
        <v>95</v>
      </c>
      <c r="K433" s="14" t="str">
        <f>IFERROR(TEXT(_xlfn.XLOOKUP(_xlfn.CONCAT(Weld_list[[#This Row],[流水號]],"_",Weld_list[[#This Row],[銲口編號]]),焊口登報表!D:D,焊口登報表!C:C,,0),"yyyy/mm/dd"),"")</f>
        <v>2025/08/25</v>
      </c>
      <c r="L433" s="14" t="s">
        <v>270</v>
      </c>
      <c r="M433" s="63">
        <v>45897</v>
      </c>
      <c r="Q43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3" s="14"/>
      <c r="S433" s="14">
        <v>1</v>
      </c>
    </row>
    <row r="434" spans="1:19" ht="20.25" hidden="1" customHeight="1">
      <c r="A434" s="14">
        <v>34</v>
      </c>
      <c r="B434" s="17" t="s">
        <v>150</v>
      </c>
      <c r="C434" s="49" t="s">
        <v>85</v>
      </c>
      <c r="D434" s="14">
        <v>19</v>
      </c>
      <c r="E434" s="14">
        <v>2</v>
      </c>
      <c r="F434" s="21">
        <f>IF(E434&lt;&gt;"",IF(Weld_list[[#This Row],[尺寸]]&lt;1,1,E434),"")</f>
        <v>2</v>
      </c>
      <c r="G434" s="14" t="s">
        <v>92</v>
      </c>
      <c r="H434" s="14">
        <v>304</v>
      </c>
      <c r="I434" s="14" t="s">
        <v>76</v>
      </c>
      <c r="J434" s="14" t="s">
        <v>95</v>
      </c>
      <c r="K434" s="14" t="str">
        <f>IFERROR(TEXT(_xlfn.XLOOKUP(_xlfn.CONCAT(Weld_list[[#This Row],[流水號]],"_",Weld_list[[#This Row],[銲口編號]]),焊口登報表!D:D,焊口登報表!C:C,,0),"yyyy/mm/dd"),"")</f>
        <v>2025/08/25</v>
      </c>
      <c r="L434" s="14" t="s">
        <v>270</v>
      </c>
      <c r="M434" s="63">
        <v>45897</v>
      </c>
      <c r="Q43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4" s="14"/>
      <c r="S434" s="14">
        <v>1</v>
      </c>
    </row>
    <row r="435" spans="1:19" ht="20.25" hidden="1" customHeight="1">
      <c r="A435" s="14">
        <v>34</v>
      </c>
      <c r="B435" s="17" t="s">
        <v>150</v>
      </c>
      <c r="C435" s="49" t="s">
        <v>85</v>
      </c>
      <c r="D435" s="14" t="s">
        <v>112</v>
      </c>
      <c r="E435" s="14">
        <v>2</v>
      </c>
      <c r="F435" s="21">
        <f>IF(E435&lt;&gt;"",IF(Weld_list[[#This Row],[尺寸]]&lt;1,1,E435),"")</f>
        <v>2</v>
      </c>
      <c r="G435" s="14" t="s">
        <v>92</v>
      </c>
      <c r="H435" s="14">
        <v>304</v>
      </c>
      <c r="I435" s="14" t="s">
        <v>94</v>
      </c>
      <c r="J435" s="14" t="s">
        <v>90</v>
      </c>
      <c r="K435" s="14" t="str">
        <f>IFERROR(TEXT(_xlfn.XLOOKUP(_xlfn.CONCAT(Weld_list[[#This Row],[流水號]],"_",Weld_list[[#This Row],[銲口編號]]),焊口登報表!D:D,焊口登報表!C:C,,0),"yyyy/mm/dd"),"")</f>
        <v/>
      </c>
      <c r="M435" s="15" t="str">
        <f>IFERROR(TEXT(_xlfn.XLOOKUP(_xlfn.CONCAT(Weld_list[[#This Row],[流水號]],"_",Weld_list[[#This Row],[銲口編號]]),焊口登報表!F:F,焊口登報表!E:E,,0),"yyyy/mm/dd"),"")</f>
        <v/>
      </c>
      <c r="P435" s="15" t="e">
        <f>_xlfn.TEXTJOIN("-",TRUE,INDEX(_xlfn.TEXTSPLIT(B435,"-"),1),INDEX(_xlfn.TEXTSPLIT(B435,"-"),2),INDEX(_xlfn.TEXTSPLIT(B435,"-"),3),INDEX(_xlfn.TEXTSPLIT(B435,"-"),4),INDEX(_xlfn.TEXTSPLIT(B435,"-"),5))</f>
        <v>#REF!</v>
      </c>
      <c r="Q43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5" s="14" t="str">
        <f>IF(Weld_list[[#This Row],[組銲完成日期]]&lt;&gt;"","已完成","未完成")</f>
        <v>未完成</v>
      </c>
      <c r="S435" s="14">
        <v>1</v>
      </c>
    </row>
    <row r="436" spans="1:19" ht="20.25" hidden="1" customHeight="1">
      <c r="A436" s="14">
        <v>34</v>
      </c>
      <c r="B436" s="17" t="s">
        <v>150</v>
      </c>
      <c r="C436" s="49" t="s">
        <v>85</v>
      </c>
      <c r="D436" s="14">
        <v>20</v>
      </c>
      <c r="E436" s="14">
        <v>2</v>
      </c>
      <c r="F436" s="21">
        <f>IF(E436&lt;&gt;"",IF(Weld_list[[#This Row],[尺寸]]&lt;1,1,E436),"")</f>
        <v>2</v>
      </c>
      <c r="G436" s="14" t="s">
        <v>92</v>
      </c>
      <c r="H436" s="14">
        <v>304</v>
      </c>
      <c r="I436" s="14" t="s">
        <v>76</v>
      </c>
      <c r="J436" s="14" t="s">
        <v>95</v>
      </c>
      <c r="K436" s="14" t="str">
        <f>IFERROR(TEXT(_xlfn.XLOOKUP(_xlfn.CONCAT(Weld_list[[#This Row],[流水號]],"_",Weld_list[[#This Row],[銲口編號]]),焊口登報表!D:D,焊口登報表!C:C,,0),"yyyy/mm/dd"),"")</f>
        <v>2025/08/25</v>
      </c>
      <c r="L436" s="14" t="s">
        <v>270</v>
      </c>
      <c r="M436" s="63">
        <v>45897</v>
      </c>
      <c r="Q43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6" s="14"/>
      <c r="S436" s="14">
        <v>1</v>
      </c>
    </row>
    <row r="437" spans="1:19" ht="20.25" hidden="1" customHeight="1">
      <c r="A437" s="14">
        <v>34</v>
      </c>
      <c r="B437" s="17" t="s">
        <v>150</v>
      </c>
      <c r="C437" s="49" t="s">
        <v>85</v>
      </c>
      <c r="D437" s="14">
        <v>21</v>
      </c>
      <c r="E437" s="14">
        <v>2</v>
      </c>
      <c r="F437" s="21">
        <f>IF(E437&lt;&gt;"",IF(Weld_list[[#This Row],[尺寸]]&lt;1,1,E437),"")</f>
        <v>2</v>
      </c>
      <c r="G437" s="14" t="s">
        <v>92</v>
      </c>
      <c r="H437" s="14">
        <v>304</v>
      </c>
      <c r="I437" s="14" t="s">
        <v>76</v>
      </c>
      <c r="J437" s="14" t="s">
        <v>95</v>
      </c>
      <c r="K437" s="14" t="str">
        <f>IFERROR(TEXT(_xlfn.XLOOKUP(_xlfn.CONCAT(Weld_list[[#This Row],[流水號]],"_",Weld_list[[#This Row],[銲口編號]]),焊口登報表!D:D,焊口登報表!C:C,,0),"yyyy/mm/dd"),"")</f>
        <v/>
      </c>
      <c r="L437" s="14" t="s">
        <v>270</v>
      </c>
      <c r="M437" s="15" t="str">
        <f>IFERROR(TEXT(_xlfn.XLOOKUP(_xlfn.CONCAT(Weld_list[[#This Row],[流水號]],"_",Weld_list[[#This Row],[銲口編號]]),焊口登報表!F:F,焊口登報表!E:E,,0),"yyyy/mm/dd"),"")</f>
        <v/>
      </c>
      <c r="Q43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7" s="14"/>
      <c r="S437" s="14">
        <v>1</v>
      </c>
    </row>
    <row r="438" spans="1:19" ht="20.25" hidden="1" customHeight="1">
      <c r="A438" s="14">
        <v>34</v>
      </c>
      <c r="B438" s="17" t="s">
        <v>150</v>
      </c>
      <c r="C438" s="49" t="s">
        <v>85</v>
      </c>
      <c r="D438" s="14">
        <v>22</v>
      </c>
      <c r="E438" s="14">
        <v>2</v>
      </c>
      <c r="F438" s="21">
        <f>IF(E438&lt;&gt;"",IF(Weld_list[[#This Row],[尺寸]]&lt;1,1,E438),"")</f>
        <v>2</v>
      </c>
      <c r="G438" s="14" t="s">
        <v>92</v>
      </c>
      <c r="H438" s="14">
        <v>304</v>
      </c>
      <c r="I438" s="14" t="s">
        <v>76</v>
      </c>
      <c r="J438" s="14" t="s">
        <v>95</v>
      </c>
      <c r="K438" s="14" t="str">
        <f>IFERROR(TEXT(_xlfn.XLOOKUP(_xlfn.CONCAT(Weld_list[[#This Row],[流水號]],"_",Weld_list[[#This Row],[銲口編號]]),焊口登報表!D:D,焊口登報表!C:C,,0),"yyyy/mm/dd"),"")</f>
        <v>2025/08/25</v>
      </c>
      <c r="L438" s="14" t="s">
        <v>270</v>
      </c>
      <c r="M438" s="63">
        <v>45897</v>
      </c>
      <c r="Q43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\\192.168.1.50\3勝一\SE-37(彰濱)\01.工程圖面\01.ISO\ISO\34.(UG)WW-18048-S1P4U-01.pdf</v>
      </c>
      <c r="R438" s="14"/>
      <c r="S438" s="14">
        <v>1</v>
      </c>
    </row>
    <row r="439" spans="1:19" ht="20.25" hidden="1" customHeight="1">
      <c r="A439" s="14">
        <v>35</v>
      </c>
      <c r="B439" s="17" t="s">
        <v>152</v>
      </c>
      <c r="C439" s="49" t="s">
        <v>85</v>
      </c>
      <c r="D439" s="73">
        <v>1</v>
      </c>
      <c r="E439" s="14">
        <v>8</v>
      </c>
      <c r="F439" s="21">
        <f>IF(E439&lt;&gt;"",IF(Weld_list[[#This Row],[尺寸]]&lt;1,1,E439),"")</f>
        <v>8</v>
      </c>
      <c r="G439" s="14" t="s">
        <v>92</v>
      </c>
      <c r="H439" s="14">
        <v>304</v>
      </c>
      <c r="I439" s="14" t="s">
        <v>76</v>
      </c>
      <c r="J439" s="14" t="s">
        <v>95</v>
      </c>
      <c r="K439" s="63">
        <v>45974</v>
      </c>
      <c r="L439" s="14" t="s">
        <v>270</v>
      </c>
      <c r="M439" s="63">
        <v>45977</v>
      </c>
      <c r="Q43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\\192.168.1.50\3勝一\SE-37(彰濱)\01.工程圖面\01.ISO\ISO\35.(UG)WW-18052-S1P4U-01.pdf</v>
      </c>
      <c r="R439" s="14"/>
      <c r="S439" s="14">
        <v>1</v>
      </c>
    </row>
    <row r="440" spans="1:19" ht="20.25" hidden="1" customHeight="1">
      <c r="A440" s="14">
        <v>35</v>
      </c>
      <c r="B440" s="17" t="s">
        <v>152</v>
      </c>
      <c r="C440" s="49" t="s">
        <v>85</v>
      </c>
      <c r="D440" s="14">
        <v>2</v>
      </c>
      <c r="E440" s="14">
        <v>8</v>
      </c>
      <c r="F440" s="21">
        <f>IF(E440&lt;&gt;"",IF(Weld_list[[#This Row],[尺寸]]&lt;1,1,E440),"")</f>
        <v>8</v>
      </c>
      <c r="G440" s="14" t="s">
        <v>92</v>
      </c>
      <c r="H440" s="14">
        <v>304</v>
      </c>
      <c r="I440" s="14" t="s">
        <v>76</v>
      </c>
      <c r="J440" s="14" t="s">
        <v>95</v>
      </c>
      <c r="K440" s="14" t="str">
        <f>IFERROR(TEXT(_xlfn.XLOOKUP(_xlfn.CONCAT(Weld_list[[#This Row],[流水號]],"_",Weld_list[[#This Row],[銲口編號]]),焊口登報表!D:D,焊口登報表!C:C,,0),"yyyy/mm/dd"),"")</f>
        <v>2025/08/25</v>
      </c>
      <c r="L440" s="14" t="s">
        <v>270</v>
      </c>
      <c r="M440" s="63">
        <v>45897</v>
      </c>
      <c r="Q44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\\192.168.1.50\3勝一\SE-37(彰濱)\01.工程圖面\01.ISO\ISO\35.(UG)WW-18052-S1P4U-01.pdf</v>
      </c>
      <c r="R440" s="14"/>
      <c r="S440" s="14">
        <v>1</v>
      </c>
    </row>
    <row r="441" spans="1:19" ht="20.25" hidden="1" customHeight="1">
      <c r="A441" s="14">
        <v>35</v>
      </c>
      <c r="B441" s="17" t="s">
        <v>152</v>
      </c>
      <c r="C441" s="49" t="s">
        <v>85</v>
      </c>
      <c r="D441" s="14" t="s">
        <v>137</v>
      </c>
      <c r="E441" s="14">
        <v>8</v>
      </c>
      <c r="F441" s="21">
        <f>IF(E441&lt;&gt;"",IF(Weld_list[[#This Row],[尺寸]]&lt;1,1,E441),"")</f>
        <v>8</v>
      </c>
      <c r="G441" s="14" t="s">
        <v>92</v>
      </c>
      <c r="H441" s="14">
        <v>304</v>
      </c>
      <c r="I441" s="14" t="s">
        <v>94</v>
      </c>
      <c r="J441" s="14" t="s">
        <v>90</v>
      </c>
      <c r="K441" s="14" t="str">
        <f>IFERROR(TEXT(_xlfn.XLOOKUP(_xlfn.CONCAT(Weld_list[[#This Row],[流水號]],"_",Weld_list[[#This Row],[銲口編號]]),焊口登報表!D:D,焊口登報表!C:C,,0),"yyyy/mm/dd"),"")</f>
        <v/>
      </c>
      <c r="M441" s="15" t="str">
        <f>IFERROR(TEXT(_xlfn.XLOOKUP(_xlfn.CONCAT(Weld_list[[#This Row],[流水號]],"_",Weld_list[[#This Row],[銲口編號]]),焊口登報表!F:F,焊口登報表!E:E,,0),"yyyy/mm/dd"),"")</f>
        <v/>
      </c>
      <c r="P441" s="15" t="e">
        <f>_xlfn.TEXTJOIN("-",TRUE,INDEX(_xlfn.TEXTSPLIT(B441,"-"),1),INDEX(_xlfn.TEXTSPLIT(B441,"-"),2),INDEX(_xlfn.TEXTSPLIT(B441,"-"),3),INDEX(_xlfn.TEXTSPLIT(B441,"-"),4),INDEX(_xlfn.TEXTSPLIT(B441,"-"),5))</f>
        <v>#REF!</v>
      </c>
      <c r="Q44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\\192.168.1.50\3勝一\SE-37(彰濱)\01.工程圖面\01.ISO\ISO\35.(UG)WW-18052-S1P4U-01.pdf</v>
      </c>
      <c r="R441" s="14" t="str">
        <f>IF(Weld_list[[#This Row],[組銲完成日期]]&lt;&gt;"","已完成","未完成")</f>
        <v>未完成</v>
      </c>
      <c r="S441" s="14">
        <v>1</v>
      </c>
    </row>
    <row r="442" spans="1:19" ht="20.25" hidden="1" customHeight="1">
      <c r="A442" s="14">
        <v>35</v>
      </c>
      <c r="B442" s="17" t="s">
        <v>152</v>
      </c>
      <c r="C442" s="49" t="s">
        <v>85</v>
      </c>
      <c r="D442" s="73">
        <v>3</v>
      </c>
      <c r="E442" s="14">
        <v>8</v>
      </c>
      <c r="F442" s="21">
        <f>IF(E442&lt;&gt;"",IF(Weld_list[[#This Row],[尺寸]]&lt;1,1,E442),"")</f>
        <v>8</v>
      </c>
      <c r="G442" s="14" t="s">
        <v>92</v>
      </c>
      <c r="H442" s="14">
        <v>304</v>
      </c>
      <c r="I442" s="14" t="s">
        <v>76</v>
      </c>
      <c r="J442" s="14" t="s">
        <v>95</v>
      </c>
      <c r="K442" s="63">
        <v>45974</v>
      </c>
      <c r="L442" s="14" t="s">
        <v>270</v>
      </c>
      <c r="M442" s="63">
        <v>45977</v>
      </c>
      <c r="Q44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\\192.168.1.50\3勝一\SE-37(彰濱)\01.工程圖面\01.ISO\ISO\35.(UG)WW-18052-S1P4U-01.pdf</v>
      </c>
      <c r="R442" s="14"/>
      <c r="S442" s="14">
        <v>1</v>
      </c>
    </row>
    <row r="443" spans="1:19" ht="20.25" hidden="1" customHeight="1">
      <c r="A443" s="14">
        <v>35</v>
      </c>
      <c r="B443" s="17" t="s">
        <v>152</v>
      </c>
      <c r="C443" s="49" t="s">
        <v>85</v>
      </c>
      <c r="D443" s="73">
        <v>4</v>
      </c>
      <c r="E443" s="14">
        <v>8</v>
      </c>
      <c r="F443" s="21">
        <f>IF(E443&lt;&gt;"",IF(Weld_list[[#This Row],[尺寸]]&lt;1,1,E443),"")</f>
        <v>8</v>
      </c>
      <c r="G443" s="14" t="s">
        <v>92</v>
      </c>
      <c r="H443" s="14">
        <v>304</v>
      </c>
      <c r="I443" s="14" t="s">
        <v>76</v>
      </c>
      <c r="J443" s="14" t="s">
        <v>95</v>
      </c>
      <c r="K443" s="63">
        <v>45974</v>
      </c>
      <c r="L443" s="14" t="s">
        <v>270</v>
      </c>
      <c r="M443" s="63">
        <v>45977</v>
      </c>
      <c r="Q44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\\192.168.1.50\3勝一\SE-37(彰濱)\01.工程圖面\01.ISO\ISO\35.(UG)WW-18052-S1P4U-01.pdf</v>
      </c>
      <c r="R443" s="14"/>
      <c r="S443" s="14">
        <v>1</v>
      </c>
    </row>
    <row r="444" spans="1:19" ht="20.25" hidden="1" customHeight="1">
      <c r="A444" s="14">
        <v>35</v>
      </c>
      <c r="B444" s="17" t="s">
        <v>152</v>
      </c>
      <c r="C444" s="49" t="s">
        <v>85</v>
      </c>
      <c r="D444" s="14">
        <v>5</v>
      </c>
      <c r="E444" s="14">
        <v>8</v>
      </c>
      <c r="F444" s="21">
        <f>IF(E444&lt;&gt;"",IF(Weld_list[[#This Row],[尺寸]]&lt;1,1,E444),"")</f>
        <v>8</v>
      </c>
      <c r="G444" s="14" t="s">
        <v>92</v>
      </c>
      <c r="H444" s="14">
        <v>304</v>
      </c>
      <c r="I444" s="14" t="s">
        <v>76</v>
      </c>
      <c r="J444" s="14" t="s">
        <v>95</v>
      </c>
      <c r="K444" s="14" t="str">
        <f>IFERROR(TEXT(_xlfn.XLOOKUP(_xlfn.CONCAT(Weld_list[[#This Row],[流水號]],"_",Weld_list[[#This Row],[銲口編號]]),焊口登報表!D:D,焊口登報表!C:C,,0),"yyyy/mm/dd"),"")</f>
        <v>2025/08/25</v>
      </c>
      <c r="L444" s="14" t="s">
        <v>270</v>
      </c>
      <c r="M444" s="63">
        <v>45897</v>
      </c>
      <c r="Q44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\\192.168.1.50\3勝一\SE-37(彰濱)\01.工程圖面\01.ISO\ISO\35.(UG)WW-18052-S1P4U-01.pdf</v>
      </c>
      <c r="R444" s="14"/>
      <c r="S444" s="14">
        <v>1</v>
      </c>
    </row>
    <row r="445" spans="1:19" ht="20.25" hidden="1" customHeight="1">
      <c r="A445" s="14">
        <v>35</v>
      </c>
      <c r="B445" s="17" t="s">
        <v>152</v>
      </c>
      <c r="C445" s="49" t="s">
        <v>85</v>
      </c>
      <c r="D445" s="14">
        <v>6</v>
      </c>
      <c r="E445" s="14">
        <v>8</v>
      </c>
      <c r="F445" s="21">
        <f>IF(E445&lt;&gt;"",IF(Weld_list[[#This Row],[尺寸]]&lt;1,1,E445),"")</f>
        <v>8</v>
      </c>
      <c r="G445" s="14" t="s">
        <v>92</v>
      </c>
      <c r="H445" s="14">
        <v>304</v>
      </c>
      <c r="I445" s="14" t="s">
        <v>76</v>
      </c>
      <c r="J445" s="14" t="s">
        <v>95</v>
      </c>
      <c r="K445" s="14" t="str">
        <f>IFERROR(TEXT(_xlfn.XLOOKUP(_xlfn.CONCAT(Weld_list[[#This Row],[流水號]],"_",Weld_list[[#This Row],[銲口編號]]),焊口登報表!D:D,焊口登報表!C:C,,0),"yyyy/mm/dd"),"")</f>
        <v>2025/08/25</v>
      </c>
      <c r="L445" s="14" t="s">
        <v>270</v>
      </c>
      <c r="M445" s="63">
        <v>45897</v>
      </c>
      <c r="Q44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\\192.168.1.50\3勝一\SE-37(彰濱)\01.工程圖面\01.ISO\ISO\35.(UG)WW-18052-S1P4U-01.pdf</v>
      </c>
      <c r="R445" s="14"/>
      <c r="S445" s="14">
        <v>1</v>
      </c>
    </row>
    <row r="446" spans="1:19" ht="20.25" hidden="1" customHeight="1">
      <c r="A446" s="14">
        <v>36</v>
      </c>
      <c r="B446" s="17" t="s">
        <v>153</v>
      </c>
      <c r="C446" s="49" t="s">
        <v>85</v>
      </c>
      <c r="D446" s="14">
        <v>1</v>
      </c>
      <c r="E446" s="14">
        <v>3</v>
      </c>
      <c r="F446" s="21">
        <f>IF(E446&lt;&gt;"",IF(Weld_list[[#This Row],[尺寸]]&lt;1,1,E446),"")</f>
        <v>3</v>
      </c>
      <c r="G446" s="14" t="s">
        <v>92</v>
      </c>
      <c r="H446" s="14">
        <v>304</v>
      </c>
      <c r="I446" s="14" t="s">
        <v>76</v>
      </c>
      <c r="J446" s="14" t="s">
        <v>95</v>
      </c>
      <c r="K446" s="14" t="str">
        <f>IFERROR(TEXT(_xlfn.XLOOKUP(_xlfn.CONCAT(Weld_list[[#This Row],[流水號]],"_",Weld_list[[#This Row],[銲口編號]]),焊口登報表!D:D,焊口登報表!C:C,,0),"yyyy/mm/dd"),"")</f>
        <v>2025/08/25</v>
      </c>
      <c r="L446" s="14" t="s">
        <v>270</v>
      </c>
      <c r="M446" s="63">
        <v>45897</v>
      </c>
      <c r="Q44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46" s="14"/>
      <c r="S446" s="14">
        <v>1</v>
      </c>
    </row>
    <row r="447" spans="1:19" ht="20.25" hidden="1" customHeight="1">
      <c r="A447" s="14">
        <v>36</v>
      </c>
      <c r="B447" s="17" t="s">
        <v>153</v>
      </c>
      <c r="C447" s="49" t="s">
        <v>85</v>
      </c>
      <c r="D447" s="14">
        <v>2</v>
      </c>
      <c r="E447" s="14">
        <v>3</v>
      </c>
      <c r="F447" s="21">
        <f>IF(E447&lt;&gt;"",IF(Weld_list[[#This Row],[尺寸]]&lt;1,1,E447),"")</f>
        <v>3</v>
      </c>
      <c r="G447" s="14" t="s">
        <v>92</v>
      </c>
      <c r="H447" s="14">
        <v>304</v>
      </c>
      <c r="I447" s="14" t="s">
        <v>76</v>
      </c>
      <c r="J447" s="14" t="s">
        <v>95</v>
      </c>
      <c r="K447" s="14" t="str">
        <f>IFERROR(TEXT(_xlfn.XLOOKUP(_xlfn.CONCAT(Weld_list[[#This Row],[流水號]],"_",Weld_list[[#This Row],[銲口編號]]),焊口登報表!D:D,焊口登報表!C:C,,0),"yyyy/mm/dd"),"")</f>
        <v>2025/08/25</v>
      </c>
      <c r="L447" s="14" t="s">
        <v>270</v>
      </c>
      <c r="M447" s="63">
        <v>45897</v>
      </c>
      <c r="Q44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47" s="14"/>
      <c r="S447" s="14">
        <v>1</v>
      </c>
    </row>
    <row r="448" spans="1:19" ht="20.25" hidden="1" customHeight="1">
      <c r="A448" s="14">
        <v>36</v>
      </c>
      <c r="B448" s="17" t="s">
        <v>153</v>
      </c>
      <c r="C448" s="49" t="s">
        <v>85</v>
      </c>
      <c r="D448" s="14">
        <v>3</v>
      </c>
      <c r="E448" s="14">
        <v>3</v>
      </c>
      <c r="F448" s="21">
        <f>IF(E448&lt;&gt;"",IF(Weld_list[[#This Row],[尺寸]]&lt;1,1,E448),"")</f>
        <v>3</v>
      </c>
      <c r="G448" s="14" t="s">
        <v>92</v>
      </c>
      <c r="H448" s="14">
        <v>304</v>
      </c>
      <c r="I448" s="14" t="s">
        <v>76</v>
      </c>
      <c r="J448" s="14" t="s">
        <v>95</v>
      </c>
      <c r="K448" s="14" t="str">
        <f>IFERROR(TEXT(_xlfn.XLOOKUP(_xlfn.CONCAT(Weld_list[[#This Row],[流水號]],"_",Weld_list[[#This Row],[銲口編號]]),焊口登報表!D:D,焊口登報表!C:C,,0),"yyyy/mm/dd"),"")</f>
        <v/>
      </c>
      <c r="L448" s="14" t="s">
        <v>270</v>
      </c>
      <c r="M448" s="15" t="str">
        <f>IFERROR(TEXT(_xlfn.XLOOKUP(_xlfn.CONCAT(Weld_list[[#This Row],[流水號]],"_",Weld_list[[#This Row],[銲口編號]]),焊口登報表!F:F,焊口登報表!E:E,,0),"yyyy/mm/dd"),"")</f>
        <v/>
      </c>
      <c r="Q44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48" s="14"/>
      <c r="S448" s="14">
        <v>1</v>
      </c>
    </row>
    <row r="449" spans="1:19" ht="20.25" hidden="1" customHeight="1">
      <c r="A449" s="14">
        <v>36</v>
      </c>
      <c r="B449" s="17" t="s">
        <v>153</v>
      </c>
      <c r="C449" s="49" t="s">
        <v>85</v>
      </c>
      <c r="D449" s="14">
        <v>4</v>
      </c>
      <c r="E449" s="14">
        <v>3</v>
      </c>
      <c r="F449" s="21">
        <f>IF(E449&lt;&gt;"",IF(Weld_list[[#This Row],[尺寸]]&lt;1,1,E449),"")</f>
        <v>3</v>
      </c>
      <c r="G449" s="14" t="s">
        <v>92</v>
      </c>
      <c r="H449" s="14">
        <v>304</v>
      </c>
      <c r="I449" s="14" t="s">
        <v>76</v>
      </c>
      <c r="J449" s="14" t="s">
        <v>95</v>
      </c>
      <c r="K449" s="14" t="str">
        <f>IFERROR(TEXT(_xlfn.XLOOKUP(_xlfn.CONCAT(Weld_list[[#This Row],[流水號]],"_",Weld_list[[#This Row],[銲口編號]]),焊口登報表!D:D,焊口登報表!C:C,,0),"yyyy/mm/dd"),"")</f>
        <v>2025/08/25</v>
      </c>
      <c r="L449" s="14" t="s">
        <v>270</v>
      </c>
      <c r="M449" s="63">
        <v>45897</v>
      </c>
      <c r="Q44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49" s="14"/>
      <c r="S449" s="14">
        <v>1</v>
      </c>
    </row>
    <row r="450" spans="1:19" ht="20.25" hidden="1" customHeight="1">
      <c r="A450" s="14">
        <v>36</v>
      </c>
      <c r="B450" s="17" t="s">
        <v>153</v>
      </c>
      <c r="C450" s="49" t="s">
        <v>85</v>
      </c>
      <c r="D450" s="14">
        <v>5</v>
      </c>
      <c r="E450" s="14">
        <v>3</v>
      </c>
      <c r="F450" s="21">
        <f>IF(E450&lt;&gt;"",IF(Weld_list[[#This Row],[尺寸]]&lt;1,1,E450),"")</f>
        <v>3</v>
      </c>
      <c r="G450" s="14" t="s">
        <v>92</v>
      </c>
      <c r="H450" s="14">
        <v>304</v>
      </c>
      <c r="I450" s="14" t="s">
        <v>76</v>
      </c>
      <c r="J450" s="14" t="s">
        <v>95</v>
      </c>
      <c r="K450" s="14" t="str">
        <f>IFERROR(TEXT(_xlfn.XLOOKUP(_xlfn.CONCAT(Weld_list[[#This Row],[流水號]],"_",Weld_list[[#This Row],[銲口編號]]),焊口登報表!D:D,焊口登報表!C:C,,0),"yyyy/mm/dd"),"")</f>
        <v/>
      </c>
      <c r="L450" s="14" t="s">
        <v>270</v>
      </c>
      <c r="M450" s="15" t="str">
        <f>IFERROR(TEXT(_xlfn.XLOOKUP(_xlfn.CONCAT(Weld_list[[#This Row],[流水號]],"_",Weld_list[[#This Row],[銲口編號]]),焊口登報表!F:F,焊口登報表!E:E,,0),"yyyy/mm/dd"),"")</f>
        <v/>
      </c>
      <c r="Q45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0" s="14"/>
      <c r="S450" s="14">
        <v>1</v>
      </c>
    </row>
    <row r="451" spans="1:19" ht="20.25" hidden="1" customHeight="1">
      <c r="A451" s="14">
        <v>36</v>
      </c>
      <c r="B451" s="17" t="s">
        <v>153</v>
      </c>
      <c r="C451" s="49" t="s">
        <v>85</v>
      </c>
      <c r="D451" s="14">
        <v>6</v>
      </c>
      <c r="E451" s="14">
        <v>3</v>
      </c>
      <c r="F451" s="21">
        <f>IF(E451&lt;&gt;"",IF(Weld_list[[#This Row],[尺寸]]&lt;1,1,E451),"")</f>
        <v>3</v>
      </c>
      <c r="G451" s="14" t="s">
        <v>92</v>
      </c>
      <c r="H451" s="14">
        <v>304</v>
      </c>
      <c r="I451" s="14" t="s">
        <v>76</v>
      </c>
      <c r="J451" s="14" t="s">
        <v>95</v>
      </c>
      <c r="K451" s="14" t="str">
        <f>IFERROR(TEXT(_xlfn.XLOOKUP(_xlfn.CONCAT(Weld_list[[#This Row],[流水號]],"_",Weld_list[[#This Row],[銲口編號]]),焊口登報表!D:D,焊口登報表!C:C,,0),"yyyy/mm/dd"),"")</f>
        <v>2025/08/25</v>
      </c>
      <c r="L451" s="14" t="s">
        <v>270</v>
      </c>
      <c r="M451" s="63">
        <v>45897</v>
      </c>
      <c r="Q45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1" s="14"/>
      <c r="S451" s="14">
        <v>1</v>
      </c>
    </row>
    <row r="452" spans="1:19" ht="20.25" hidden="1" customHeight="1">
      <c r="A452" s="14">
        <v>36</v>
      </c>
      <c r="B452" s="17" t="s">
        <v>153</v>
      </c>
      <c r="C452" s="49" t="s">
        <v>85</v>
      </c>
      <c r="D452" s="14">
        <v>7</v>
      </c>
      <c r="E452" s="14">
        <v>3</v>
      </c>
      <c r="F452" s="21">
        <f>IF(E452&lt;&gt;"",IF(Weld_list[[#This Row],[尺寸]]&lt;1,1,E452),"")</f>
        <v>3</v>
      </c>
      <c r="G452" s="14" t="s">
        <v>92</v>
      </c>
      <c r="H452" s="14">
        <v>304</v>
      </c>
      <c r="I452" s="14" t="s">
        <v>76</v>
      </c>
      <c r="J452" s="14" t="s">
        <v>95</v>
      </c>
      <c r="K452" s="14" t="str">
        <f>IFERROR(TEXT(_xlfn.XLOOKUP(_xlfn.CONCAT(Weld_list[[#This Row],[流水號]],"_",Weld_list[[#This Row],[銲口編號]]),焊口登報表!D:D,焊口登報表!C:C,,0),"yyyy/mm/dd"),"")</f>
        <v>2025/08/25</v>
      </c>
      <c r="L452" s="14" t="s">
        <v>270</v>
      </c>
      <c r="M452" s="63">
        <v>45897</v>
      </c>
      <c r="Q45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2" s="14"/>
      <c r="S452" s="14">
        <v>1</v>
      </c>
    </row>
    <row r="453" spans="1:19" ht="20.25" hidden="1" customHeight="1">
      <c r="A453" s="14">
        <v>36</v>
      </c>
      <c r="B453" s="17" t="s">
        <v>153</v>
      </c>
      <c r="C453" s="49" t="s">
        <v>85</v>
      </c>
      <c r="D453" s="14">
        <v>8</v>
      </c>
      <c r="E453" s="14">
        <v>3</v>
      </c>
      <c r="F453" s="21">
        <f>IF(E453&lt;&gt;"",IF(Weld_list[[#This Row],[尺寸]]&lt;1,1,E453),"")</f>
        <v>3</v>
      </c>
      <c r="G453" s="14" t="s">
        <v>92</v>
      </c>
      <c r="H453" s="14">
        <v>304</v>
      </c>
      <c r="I453" s="14" t="s">
        <v>76</v>
      </c>
      <c r="J453" s="14" t="s">
        <v>95</v>
      </c>
      <c r="K453" s="14" t="str">
        <f>IFERROR(TEXT(_xlfn.XLOOKUP(_xlfn.CONCAT(Weld_list[[#This Row],[流水號]],"_",Weld_list[[#This Row],[銲口編號]]),焊口登報表!D:D,焊口登報表!C:C,,0),"yyyy/mm/dd"),"")</f>
        <v>2025/08/25</v>
      </c>
      <c r="L453" s="14" t="s">
        <v>270</v>
      </c>
      <c r="M453" s="63">
        <v>45897</v>
      </c>
      <c r="Q45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3" s="14"/>
      <c r="S453" s="14">
        <v>1</v>
      </c>
    </row>
    <row r="454" spans="1:19" ht="20.25" hidden="1" customHeight="1">
      <c r="A454" s="14">
        <v>36</v>
      </c>
      <c r="B454" s="17" t="s">
        <v>153</v>
      </c>
      <c r="C454" s="49" t="s">
        <v>85</v>
      </c>
      <c r="D454" s="14">
        <v>9</v>
      </c>
      <c r="E454" s="14">
        <v>3</v>
      </c>
      <c r="F454" s="21">
        <f>IF(E454&lt;&gt;"",IF(Weld_list[[#This Row],[尺寸]]&lt;1,1,E454),"")</f>
        <v>3</v>
      </c>
      <c r="G454" s="14" t="s">
        <v>92</v>
      </c>
      <c r="H454" s="14">
        <v>304</v>
      </c>
      <c r="I454" s="14" t="s">
        <v>76</v>
      </c>
      <c r="J454" s="14" t="s">
        <v>95</v>
      </c>
      <c r="K454" s="14" t="str">
        <f>IFERROR(TEXT(_xlfn.XLOOKUP(_xlfn.CONCAT(Weld_list[[#This Row],[流水號]],"_",Weld_list[[#This Row],[銲口編號]]),焊口登報表!D:D,焊口登報表!C:C,,0),"yyyy/mm/dd"),"")</f>
        <v>2025/08/25</v>
      </c>
      <c r="L454" s="14" t="s">
        <v>270</v>
      </c>
      <c r="M454" s="63">
        <v>45897</v>
      </c>
      <c r="Q45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4" s="14"/>
      <c r="S454" s="14">
        <v>1</v>
      </c>
    </row>
    <row r="455" spans="1:19" ht="20.25" hidden="1" customHeight="1">
      <c r="A455" s="14">
        <v>36</v>
      </c>
      <c r="B455" s="17" t="s">
        <v>153</v>
      </c>
      <c r="C455" s="49" t="s">
        <v>85</v>
      </c>
      <c r="D455" s="14" t="s">
        <v>105</v>
      </c>
      <c r="E455" s="14">
        <v>3</v>
      </c>
      <c r="F455" s="21">
        <f>IF(E455&lt;&gt;"",IF(Weld_list[[#This Row],[尺寸]]&lt;1,1,E455),"")</f>
        <v>3</v>
      </c>
      <c r="G455" s="14" t="s">
        <v>92</v>
      </c>
      <c r="H455" s="14">
        <v>304</v>
      </c>
      <c r="I455" s="14" t="s">
        <v>94</v>
      </c>
      <c r="J455" s="14" t="s">
        <v>90</v>
      </c>
      <c r="K455" s="14" t="str">
        <f>IFERROR(TEXT(_xlfn.XLOOKUP(_xlfn.CONCAT(Weld_list[[#This Row],[流水號]],"_",Weld_list[[#This Row],[銲口編號]]),焊口登報表!D:D,焊口登報表!C:C,,0),"yyyy/mm/dd"),"")</f>
        <v/>
      </c>
      <c r="M455" s="15" t="str">
        <f>IFERROR(TEXT(_xlfn.XLOOKUP(_xlfn.CONCAT(Weld_list[[#This Row],[流水號]],"_",Weld_list[[#This Row],[銲口編號]]),焊口登報表!F:F,焊口登報表!E:E,,0),"yyyy/mm/dd"),"")</f>
        <v/>
      </c>
      <c r="P455" s="15" t="e">
        <f>_xlfn.TEXTJOIN("-",TRUE,INDEX(_xlfn.TEXTSPLIT(B455,"-"),1),INDEX(_xlfn.TEXTSPLIT(B455,"-"),2),INDEX(_xlfn.TEXTSPLIT(B455,"-"),3),INDEX(_xlfn.TEXTSPLIT(B455,"-"),4),INDEX(_xlfn.TEXTSPLIT(B455,"-"),5))</f>
        <v>#REF!</v>
      </c>
      <c r="Q45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5" s="14" t="str">
        <f>IF(Weld_list[[#This Row],[組銲完成日期]]&lt;&gt;"","已完成","未完成")</f>
        <v>未完成</v>
      </c>
      <c r="S455" s="14">
        <v>1</v>
      </c>
    </row>
    <row r="456" spans="1:19" ht="20.25" hidden="1" customHeight="1">
      <c r="A456" s="14">
        <v>36</v>
      </c>
      <c r="B456" s="17" t="s">
        <v>153</v>
      </c>
      <c r="C456" s="49" t="s">
        <v>85</v>
      </c>
      <c r="D456" s="14">
        <v>10</v>
      </c>
      <c r="E456" s="14">
        <v>3</v>
      </c>
      <c r="F456" s="21">
        <f>IF(E456&lt;&gt;"",IF(Weld_list[[#This Row],[尺寸]]&lt;1,1,E456),"")</f>
        <v>3</v>
      </c>
      <c r="G456" s="14" t="s">
        <v>92</v>
      </c>
      <c r="H456" s="14">
        <v>304</v>
      </c>
      <c r="I456" s="14" t="s">
        <v>76</v>
      </c>
      <c r="J456" s="14" t="s">
        <v>95</v>
      </c>
      <c r="K456" s="14" t="str">
        <f>IFERROR(TEXT(_xlfn.XLOOKUP(_xlfn.CONCAT(Weld_list[[#This Row],[流水號]],"_",Weld_list[[#This Row],[銲口編號]]),焊口登報表!D:D,焊口登報表!C:C,,0),"yyyy/mm/dd"),"")</f>
        <v>2025/08/25</v>
      </c>
      <c r="L456" s="14" t="s">
        <v>270</v>
      </c>
      <c r="M456" s="63">
        <v>45897</v>
      </c>
      <c r="Q45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6" s="14"/>
      <c r="S456" s="14">
        <v>1</v>
      </c>
    </row>
    <row r="457" spans="1:19" ht="20.25" hidden="1" customHeight="1">
      <c r="A457" s="14">
        <v>36</v>
      </c>
      <c r="B457" s="17" t="s">
        <v>153</v>
      </c>
      <c r="C457" s="49" t="s">
        <v>85</v>
      </c>
      <c r="D457" s="14">
        <v>11</v>
      </c>
      <c r="E457" s="14">
        <v>3</v>
      </c>
      <c r="F457" s="21">
        <f>IF(E457&lt;&gt;"",IF(Weld_list[[#This Row],[尺寸]]&lt;1,1,E457),"")</f>
        <v>3</v>
      </c>
      <c r="G457" s="14" t="s">
        <v>92</v>
      </c>
      <c r="H457" s="14">
        <v>304</v>
      </c>
      <c r="I457" s="14" t="s">
        <v>76</v>
      </c>
      <c r="J457" s="14" t="s">
        <v>95</v>
      </c>
      <c r="K457" s="14" t="str">
        <f>IFERROR(TEXT(_xlfn.XLOOKUP(_xlfn.CONCAT(Weld_list[[#This Row],[流水號]],"_",Weld_list[[#This Row],[銲口編號]]),焊口登報表!D:D,焊口登報表!C:C,,0),"yyyy/mm/dd"),"")</f>
        <v>2025/08/25</v>
      </c>
      <c r="L457" s="14" t="s">
        <v>270</v>
      </c>
      <c r="M457" s="63">
        <v>45897</v>
      </c>
      <c r="Q45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7" s="14"/>
      <c r="S457" s="14">
        <v>1</v>
      </c>
    </row>
    <row r="458" spans="1:19" ht="20.25" hidden="1" customHeight="1">
      <c r="A458" s="14">
        <v>36</v>
      </c>
      <c r="B458" s="17" t="s">
        <v>153</v>
      </c>
      <c r="C458" s="49" t="s">
        <v>85</v>
      </c>
      <c r="D458" s="14">
        <v>12</v>
      </c>
      <c r="E458" s="14">
        <v>3</v>
      </c>
      <c r="F458" s="21">
        <f>IF(E458&lt;&gt;"",IF(Weld_list[[#This Row],[尺寸]]&lt;1,1,E458),"")</f>
        <v>3</v>
      </c>
      <c r="G458" s="14" t="s">
        <v>92</v>
      </c>
      <c r="H458" s="14">
        <v>304</v>
      </c>
      <c r="I458" s="14" t="s">
        <v>76</v>
      </c>
      <c r="J458" s="14" t="s">
        <v>95</v>
      </c>
      <c r="K458" s="14" t="str">
        <f>IFERROR(TEXT(_xlfn.XLOOKUP(_xlfn.CONCAT(Weld_list[[#This Row],[流水號]],"_",Weld_list[[#This Row],[銲口編號]]),焊口登報表!D:D,焊口登報表!C:C,,0),"yyyy/mm/dd"),"")</f>
        <v>2025/08/25</v>
      </c>
      <c r="L458" s="14" t="s">
        <v>270</v>
      </c>
      <c r="M458" s="63">
        <v>45897</v>
      </c>
      <c r="Q458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8" s="14"/>
      <c r="S458" s="14">
        <v>1</v>
      </c>
    </row>
    <row r="459" spans="1:19" ht="20.25" hidden="1" customHeight="1">
      <c r="A459" s="14">
        <v>36</v>
      </c>
      <c r="B459" s="17" t="s">
        <v>153</v>
      </c>
      <c r="C459" s="49" t="s">
        <v>85</v>
      </c>
      <c r="D459" s="14">
        <v>13</v>
      </c>
      <c r="E459" s="14">
        <v>3</v>
      </c>
      <c r="F459" s="21">
        <f>IF(E459&lt;&gt;"",IF(Weld_list[[#This Row],[尺寸]]&lt;1,1,E459),"")</f>
        <v>3</v>
      </c>
      <c r="G459" s="14" t="s">
        <v>92</v>
      </c>
      <c r="H459" s="14">
        <v>304</v>
      </c>
      <c r="I459" s="14" t="s">
        <v>76</v>
      </c>
      <c r="J459" s="14" t="s">
        <v>95</v>
      </c>
      <c r="K459" s="14" t="str">
        <f>IFERROR(TEXT(_xlfn.XLOOKUP(_xlfn.CONCAT(Weld_list[[#This Row],[流水號]],"_",Weld_list[[#This Row],[銲口編號]]),焊口登報表!D:D,焊口登報表!C:C,,0),"yyyy/mm/dd"),"")</f>
        <v>2025/08/25</v>
      </c>
      <c r="L459" s="14" t="s">
        <v>270</v>
      </c>
      <c r="M459" s="63">
        <v>45897</v>
      </c>
      <c r="Q459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59" s="14"/>
      <c r="S459" s="14">
        <v>1</v>
      </c>
    </row>
    <row r="460" spans="1:19" ht="20.25" hidden="1" customHeight="1">
      <c r="A460" s="14">
        <v>36</v>
      </c>
      <c r="B460" s="17" t="s">
        <v>153</v>
      </c>
      <c r="C460" s="49" t="s">
        <v>85</v>
      </c>
      <c r="D460" s="14">
        <v>14</v>
      </c>
      <c r="E460" s="14">
        <v>3</v>
      </c>
      <c r="F460" s="21">
        <f>IF(E460&lt;&gt;"",IF(Weld_list[[#This Row],[尺寸]]&lt;1,1,E460),"")</f>
        <v>3</v>
      </c>
      <c r="G460" s="14" t="s">
        <v>92</v>
      </c>
      <c r="H460" s="14">
        <v>304</v>
      </c>
      <c r="I460" s="14" t="s">
        <v>76</v>
      </c>
      <c r="J460" s="14" t="s">
        <v>95</v>
      </c>
      <c r="K460" s="14" t="str">
        <f>IFERROR(TEXT(_xlfn.XLOOKUP(_xlfn.CONCAT(Weld_list[[#This Row],[流水號]],"_",Weld_list[[#This Row],[銲口編號]]),焊口登報表!D:D,焊口登報表!C:C,,0),"yyyy/mm/dd"),"")</f>
        <v>2025/08/25</v>
      </c>
      <c r="L460" s="14" t="s">
        <v>270</v>
      </c>
      <c r="M460" s="63">
        <v>45897</v>
      </c>
      <c r="Q460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60" s="14"/>
      <c r="S460" s="14">
        <v>1</v>
      </c>
    </row>
    <row r="461" spans="1:19" ht="20.25" hidden="1" customHeight="1">
      <c r="A461" s="14">
        <v>36</v>
      </c>
      <c r="B461" s="17" t="s">
        <v>153</v>
      </c>
      <c r="C461" s="49" t="s">
        <v>85</v>
      </c>
      <c r="D461" s="14" t="s">
        <v>119</v>
      </c>
      <c r="E461" s="14">
        <v>3</v>
      </c>
      <c r="F461" s="21">
        <f>IF(E461&lt;&gt;"",IF(Weld_list[[#This Row],[尺寸]]&lt;1,1,E461),"")</f>
        <v>3</v>
      </c>
      <c r="G461" s="14" t="s">
        <v>92</v>
      </c>
      <c r="H461" s="14">
        <v>304</v>
      </c>
      <c r="I461" s="14" t="s">
        <v>94</v>
      </c>
      <c r="J461" s="14" t="s">
        <v>90</v>
      </c>
      <c r="K461" s="14" t="str">
        <f>IFERROR(TEXT(_xlfn.XLOOKUP(_xlfn.CONCAT(Weld_list[[#This Row],[流水號]],"_",Weld_list[[#This Row],[銲口編號]]),焊口登報表!D:D,焊口登報表!C:C,,0),"yyyy/mm/dd"),"")</f>
        <v/>
      </c>
      <c r="M461" s="15" t="str">
        <f>IFERROR(TEXT(_xlfn.XLOOKUP(_xlfn.CONCAT(Weld_list[[#This Row],[流水號]],"_",Weld_list[[#This Row],[銲口編號]]),焊口登報表!F:F,焊口登報表!E:E,,0),"yyyy/mm/dd"),"")</f>
        <v/>
      </c>
      <c r="P461" s="15" t="e">
        <f>_xlfn.TEXTJOIN("-",TRUE,INDEX(_xlfn.TEXTSPLIT(B461,"-"),1),INDEX(_xlfn.TEXTSPLIT(B461,"-"),2),INDEX(_xlfn.TEXTSPLIT(B461,"-"),3),INDEX(_xlfn.TEXTSPLIT(B461,"-"),4),INDEX(_xlfn.TEXTSPLIT(B461,"-"),5))</f>
        <v>#REF!</v>
      </c>
      <c r="Q461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61" s="14" t="str">
        <f>IF(Weld_list[[#This Row],[組銲完成日期]]&lt;&gt;"","已完成","未完成")</f>
        <v>未完成</v>
      </c>
      <c r="S461" s="14">
        <v>1</v>
      </c>
    </row>
    <row r="462" spans="1:19" ht="20.25" hidden="1" customHeight="1">
      <c r="A462" s="14">
        <v>36</v>
      </c>
      <c r="B462" s="17" t="s">
        <v>153</v>
      </c>
      <c r="C462" s="49" t="s">
        <v>85</v>
      </c>
      <c r="D462" s="14">
        <v>15</v>
      </c>
      <c r="E462" s="14">
        <v>3</v>
      </c>
      <c r="F462" s="21">
        <f>IF(E462&lt;&gt;"",IF(Weld_list[[#This Row],[尺寸]]&lt;1,1,E462),"")</f>
        <v>3</v>
      </c>
      <c r="G462" s="14" t="s">
        <v>92</v>
      </c>
      <c r="H462" s="14">
        <v>304</v>
      </c>
      <c r="I462" s="14" t="s">
        <v>76</v>
      </c>
      <c r="J462" s="14" t="s">
        <v>95</v>
      </c>
      <c r="K462" s="14" t="str">
        <f>IFERROR(TEXT(_xlfn.XLOOKUP(_xlfn.CONCAT(Weld_list[[#This Row],[流水號]],"_",Weld_list[[#This Row],[銲口編號]]),焊口登報表!D:D,焊口登報表!C:C,,0),"yyyy/mm/dd"),"")</f>
        <v>2025/08/25</v>
      </c>
      <c r="L462" s="14" t="s">
        <v>270</v>
      </c>
      <c r="M462" s="63">
        <v>45897</v>
      </c>
      <c r="Q462" s="18" t="str">
        <f>HYPERLINK(_xlfn.CONCAT("\\192.168.1.50\3勝一\SE-37(彰濱)\01.工程圖面\01.ISO\ISO\",Weld_list[[#This Row],[流水號]],".",Weld_list[[#This Row],[DWG NO]],".pdf"))</f>
        <v>\\192.168.1.50\3勝一\SE-37(彰濱)\01.工程圖面\01.ISO\ISO\36.(UG)WW-18091-S1P4U-01.pdf</v>
      </c>
      <c r="R462" s="14"/>
      <c r="S462" s="14">
        <v>1</v>
      </c>
    </row>
    <row r="463" spans="1:19" ht="20.25" hidden="1" customHeight="1">
      <c r="A463" s="14">
        <v>37</v>
      </c>
      <c r="B463" s="17" t="s">
        <v>154</v>
      </c>
      <c r="C463" s="49" t="s">
        <v>85</v>
      </c>
      <c r="D463" s="14">
        <v>1</v>
      </c>
      <c r="E463" s="14">
        <v>6</v>
      </c>
      <c r="F463" s="21">
        <f>IF(E463&lt;&gt;"",IF(Weld_list[[#This Row],[尺寸]]&lt;1,1,E463),"")</f>
        <v>6</v>
      </c>
      <c r="G463" s="14" t="s">
        <v>92</v>
      </c>
      <c r="H463" s="14">
        <v>304</v>
      </c>
      <c r="I463" s="14" t="s">
        <v>76</v>
      </c>
      <c r="J463" s="14" t="s">
        <v>95</v>
      </c>
      <c r="K463" s="14" t="str">
        <f>IFERROR(TEXT(_xlfn.XLOOKUP(_xlfn.CONCAT(Weld_list[[#This Row],[流水號]],"_",Weld_list[[#This Row],[銲口編號]]),焊口登報表!D:D,焊口登報表!C:C,,0),"yyyy/mm/dd"),"")</f>
        <v/>
      </c>
      <c r="L463" s="14" t="s">
        <v>270</v>
      </c>
      <c r="M463" s="15" t="str">
        <f>IFERROR(TEXT(_xlfn.XLOOKUP(_xlfn.CONCAT(Weld_list[[#This Row],[流水號]],"_",Weld_list[[#This Row],[銲口編號]]),焊口登報表!F:F,焊口登報表!E:E,,0),"yyyy/mm/dd"),"")</f>
        <v/>
      </c>
      <c r="Q463" s="18" t="str">
        <f>HYPERLINK(_xlfn.CONCAT("\\192.168.1.50\3勝一\SE-37(彰濱)\01.工程圖面\01.ISO\ISO\",Weld_list[[#This Row],[流水號]],".",Weld_list[[#This Row],[DWG NO]],".pdf"))</f>
        <v>\\192.168.1.50\3勝一\SE-37(彰濱)\01.工程圖面\01.ISO\ISO\37.(UG)WW-18092-S1P4U-01.pdf</v>
      </c>
      <c r="R463" s="14"/>
      <c r="S463" s="14">
        <v>1</v>
      </c>
    </row>
    <row r="464" spans="1:19" ht="20.25" hidden="1" customHeight="1">
      <c r="A464" s="14">
        <v>37</v>
      </c>
      <c r="B464" s="17" t="s">
        <v>154</v>
      </c>
      <c r="C464" s="49" t="s">
        <v>85</v>
      </c>
      <c r="D464" s="14">
        <v>2</v>
      </c>
      <c r="E464" s="14">
        <v>6</v>
      </c>
      <c r="F464" s="21">
        <f>IF(E464&lt;&gt;"",IF(Weld_list[[#This Row],[尺寸]]&lt;1,1,E464),"")</f>
        <v>6</v>
      </c>
      <c r="G464" s="14" t="s">
        <v>92</v>
      </c>
      <c r="H464" s="14">
        <v>304</v>
      </c>
      <c r="I464" s="14" t="s">
        <v>76</v>
      </c>
      <c r="J464" s="14" t="s">
        <v>95</v>
      </c>
      <c r="K464" s="14" t="str">
        <f>IFERROR(TEXT(_xlfn.XLOOKUP(_xlfn.CONCAT(Weld_list[[#This Row],[流水號]],"_",Weld_list[[#This Row],[銲口編號]]),焊口登報表!D:D,焊口登報表!C:C,,0),"yyyy/mm/dd"),"")</f>
        <v>2025/08/25</v>
      </c>
      <c r="L464" s="14" t="s">
        <v>270</v>
      </c>
      <c r="M464" s="63">
        <v>45897</v>
      </c>
      <c r="Q464" s="18" t="str">
        <f>HYPERLINK(_xlfn.CONCAT("\\192.168.1.50\3勝一\SE-37(彰濱)\01.工程圖面\01.ISO\ISO\",Weld_list[[#This Row],[流水號]],".",Weld_list[[#This Row],[DWG NO]],".pdf"))</f>
        <v>\\192.168.1.50\3勝一\SE-37(彰濱)\01.工程圖面\01.ISO\ISO\37.(UG)WW-18092-S1P4U-01.pdf</v>
      </c>
      <c r="R464" s="14"/>
      <c r="S464" s="14">
        <v>1</v>
      </c>
    </row>
    <row r="465" spans="1:19" ht="20.25" hidden="1" customHeight="1">
      <c r="A465" s="14">
        <v>39</v>
      </c>
      <c r="B465" s="17" t="s">
        <v>155</v>
      </c>
      <c r="C465" s="49" t="s">
        <v>85</v>
      </c>
      <c r="D465" s="14">
        <v>1</v>
      </c>
      <c r="E465" s="14">
        <v>2</v>
      </c>
      <c r="F465" s="21">
        <f>IF(E465&lt;&gt;"",IF(Weld_list[[#This Row],[尺寸]]&lt;1,1,E465),"")</f>
        <v>2</v>
      </c>
      <c r="G465" s="14" t="s">
        <v>92</v>
      </c>
      <c r="H465" s="14">
        <v>304</v>
      </c>
      <c r="I465" s="14" t="s">
        <v>76</v>
      </c>
      <c r="J465" s="14" t="s">
        <v>95</v>
      </c>
      <c r="K465" s="14" t="str">
        <f>IFERROR(TEXT(_xlfn.XLOOKUP(_xlfn.CONCAT(Weld_list[[#This Row],[流水號]],"_",Weld_list[[#This Row],[銲口編號]]),焊口登報表!D:D,焊口登報表!C:C,,0),"yyyy/mm/dd"),"")</f>
        <v>2025/08/25</v>
      </c>
      <c r="L465" s="14" t="s">
        <v>270</v>
      </c>
      <c r="M465" s="63">
        <v>45897</v>
      </c>
      <c r="Q465" s="18" t="str">
        <f>HYPERLINK(_xlfn.CONCAT("\\192.168.1.50\3勝一\SE-37(彰濱)\01.工程圖面\01.ISO\ISO\",Weld_list[[#This Row],[流水號]],".",Weld_list[[#This Row],[DWG NO]],".pdf"))</f>
        <v>\\192.168.1.50\3勝一\SE-37(彰濱)\01.工程圖面\01.ISO\ISO\39.(UG)WW-16001-S1P4U-01.pdf</v>
      </c>
      <c r="R465" s="14"/>
      <c r="S465" s="14">
        <v>1</v>
      </c>
    </row>
    <row r="466" spans="1:19" ht="20.25" hidden="1" customHeight="1">
      <c r="A466" s="14">
        <v>39</v>
      </c>
      <c r="B466" s="17" t="s">
        <v>155</v>
      </c>
      <c r="C466" s="49" t="s">
        <v>85</v>
      </c>
      <c r="D466" s="14">
        <v>2</v>
      </c>
      <c r="E466" s="14">
        <v>2</v>
      </c>
      <c r="F466" s="21">
        <f>IF(E466&lt;&gt;"",IF(Weld_list[[#This Row],[尺寸]]&lt;1,1,E466),"")</f>
        <v>2</v>
      </c>
      <c r="G466" s="14" t="s">
        <v>92</v>
      </c>
      <c r="H466" s="14">
        <v>304</v>
      </c>
      <c r="I466" s="14" t="s">
        <v>76</v>
      </c>
      <c r="J466" s="14" t="s">
        <v>95</v>
      </c>
      <c r="K466" s="14" t="str">
        <f>IFERROR(TEXT(_xlfn.XLOOKUP(_xlfn.CONCAT(Weld_list[[#This Row],[流水號]],"_",Weld_list[[#This Row],[銲口編號]]),焊口登報表!D:D,焊口登報表!C:C,,0),"yyyy/mm/dd"),"")</f>
        <v>2025/08/25</v>
      </c>
      <c r="L466" s="14" t="s">
        <v>270</v>
      </c>
      <c r="M466" s="63">
        <v>45897</v>
      </c>
      <c r="Q466" s="18" t="str">
        <f>HYPERLINK(_xlfn.CONCAT("\\192.168.1.50\3勝一\SE-37(彰濱)\01.工程圖面\01.ISO\ISO\",Weld_list[[#This Row],[流水號]],".",Weld_list[[#This Row],[DWG NO]],".pdf"))</f>
        <v>\\192.168.1.50\3勝一\SE-37(彰濱)\01.工程圖面\01.ISO\ISO\39.(UG)WW-16001-S1P4U-01.pdf</v>
      </c>
      <c r="R466" s="14"/>
      <c r="S466" s="14">
        <v>1</v>
      </c>
    </row>
    <row r="467" spans="1:19" ht="20.25" hidden="1" customHeight="1">
      <c r="A467" s="14">
        <v>39</v>
      </c>
      <c r="B467" s="17" t="s">
        <v>155</v>
      </c>
      <c r="C467" s="49" t="s">
        <v>85</v>
      </c>
      <c r="D467" s="14">
        <v>3</v>
      </c>
      <c r="E467" s="14">
        <v>2</v>
      </c>
      <c r="F467" s="21">
        <f>IF(E467&lt;&gt;"",IF(Weld_list[[#This Row],[尺寸]]&lt;1,1,E467),"")</f>
        <v>2</v>
      </c>
      <c r="G467" s="14" t="s">
        <v>92</v>
      </c>
      <c r="H467" s="14">
        <v>304</v>
      </c>
      <c r="I467" s="14" t="s">
        <v>76</v>
      </c>
      <c r="J467" s="14" t="s">
        <v>95</v>
      </c>
      <c r="K467" s="14" t="str">
        <f>IFERROR(TEXT(_xlfn.XLOOKUP(_xlfn.CONCAT(Weld_list[[#This Row],[流水號]],"_",Weld_list[[#This Row],[銲口編號]]),焊口登報表!D:D,焊口登報表!C:C,,0),"yyyy/mm/dd"),"")</f>
        <v/>
      </c>
      <c r="L467" s="14" t="s">
        <v>270</v>
      </c>
      <c r="M467" s="15" t="str">
        <f>IFERROR(TEXT(_xlfn.XLOOKUP(_xlfn.CONCAT(Weld_list[[#This Row],[流水號]],"_",Weld_list[[#This Row],[銲口編號]]),焊口登報表!F:F,焊口登報表!E:E,,0),"yyyy/mm/dd"),"")</f>
        <v/>
      </c>
      <c r="Q467" s="18" t="str">
        <f>HYPERLINK(_xlfn.CONCAT("\\192.168.1.50\3勝一\SE-37(彰濱)\01.工程圖面\01.ISO\ISO\",Weld_list[[#This Row],[流水號]],".",Weld_list[[#This Row],[DWG NO]],".pdf"))</f>
        <v>\\192.168.1.50\3勝一\SE-37(彰濱)\01.工程圖面\01.ISO\ISO\39.(UG)WW-16001-S1P4U-01.pdf</v>
      </c>
      <c r="R467" s="14"/>
      <c r="S467" s="14">
        <v>1</v>
      </c>
    </row>
    <row r="468" spans="1:19" ht="20.25" hidden="1" customHeight="1">
      <c r="A468" s="14">
        <v>27</v>
      </c>
      <c r="B468" s="17" t="s">
        <v>139</v>
      </c>
      <c r="C468" s="49" t="s">
        <v>85</v>
      </c>
      <c r="D468" s="73" t="s">
        <v>278</v>
      </c>
      <c r="E468" s="14">
        <v>4</v>
      </c>
      <c r="F468" s="21">
        <f>IF(E468&lt;&gt;"",IF(Weld_list[[#This Row],[尺寸]]&lt;1,1,E468),"")</f>
        <v>4</v>
      </c>
      <c r="G468" s="14" t="s">
        <v>92</v>
      </c>
      <c r="H468" s="14">
        <v>304</v>
      </c>
      <c r="I468" s="14" t="s">
        <v>76</v>
      </c>
      <c r="J468" s="14" t="s">
        <v>90</v>
      </c>
      <c r="K468" s="63">
        <v>45974</v>
      </c>
      <c r="M468" s="63">
        <v>45977</v>
      </c>
      <c r="Q468" s="18"/>
      <c r="R468" s="14"/>
      <c r="S468" s="14">
        <v>1</v>
      </c>
    </row>
    <row r="469" spans="1:19" ht="20.25" hidden="1" customHeight="1">
      <c r="A469" s="14">
        <v>33</v>
      </c>
      <c r="B469" s="17" t="s">
        <v>149</v>
      </c>
      <c r="C469" s="49" t="s">
        <v>85</v>
      </c>
      <c r="D469" s="73" t="s">
        <v>279</v>
      </c>
      <c r="E469" s="14">
        <v>4</v>
      </c>
      <c r="F469" s="21">
        <f>IF(E469&lt;&gt;"",IF(Weld_list[[#This Row],[尺寸]]&lt;1,1,E469),"")</f>
        <v>4</v>
      </c>
      <c r="G469" s="14" t="s">
        <v>92</v>
      </c>
      <c r="H469" s="14">
        <v>304</v>
      </c>
      <c r="I469" s="14" t="s">
        <v>76</v>
      </c>
      <c r="J469" s="14" t="s">
        <v>90</v>
      </c>
      <c r="K469" s="63">
        <v>45974</v>
      </c>
      <c r="M469" s="63">
        <v>45977</v>
      </c>
      <c r="Q469" s="18"/>
      <c r="R469" s="14"/>
      <c r="S469" s="14">
        <v>1</v>
      </c>
    </row>
    <row r="470" spans="1:19" ht="20.25" hidden="1" customHeight="1">
      <c r="A470" s="14">
        <v>24</v>
      </c>
      <c r="B470" s="17" t="s">
        <v>135</v>
      </c>
      <c r="C470" s="49" t="s">
        <v>85</v>
      </c>
      <c r="D470" s="73" t="s">
        <v>279</v>
      </c>
      <c r="E470" s="14">
        <v>4</v>
      </c>
      <c r="F470" s="21">
        <f>IF(E470&lt;&gt;"",IF(Weld_list[[#This Row],[尺寸]]&lt;1,1,E470),"")</f>
        <v>4</v>
      </c>
      <c r="G470" s="14" t="s">
        <v>92</v>
      </c>
      <c r="H470" s="14">
        <v>304</v>
      </c>
      <c r="I470" s="14" t="s">
        <v>76</v>
      </c>
      <c r="J470" s="14" t="s">
        <v>90</v>
      </c>
      <c r="K470" s="63">
        <v>45974</v>
      </c>
      <c r="M470" s="63">
        <v>45977</v>
      </c>
      <c r="Q470" s="18"/>
      <c r="R470" s="14"/>
      <c r="S470" s="14">
        <v>1</v>
      </c>
    </row>
    <row r="471" spans="1:19" ht="20.25" hidden="1" customHeight="1">
      <c r="A471" s="14">
        <v>1</v>
      </c>
      <c r="B471" s="15" t="s">
        <v>84</v>
      </c>
      <c r="C471" s="49" t="s">
        <v>87</v>
      </c>
      <c r="D471" s="73" t="s">
        <v>280</v>
      </c>
      <c r="E471" s="14">
        <v>6</v>
      </c>
      <c r="F471" s="21">
        <f>IF(E471&lt;&gt;"",IF(Weld_list[[#This Row],[尺寸]]&lt;1,1,E471),"")</f>
        <v>6</v>
      </c>
      <c r="G471" s="14" t="s">
        <v>73</v>
      </c>
      <c r="H471" s="14">
        <v>304</v>
      </c>
      <c r="I471" s="14" t="s">
        <v>54</v>
      </c>
      <c r="J471" s="14" t="s">
        <v>90</v>
      </c>
      <c r="K471" s="63">
        <v>45974</v>
      </c>
      <c r="M471" s="63">
        <v>45977</v>
      </c>
      <c r="Q471" s="18"/>
      <c r="R471" s="14"/>
      <c r="S471" s="14">
        <v>1</v>
      </c>
    </row>
    <row r="472" spans="1:19" ht="20.25" hidden="1" customHeight="1">
      <c r="A472" s="14">
        <v>1</v>
      </c>
      <c r="B472" s="15" t="s">
        <v>84</v>
      </c>
      <c r="C472" s="49" t="s">
        <v>87</v>
      </c>
      <c r="D472" s="73" t="s">
        <v>281</v>
      </c>
      <c r="E472" s="14">
        <v>6</v>
      </c>
      <c r="F472" s="21">
        <f>IF(E472&lt;&gt;"",IF(Weld_list[[#This Row],[尺寸]]&lt;1,1,E472),"")</f>
        <v>6</v>
      </c>
      <c r="G472" s="14" t="s">
        <v>73</v>
      </c>
      <c r="H472" s="14">
        <v>304</v>
      </c>
      <c r="I472" s="14" t="s">
        <v>54</v>
      </c>
      <c r="J472" s="14" t="s">
        <v>90</v>
      </c>
      <c r="K472" s="63">
        <v>45974</v>
      </c>
      <c r="M472" s="63">
        <v>45977</v>
      </c>
      <c r="Q472" s="18"/>
      <c r="R472" s="14"/>
      <c r="S472" s="14">
        <v>1</v>
      </c>
    </row>
    <row r="473" spans="1:19" ht="20.25" hidden="1" customHeight="1">
      <c r="B473" s="17"/>
      <c r="Q473" s="18"/>
      <c r="R473" s="14"/>
      <c r="S473" s="14">
        <v>1</v>
      </c>
    </row>
    <row r="474" spans="1:19" ht="20.25" hidden="1" customHeight="1">
      <c r="B474" s="17"/>
      <c r="Q474" s="18"/>
      <c r="R474" s="14"/>
      <c r="S474" s="14">
        <v>1</v>
      </c>
    </row>
    <row r="475" spans="1:19" ht="20.25" hidden="1" customHeight="1">
      <c r="B475" s="17"/>
      <c r="Q475" s="18"/>
      <c r="R475" s="14"/>
      <c r="S475" s="14">
        <v>1</v>
      </c>
    </row>
    <row r="476" spans="1:19" ht="20.25" hidden="1" customHeight="1">
      <c r="B476" s="17"/>
      <c r="Q476" s="18"/>
      <c r="R476" s="14"/>
      <c r="S476" s="14">
        <v>1</v>
      </c>
    </row>
    <row r="477" spans="1:19" ht="20.25" hidden="1" customHeight="1">
      <c r="B477" s="17"/>
      <c r="Q477" s="18"/>
      <c r="R477" s="14"/>
      <c r="S477" s="14">
        <v>1</v>
      </c>
    </row>
    <row r="478" spans="1:19" ht="20.25" hidden="1" customHeight="1">
      <c r="B478" s="17"/>
      <c r="Q478" s="18"/>
      <c r="R478" s="14"/>
      <c r="S478" s="14">
        <v>1</v>
      </c>
    </row>
    <row r="479" spans="1:19" ht="20.25" hidden="1" customHeight="1">
      <c r="B479" s="17"/>
      <c r="Q479" s="18"/>
      <c r="R479" s="14"/>
      <c r="S479" s="14">
        <v>1</v>
      </c>
    </row>
    <row r="480" spans="1:19" ht="20.25" hidden="1" customHeight="1">
      <c r="B480" s="17"/>
      <c r="Q480" s="18"/>
      <c r="R480" s="14"/>
      <c r="S480" s="14">
        <v>1</v>
      </c>
    </row>
    <row r="481" spans="2:19" ht="20.25" hidden="1" customHeight="1">
      <c r="B481" s="17"/>
      <c r="Q481" s="18"/>
      <c r="R481" s="14"/>
      <c r="S481" s="14">
        <v>1</v>
      </c>
    </row>
    <row r="482" spans="2:19" ht="20.25" hidden="1" customHeight="1">
      <c r="B482" s="17"/>
      <c r="Q482" s="18"/>
      <c r="R482" s="14"/>
      <c r="S482" s="14">
        <v>1</v>
      </c>
    </row>
    <row r="483" spans="2:19" ht="20.25" hidden="1" customHeight="1">
      <c r="B483" s="17"/>
      <c r="Q483" s="18"/>
      <c r="R483" s="14"/>
      <c r="S483" s="14">
        <v>1</v>
      </c>
    </row>
    <row r="484" spans="2:19" ht="20.25" hidden="1" customHeight="1">
      <c r="B484" s="17"/>
      <c r="Q484" s="18"/>
      <c r="R484" s="14"/>
      <c r="S484" s="14">
        <v>1</v>
      </c>
    </row>
    <row r="485" spans="2:19" ht="20.25" hidden="1" customHeight="1">
      <c r="B485" s="17"/>
      <c r="Q485" s="18"/>
      <c r="R485" s="14"/>
      <c r="S485" s="14">
        <v>1</v>
      </c>
    </row>
    <row r="486" spans="2:19" ht="20.25" hidden="1" customHeight="1">
      <c r="B486" s="17"/>
      <c r="Q486" s="18"/>
      <c r="R486" s="14"/>
      <c r="S486" s="14">
        <v>1</v>
      </c>
    </row>
    <row r="487" spans="2:19" ht="20.25" hidden="1" customHeight="1">
      <c r="B487" s="17"/>
      <c r="Q487" s="18"/>
      <c r="R487" s="14"/>
      <c r="S487" s="14">
        <v>1</v>
      </c>
    </row>
    <row r="488" spans="2:19" ht="20.25" hidden="1" customHeight="1">
      <c r="B488" s="17"/>
      <c r="Q488" s="18"/>
      <c r="R488" s="14"/>
      <c r="S488" s="14">
        <v>1</v>
      </c>
    </row>
    <row r="489" spans="2:19" ht="20.25" hidden="1" customHeight="1">
      <c r="B489" s="17"/>
      <c r="Q489" s="18"/>
      <c r="R489" s="14"/>
      <c r="S489" s="14">
        <v>1</v>
      </c>
    </row>
    <row r="490" spans="2:19" ht="20.25" hidden="1" customHeight="1">
      <c r="B490" s="17"/>
      <c r="Q490" s="18"/>
      <c r="R490" s="14"/>
      <c r="S490" s="14">
        <v>1</v>
      </c>
    </row>
    <row r="491" spans="2:19" ht="20.25" hidden="1" customHeight="1">
      <c r="B491" s="17"/>
      <c r="Q491" s="18"/>
      <c r="R491" s="14"/>
      <c r="S491" s="14">
        <v>1</v>
      </c>
    </row>
    <row r="492" spans="2:19" ht="20.25" hidden="1" customHeight="1">
      <c r="B492" s="17"/>
      <c r="Q492" s="18"/>
      <c r="R492" s="14"/>
      <c r="S492" s="14">
        <v>1</v>
      </c>
    </row>
    <row r="493" spans="2:19" ht="20.25" hidden="1" customHeight="1">
      <c r="B493" s="17"/>
      <c r="Q493" s="18"/>
      <c r="R493" s="14"/>
      <c r="S493" s="14">
        <v>1</v>
      </c>
    </row>
    <row r="494" spans="2:19" ht="20.25" hidden="1" customHeight="1">
      <c r="B494" s="17"/>
      <c r="Q494" s="18"/>
      <c r="R494" s="14"/>
      <c r="S494" s="14">
        <v>1</v>
      </c>
    </row>
    <row r="495" spans="2:19" ht="20.25" hidden="1" customHeight="1">
      <c r="B495" s="17"/>
      <c r="Q495" s="18"/>
      <c r="R495" s="14"/>
      <c r="S495" s="14">
        <v>1</v>
      </c>
    </row>
    <row r="496" spans="2:19" ht="20.25" hidden="1" customHeight="1">
      <c r="B496" s="17"/>
      <c r="Q496" s="18"/>
      <c r="R496" s="14"/>
      <c r="S496" s="14">
        <v>1</v>
      </c>
    </row>
    <row r="497" spans="2:19" ht="20.25" hidden="1" customHeight="1">
      <c r="B497" s="17"/>
      <c r="Q497" s="18"/>
      <c r="R497" s="14"/>
      <c r="S497" s="14">
        <v>1</v>
      </c>
    </row>
    <row r="498" spans="2:19" ht="20.25" hidden="1" customHeight="1">
      <c r="B498" s="17"/>
      <c r="Q498" s="18"/>
      <c r="R498" s="14"/>
      <c r="S498" s="14">
        <v>1</v>
      </c>
    </row>
    <row r="499" spans="2:19" ht="20.25" hidden="1" customHeight="1">
      <c r="B499" s="17"/>
      <c r="Q499" s="18"/>
      <c r="R499" s="14"/>
      <c r="S499" s="14">
        <v>1</v>
      </c>
    </row>
    <row r="500" spans="2:19" ht="20.25" hidden="1" customHeight="1">
      <c r="B500" s="17"/>
      <c r="Q500" s="18"/>
      <c r="R500" s="14"/>
      <c r="S500" s="14">
        <v>1</v>
      </c>
    </row>
    <row r="501" spans="2:19" ht="20.25" hidden="1" customHeight="1">
      <c r="B501" s="17"/>
      <c r="Q501" s="18"/>
      <c r="R501" s="14"/>
      <c r="S501" s="14">
        <v>1</v>
      </c>
    </row>
    <row r="502" spans="2:19" ht="20.25" hidden="1" customHeight="1">
      <c r="B502" s="17"/>
      <c r="Q502" s="18"/>
      <c r="R502" s="14"/>
      <c r="S502" s="14">
        <v>1</v>
      </c>
    </row>
    <row r="503" spans="2:19" ht="20.25" hidden="1" customHeight="1">
      <c r="B503" s="17"/>
      <c r="Q503" s="18"/>
      <c r="R503" s="14"/>
      <c r="S503" s="14">
        <v>1</v>
      </c>
    </row>
    <row r="504" spans="2:19" ht="20.25" hidden="1" customHeight="1">
      <c r="B504" s="17"/>
      <c r="Q504" s="18"/>
      <c r="R504" s="14"/>
      <c r="S504" s="14">
        <v>1</v>
      </c>
    </row>
    <row r="505" spans="2:19" ht="20.25" hidden="1" customHeight="1">
      <c r="B505" s="17"/>
      <c r="Q505" s="18"/>
      <c r="R505" s="14"/>
      <c r="S505" s="14">
        <v>1</v>
      </c>
    </row>
    <row r="506" spans="2:19" ht="20.25" hidden="1" customHeight="1">
      <c r="B506" s="17"/>
      <c r="Q506" s="18"/>
      <c r="R506" s="14"/>
      <c r="S506" s="14">
        <v>1</v>
      </c>
    </row>
    <row r="507" spans="2:19" ht="20.25" hidden="1" customHeight="1">
      <c r="B507" s="17"/>
      <c r="Q507" s="18"/>
      <c r="R507" s="14"/>
      <c r="S507" s="14">
        <v>1</v>
      </c>
    </row>
    <row r="508" spans="2:19" ht="20.25" hidden="1" customHeight="1">
      <c r="B508" s="17"/>
      <c r="Q508" s="18"/>
      <c r="R508" s="14"/>
      <c r="S508" s="14">
        <v>1</v>
      </c>
    </row>
    <row r="509" spans="2:19" ht="20.25" hidden="1" customHeight="1">
      <c r="B509" s="17"/>
      <c r="Q509" s="18"/>
      <c r="R509" s="14"/>
      <c r="S509" s="14">
        <v>1</v>
      </c>
    </row>
    <row r="510" spans="2:19" ht="20.25" hidden="1" customHeight="1">
      <c r="B510" s="17"/>
      <c r="Q510" s="18"/>
      <c r="R510" s="14"/>
      <c r="S510" s="14">
        <v>1</v>
      </c>
    </row>
    <row r="511" spans="2:19" ht="20.25" hidden="1" customHeight="1">
      <c r="B511" s="17"/>
      <c r="Q511" s="18"/>
      <c r="R511" s="14"/>
      <c r="S511" s="14">
        <v>1</v>
      </c>
    </row>
    <row r="512" spans="2:19" ht="20.25" hidden="1" customHeight="1">
      <c r="B512" s="17"/>
      <c r="Q512" s="18"/>
      <c r="R512" s="14"/>
      <c r="S512" s="14">
        <v>1</v>
      </c>
    </row>
    <row r="513" spans="2:19" ht="20.25" hidden="1" customHeight="1">
      <c r="B513" s="17"/>
      <c r="Q513" s="18"/>
      <c r="R513" s="14"/>
      <c r="S513" s="14">
        <v>1</v>
      </c>
    </row>
    <row r="514" spans="2:19" ht="20.25" hidden="1" customHeight="1">
      <c r="B514" s="17"/>
      <c r="Q514" s="18"/>
      <c r="R514" s="14"/>
      <c r="S514" s="14">
        <v>1</v>
      </c>
    </row>
    <row r="515" spans="2:19" ht="20.25" hidden="1" customHeight="1">
      <c r="B515" s="17"/>
      <c r="Q515" s="18"/>
      <c r="R515" s="14"/>
      <c r="S515" s="14">
        <v>1</v>
      </c>
    </row>
    <row r="516" spans="2:19" ht="20.25" hidden="1" customHeight="1">
      <c r="B516" s="17"/>
      <c r="Q516" s="18"/>
      <c r="R516" s="14"/>
      <c r="S516" s="14">
        <v>1</v>
      </c>
    </row>
    <row r="517" spans="2:19" ht="20.25" hidden="1" customHeight="1">
      <c r="B517" s="17"/>
      <c r="Q517" s="18"/>
      <c r="R517" s="14"/>
      <c r="S517" s="14">
        <v>1</v>
      </c>
    </row>
    <row r="518" spans="2:19" ht="20.25" hidden="1" customHeight="1">
      <c r="B518" s="17"/>
      <c r="Q518" s="18"/>
      <c r="R518" s="14"/>
      <c r="S518" s="14">
        <v>1</v>
      </c>
    </row>
    <row r="519" spans="2:19" ht="20.25" hidden="1" customHeight="1">
      <c r="B519" s="17"/>
      <c r="Q519" s="18"/>
      <c r="R519" s="14"/>
      <c r="S519" s="14">
        <v>1</v>
      </c>
    </row>
    <row r="520" spans="2:19" ht="20.25" hidden="1" customHeight="1">
      <c r="B520" s="17"/>
      <c r="Q520" s="18"/>
      <c r="R520" s="14"/>
      <c r="S520" s="14">
        <v>1</v>
      </c>
    </row>
    <row r="521" spans="2:19" ht="20.25" hidden="1" customHeight="1">
      <c r="B521" s="17"/>
      <c r="Q521" s="18"/>
      <c r="R521" s="14"/>
      <c r="S521" s="14">
        <v>1</v>
      </c>
    </row>
    <row r="522" spans="2:19" ht="20.25" hidden="1" customHeight="1">
      <c r="B522" s="17"/>
      <c r="Q522" s="18"/>
      <c r="R522" s="14"/>
      <c r="S522" s="14">
        <v>1</v>
      </c>
    </row>
    <row r="523" spans="2:19" ht="20.25" hidden="1" customHeight="1">
      <c r="B523" s="17"/>
      <c r="Q523" s="18"/>
      <c r="R523" s="14"/>
      <c r="S523" s="14">
        <v>1</v>
      </c>
    </row>
    <row r="524" spans="2:19" ht="20.25" hidden="1" customHeight="1">
      <c r="B524" s="17"/>
      <c r="Q524" s="18"/>
      <c r="R524" s="14"/>
      <c r="S524" s="14">
        <v>1</v>
      </c>
    </row>
    <row r="525" spans="2:19" ht="20.25" hidden="1" customHeight="1">
      <c r="B525" s="17"/>
      <c r="Q525" s="18"/>
      <c r="R525" s="14"/>
      <c r="S525" s="14">
        <v>1</v>
      </c>
    </row>
    <row r="526" spans="2:19" ht="20.25" hidden="1" customHeight="1">
      <c r="B526" s="17"/>
      <c r="Q526" s="18"/>
      <c r="R526" s="14"/>
      <c r="S526" s="14">
        <v>1</v>
      </c>
    </row>
    <row r="527" spans="2:19" ht="20.25" hidden="1" customHeight="1">
      <c r="B527" s="17"/>
      <c r="Q527" s="18"/>
      <c r="R527" s="14"/>
      <c r="S527" s="14">
        <v>1</v>
      </c>
    </row>
    <row r="528" spans="2:19" ht="20.25" hidden="1" customHeight="1">
      <c r="B528" s="17"/>
      <c r="Q528" s="18"/>
      <c r="R528" s="14"/>
      <c r="S528" s="14">
        <v>1</v>
      </c>
    </row>
    <row r="529" spans="2:19" ht="20.25" hidden="1" customHeight="1">
      <c r="B529" s="17"/>
      <c r="Q529" s="18"/>
      <c r="R529" s="14"/>
      <c r="S529" s="14">
        <v>1</v>
      </c>
    </row>
    <row r="530" spans="2:19" ht="20.25" hidden="1" customHeight="1">
      <c r="B530" s="17"/>
      <c r="Q530" s="18"/>
      <c r="R530" s="14"/>
      <c r="S530" s="14">
        <v>1</v>
      </c>
    </row>
    <row r="531" spans="2:19" ht="20.25" hidden="1" customHeight="1">
      <c r="B531" s="17"/>
      <c r="Q531" s="18"/>
      <c r="R531" s="14"/>
      <c r="S531" s="14">
        <v>1</v>
      </c>
    </row>
    <row r="532" spans="2:19" ht="20.25" hidden="1" customHeight="1">
      <c r="B532" s="17"/>
      <c r="Q532" s="18"/>
      <c r="R532" s="14"/>
      <c r="S532" s="14">
        <v>1</v>
      </c>
    </row>
    <row r="533" spans="2:19" ht="20.25" hidden="1" customHeight="1">
      <c r="B533" s="17"/>
      <c r="Q533" s="18"/>
      <c r="R533" s="14"/>
      <c r="S533" s="14">
        <v>1</v>
      </c>
    </row>
    <row r="534" spans="2:19" ht="20.25" hidden="1" customHeight="1">
      <c r="B534" s="17"/>
      <c r="Q534" s="18"/>
      <c r="R534" s="14"/>
      <c r="S534" s="14">
        <v>1</v>
      </c>
    </row>
    <row r="535" spans="2:19" ht="20.25" hidden="1" customHeight="1">
      <c r="B535" s="17"/>
      <c r="Q535" s="18"/>
      <c r="R535" s="14"/>
      <c r="S535" s="14">
        <v>1</v>
      </c>
    </row>
    <row r="536" spans="2:19" ht="20.25" hidden="1" customHeight="1">
      <c r="B536" s="17"/>
      <c r="Q536" s="18"/>
      <c r="R536" s="14"/>
      <c r="S536" s="14">
        <v>1</v>
      </c>
    </row>
    <row r="537" spans="2:19" ht="20.25" hidden="1" customHeight="1">
      <c r="B537" s="17"/>
      <c r="Q537" s="18"/>
      <c r="R537" s="14"/>
      <c r="S537" s="14">
        <v>1</v>
      </c>
    </row>
    <row r="538" spans="2:19" ht="20.25" hidden="1" customHeight="1">
      <c r="B538" s="17"/>
      <c r="Q538" s="18"/>
      <c r="R538" s="14"/>
      <c r="S538" s="14">
        <v>1</v>
      </c>
    </row>
    <row r="539" spans="2:19" ht="20.25" hidden="1" customHeight="1">
      <c r="B539" s="17"/>
      <c r="Q539" s="18"/>
      <c r="R539" s="14"/>
      <c r="S539" s="14">
        <v>1</v>
      </c>
    </row>
    <row r="540" spans="2:19" ht="20.25" hidden="1" customHeight="1">
      <c r="B540" s="17"/>
      <c r="Q540" s="18"/>
      <c r="R540" s="14"/>
      <c r="S540" s="14">
        <v>1</v>
      </c>
    </row>
    <row r="541" spans="2:19" ht="20.25" hidden="1" customHeight="1">
      <c r="B541" s="17"/>
      <c r="Q541" s="18"/>
      <c r="R541" s="14"/>
      <c r="S541" s="14">
        <v>1</v>
      </c>
    </row>
    <row r="542" spans="2:19" ht="20.25" hidden="1" customHeight="1">
      <c r="B542" s="17"/>
      <c r="Q542" s="18"/>
      <c r="R542" s="14"/>
      <c r="S542" s="14">
        <v>1</v>
      </c>
    </row>
    <row r="543" spans="2:19" ht="20.25" hidden="1" customHeight="1">
      <c r="B543" s="17"/>
      <c r="Q543" s="18"/>
      <c r="R543" s="14"/>
      <c r="S543" s="14">
        <v>1</v>
      </c>
    </row>
    <row r="544" spans="2:19" ht="20.25" hidden="1" customHeight="1">
      <c r="B544" s="17"/>
      <c r="Q544" s="18"/>
      <c r="R544" s="14"/>
      <c r="S544" s="14">
        <v>1</v>
      </c>
    </row>
    <row r="545" spans="2:19" ht="20.25" hidden="1" customHeight="1">
      <c r="B545" s="17"/>
      <c r="Q545" s="18"/>
      <c r="R545" s="14"/>
      <c r="S545" s="14">
        <v>1</v>
      </c>
    </row>
    <row r="546" spans="2:19" ht="20.25" hidden="1" customHeight="1">
      <c r="B546" s="17"/>
      <c r="Q546" s="18"/>
      <c r="R546" s="14"/>
      <c r="S546" s="14">
        <v>1</v>
      </c>
    </row>
    <row r="547" spans="2:19" ht="20.25" hidden="1" customHeight="1">
      <c r="B547" s="17"/>
      <c r="Q547" s="18"/>
      <c r="R547" s="14"/>
      <c r="S547" s="14">
        <v>1</v>
      </c>
    </row>
    <row r="548" spans="2:19" ht="20.25" hidden="1" customHeight="1">
      <c r="B548" s="17"/>
      <c r="Q548" s="18"/>
      <c r="R548" s="14"/>
      <c r="S548" s="14">
        <v>1</v>
      </c>
    </row>
    <row r="549" spans="2:19" ht="20.25" hidden="1" customHeight="1">
      <c r="B549" s="17"/>
      <c r="Q549" s="18"/>
      <c r="R549" s="14"/>
      <c r="S549" s="14">
        <v>1</v>
      </c>
    </row>
    <row r="550" spans="2:19" ht="20.25" hidden="1" customHeight="1">
      <c r="B550" s="17"/>
      <c r="Q550" s="18"/>
      <c r="R550" s="14"/>
      <c r="S550" s="14">
        <v>1</v>
      </c>
    </row>
    <row r="551" spans="2:19" ht="20.25" hidden="1" customHeight="1">
      <c r="B551" s="17"/>
      <c r="Q551" s="18"/>
      <c r="R551" s="14"/>
      <c r="S551" s="14">
        <v>1</v>
      </c>
    </row>
    <row r="552" spans="2:19" ht="20.25" hidden="1" customHeight="1">
      <c r="B552" s="17"/>
      <c r="Q552" s="18"/>
      <c r="R552" s="14"/>
      <c r="S552" s="14">
        <v>1</v>
      </c>
    </row>
    <row r="553" spans="2:19" ht="20.25" hidden="1" customHeight="1">
      <c r="B553" s="17"/>
      <c r="Q553" s="18"/>
      <c r="R553" s="14"/>
      <c r="S553" s="14">
        <v>1</v>
      </c>
    </row>
    <row r="554" spans="2:19" ht="20.25" hidden="1" customHeight="1">
      <c r="B554" s="17"/>
      <c r="Q554" s="18"/>
      <c r="R554" s="14"/>
      <c r="S554" s="14">
        <v>1</v>
      </c>
    </row>
    <row r="555" spans="2:19" ht="20.25" hidden="1" customHeight="1">
      <c r="B555" s="17"/>
      <c r="Q555" s="18"/>
      <c r="R555" s="14"/>
      <c r="S555" s="14">
        <v>1</v>
      </c>
    </row>
    <row r="556" spans="2:19" ht="20.25" hidden="1" customHeight="1">
      <c r="B556" s="17"/>
      <c r="Q556" s="18"/>
      <c r="R556" s="14"/>
      <c r="S556" s="14">
        <v>1</v>
      </c>
    </row>
    <row r="557" spans="2:19" ht="20.25" hidden="1" customHeight="1">
      <c r="B557" s="17"/>
      <c r="Q557" s="18"/>
      <c r="R557" s="14"/>
      <c r="S557" s="14">
        <v>1</v>
      </c>
    </row>
    <row r="558" spans="2:19" ht="20.25" hidden="1" customHeight="1">
      <c r="B558" s="17"/>
      <c r="Q558" s="18"/>
      <c r="R558" s="14"/>
      <c r="S558" s="14">
        <v>1</v>
      </c>
    </row>
    <row r="559" spans="2:19" ht="20.25" hidden="1" customHeight="1">
      <c r="B559" s="17"/>
      <c r="Q559" s="18"/>
      <c r="R559" s="14"/>
      <c r="S559" s="14">
        <v>1</v>
      </c>
    </row>
    <row r="560" spans="2:19" ht="20.25" hidden="1" customHeight="1">
      <c r="B560" s="17"/>
      <c r="Q560" s="18"/>
      <c r="R560" s="14"/>
      <c r="S560" s="14">
        <v>1</v>
      </c>
    </row>
    <row r="561" spans="2:19" ht="20.25" hidden="1" customHeight="1">
      <c r="B561" s="17"/>
      <c r="Q561" s="18"/>
      <c r="R561" s="14"/>
      <c r="S561" s="14">
        <v>1</v>
      </c>
    </row>
    <row r="562" spans="2:19" ht="20.25" hidden="1" customHeight="1">
      <c r="B562" s="17"/>
      <c r="Q562" s="18"/>
      <c r="R562" s="14"/>
      <c r="S562" s="14">
        <v>1</v>
      </c>
    </row>
    <row r="563" spans="2:19" ht="20.25" hidden="1" customHeight="1">
      <c r="B563" s="17"/>
      <c r="Q563" s="18"/>
      <c r="R563" s="14"/>
      <c r="S563" s="14">
        <v>1</v>
      </c>
    </row>
    <row r="564" spans="2:19" ht="20.25" hidden="1" customHeight="1">
      <c r="B564" s="17"/>
      <c r="Q564" s="18"/>
      <c r="R564" s="14"/>
      <c r="S564" s="14">
        <v>1</v>
      </c>
    </row>
    <row r="565" spans="2:19" ht="20.25" hidden="1" customHeight="1">
      <c r="B565" s="17"/>
      <c r="Q565" s="18"/>
      <c r="R565" s="14"/>
      <c r="S565" s="14">
        <v>1</v>
      </c>
    </row>
    <row r="566" spans="2:19" ht="20.25" hidden="1" customHeight="1">
      <c r="B566" s="17"/>
      <c r="Q566" s="18"/>
      <c r="R566" s="14"/>
      <c r="S566" s="14">
        <v>1</v>
      </c>
    </row>
    <row r="567" spans="2:19" ht="20.25" hidden="1" customHeight="1">
      <c r="B567" s="17"/>
      <c r="Q567" s="18"/>
      <c r="R567" s="14"/>
      <c r="S567" s="14">
        <v>1</v>
      </c>
    </row>
    <row r="568" spans="2:19" ht="20.25" hidden="1" customHeight="1">
      <c r="B568" s="17"/>
      <c r="Q568" s="18"/>
      <c r="R568" s="14"/>
      <c r="S568" s="14">
        <v>1</v>
      </c>
    </row>
    <row r="569" spans="2:19" ht="20.25" hidden="1" customHeight="1">
      <c r="B569" s="17"/>
      <c r="Q569" s="18"/>
      <c r="R569" s="14"/>
      <c r="S569" s="14">
        <v>1</v>
      </c>
    </row>
    <row r="570" spans="2:19" ht="20.25" hidden="1" customHeight="1">
      <c r="B570" s="17"/>
      <c r="Q570" s="18"/>
      <c r="R570" s="14"/>
      <c r="S570" s="14">
        <v>1</v>
      </c>
    </row>
    <row r="571" spans="2:19" ht="20.25" hidden="1" customHeight="1">
      <c r="B571" s="17"/>
      <c r="Q571" s="18"/>
      <c r="R571" s="14"/>
      <c r="S571" s="14">
        <v>1</v>
      </c>
    </row>
    <row r="572" spans="2:19" ht="20.25" hidden="1" customHeight="1">
      <c r="B572" s="17"/>
      <c r="Q572" s="18"/>
      <c r="R572" s="14"/>
      <c r="S572" s="14">
        <v>1</v>
      </c>
    </row>
    <row r="573" spans="2:19" ht="20.25" hidden="1" customHeight="1">
      <c r="B573" s="17"/>
      <c r="Q573" s="18"/>
      <c r="R573" s="14"/>
      <c r="S573" s="14">
        <v>1</v>
      </c>
    </row>
    <row r="574" spans="2:19" ht="20.25" hidden="1" customHeight="1">
      <c r="B574" s="17"/>
      <c r="Q574" s="18"/>
      <c r="R574" s="14"/>
      <c r="S574" s="14">
        <v>1</v>
      </c>
    </row>
    <row r="575" spans="2:19" ht="20.25" hidden="1" customHeight="1">
      <c r="B575" s="17"/>
      <c r="Q575" s="18"/>
      <c r="R575" s="14"/>
      <c r="S575" s="14">
        <v>1</v>
      </c>
    </row>
    <row r="576" spans="2:19" ht="20.25" hidden="1" customHeight="1">
      <c r="B576" s="17"/>
      <c r="Q576" s="18"/>
      <c r="R576" s="14"/>
      <c r="S576" s="14">
        <v>1</v>
      </c>
    </row>
    <row r="577" spans="2:19" ht="20.25" hidden="1" customHeight="1">
      <c r="B577" s="17"/>
      <c r="Q577" s="18"/>
      <c r="R577" s="14"/>
      <c r="S577" s="14">
        <v>1</v>
      </c>
    </row>
    <row r="578" spans="2:19" ht="20.25" hidden="1" customHeight="1">
      <c r="B578" s="17"/>
      <c r="Q578" s="18"/>
      <c r="R578" s="14"/>
      <c r="S578" s="14">
        <v>1</v>
      </c>
    </row>
    <row r="579" spans="2:19" ht="20.25" hidden="1" customHeight="1">
      <c r="B579" s="17"/>
      <c r="Q579" s="18"/>
      <c r="R579" s="14"/>
      <c r="S579" s="14">
        <v>1</v>
      </c>
    </row>
    <row r="580" spans="2:19" ht="20.25" hidden="1" customHeight="1">
      <c r="B580" s="17"/>
      <c r="Q580" s="18"/>
      <c r="R580" s="14"/>
      <c r="S580" s="14">
        <v>1</v>
      </c>
    </row>
    <row r="581" spans="2:19" ht="20.25" hidden="1" customHeight="1">
      <c r="B581" s="17"/>
      <c r="Q581" s="18"/>
      <c r="R581" s="14"/>
      <c r="S581" s="14">
        <v>1</v>
      </c>
    </row>
    <row r="582" spans="2:19" ht="20.25" hidden="1" customHeight="1">
      <c r="B582" s="17"/>
      <c r="Q582" s="18"/>
      <c r="R582" s="14"/>
      <c r="S582" s="14">
        <v>1</v>
      </c>
    </row>
    <row r="583" spans="2:19" ht="20.25" hidden="1" customHeight="1">
      <c r="B583" s="17"/>
      <c r="Q583" s="18"/>
      <c r="R583" s="14"/>
      <c r="S583" s="14">
        <v>1</v>
      </c>
    </row>
    <row r="584" spans="2:19" ht="20.25" hidden="1" customHeight="1">
      <c r="B584" s="17"/>
      <c r="Q584" s="18"/>
      <c r="R584" s="14"/>
      <c r="S584" s="14">
        <v>1</v>
      </c>
    </row>
    <row r="585" spans="2:19" ht="20.25" hidden="1" customHeight="1">
      <c r="B585" s="17"/>
      <c r="Q585" s="18"/>
      <c r="R585" s="14"/>
      <c r="S585" s="14">
        <v>1</v>
      </c>
    </row>
    <row r="586" spans="2:19" ht="20.25" hidden="1" customHeight="1">
      <c r="B586" s="17"/>
      <c r="Q586" s="18"/>
      <c r="R586" s="14"/>
      <c r="S586" s="14">
        <v>1</v>
      </c>
    </row>
    <row r="587" spans="2:19" ht="20.25" hidden="1" customHeight="1">
      <c r="B587" s="17"/>
      <c r="Q587" s="18"/>
      <c r="R587" s="14"/>
      <c r="S587" s="14">
        <v>1</v>
      </c>
    </row>
    <row r="588" spans="2:19" ht="20.25" hidden="1" customHeight="1">
      <c r="B588" s="17"/>
      <c r="Q588" s="18"/>
      <c r="R588" s="14"/>
      <c r="S588" s="14">
        <v>1</v>
      </c>
    </row>
    <row r="589" spans="2:19" ht="20.25" hidden="1" customHeight="1">
      <c r="B589" s="17"/>
      <c r="Q589" s="18"/>
      <c r="R589" s="14"/>
      <c r="S589" s="14">
        <v>1</v>
      </c>
    </row>
    <row r="590" spans="2:19" ht="20.25" hidden="1" customHeight="1">
      <c r="B590" s="17"/>
      <c r="Q590" s="18"/>
      <c r="R590" s="14"/>
      <c r="S590" s="14">
        <v>1</v>
      </c>
    </row>
    <row r="591" spans="2:19" ht="20.25" hidden="1" customHeight="1">
      <c r="B591" s="17"/>
      <c r="Q591" s="18"/>
      <c r="R591" s="14"/>
      <c r="S591" s="14">
        <v>1</v>
      </c>
    </row>
    <row r="592" spans="2:19" ht="20.25" hidden="1" customHeight="1">
      <c r="B592" s="17"/>
      <c r="Q592" s="18"/>
      <c r="R592" s="14"/>
      <c r="S592" s="14">
        <v>1</v>
      </c>
    </row>
    <row r="593" spans="2:19" ht="20.25" hidden="1" customHeight="1">
      <c r="B593" s="17"/>
      <c r="Q593" s="18"/>
      <c r="R593" s="14"/>
      <c r="S593" s="14">
        <v>1</v>
      </c>
    </row>
    <row r="594" spans="2:19" ht="20.25" hidden="1" customHeight="1">
      <c r="B594" s="17"/>
      <c r="Q594" s="18"/>
      <c r="R594" s="14"/>
      <c r="S594" s="14">
        <v>1</v>
      </c>
    </row>
    <row r="595" spans="2:19" ht="20.25" hidden="1" customHeight="1">
      <c r="B595" s="17"/>
      <c r="Q595" s="18"/>
      <c r="R595" s="14"/>
      <c r="S595" s="14">
        <v>1</v>
      </c>
    </row>
    <row r="596" spans="2:19" ht="20.25" hidden="1" customHeight="1">
      <c r="B596" s="17"/>
      <c r="Q596" s="18"/>
      <c r="R596" s="14"/>
      <c r="S596" s="14">
        <v>1</v>
      </c>
    </row>
    <row r="597" spans="2:19" ht="20.25" hidden="1" customHeight="1">
      <c r="B597" s="17"/>
      <c r="Q597" s="18"/>
      <c r="R597" s="14"/>
      <c r="S597" s="14">
        <v>1</v>
      </c>
    </row>
    <row r="598" spans="2:19" ht="20.25" hidden="1" customHeight="1">
      <c r="B598" s="17"/>
      <c r="Q598" s="18"/>
      <c r="R598" s="14"/>
      <c r="S598" s="14">
        <v>1</v>
      </c>
    </row>
    <row r="599" spans="2:19" ht="20.25" hidden="1" customHeight="1">
      <c r="B599" s="17"/>
      <c r="Q599" s="18"/>
      <c r="R599" s="14"/>
      <c r="S599" s="14">
        <v>1</v>
      </c>
    </row>
    <row r="600" spans="2:19" ht="20.25" hidden="1" customHeight="1">
      <c r="B600" s="17"/>
      <c r="Q600" s="18"/>
      <c r="R600" s="14"/>
      <c r="S600" s="14">
        <v>1</v>
      </c>
    </row>
    <row r="601" spans="2:19" ht="20.25" hidden="1" customHeight="1">
      <c r="B601" s="17"/>
      <c r="Q601" s="18"/>
      <c r="R601" s="14"/>
      <c r="S601" s="14">
        <v>1</v>
      </c>
    </row>
    <row r="602" spans="2:19" ht="20.25" hidden="1" customHeight="1">
      <c r="B602" s="17"/>
      <c r="Q602" s="18"/>
      <c r="R602" s="14"/>
      <c r="S602" s="14">
        <v>1</v>
      </c>
    </row>
    <row r="603" spans="2:19" ht="20.25" hidden="1" customHeight="1">
      <c r="B603" s="17"/>
      <c r="Q603" s="18"/>
      <c r="R603" s="14"/>
      <c r="S603" s="14">
        <v>1</v>
      </c>
    </row>
    <row r="604" spans="2:19" ht="20.25" hidden="1" customHeight="1">
      <c r="B604" s="17"/>
      <c r="Q604" s="18"/>
      <c r="R604" s="14"/>
      <c r="S604" s="14">
        <v>1</v>
      </c>
    </row>
    <row r="605" spans="2:19" ht="20.25" hidden="1" customHeight="1">
      <c r="B605" s="17"/>
      <c r="Q605" s="18"/>
      <c r="R605" s="14"/>
      <c r="S605" s="14">
        <v>1</v>
      </c>
    </row>
    <row r="606" spans="2:19" ht="20.25" hidden="1" customHeight="1">
      <c r="B606" s="17"/>
      <c r="Q606" s="18"/>
      <c r="R606" s="14"/>
      <c r="S606" s="14">
        <v>1</v>
      </c>
    </row>
    <row r="607" spans="2:19" ht="20.25" hidden="1" customHeight="1">
      <c r="B607" s="17"/>
      <c r="Q607" s="18"/>
      <c r="R607" s="14"/>
      <c r="S607" s="14">
        <v>1</v>
      </c>
    </row>
    <row r="608" spans="2:19" ht="20.25" hidden="1" customHeight="1">
      <c r="B608" s="17"/>
      <c r="Q608" s="18"/>
      <c r="R608" s="14"/>
      <c r="S608" s="14">
        <v>1</v>
      </c>
    </row>
    <row r="609" spans="2:19" ht="20.25" hidden="1" customHeight="1">
      <c r="B609" s="17"/>
      <c r="Q609" s="18"/>
      <c r="R609" s="14"/>
      <c r="S609" s="14">
        <v>1</v>
      </c>
    </row>
    <row r="610" spans="2:19" ht="20.25" hidden="1" customHeight="1">
      <c r="B610" s="17"/>
      <c r="Q610" s="18"/>
      <c r="R610" s="14"/>
      <c r="S610" s="14">
        <v>1</v>
      </c>
    </row>
    <row r="611" spans="2:19" ht="20.25" hidden="1" customHeight="1">
      <c r="B611" s="17"/>
      <c r="Q611" s="18"/>
      <c r="R611" s="14"/>
      <c r="S611" s="14">
        <v>1</v>
      </c>
    </row>
    <row r="612" spans="2:19" ht="20.25" hidden="1" customHeight="1">
      <c r="B612" s="17"/>
      <c r="Q612" s="18"/>
      <c r="R612" s="14"/>
      <c r="S612" s="14">
        <v>1</v>
      </c>
    </row>
    <row r="613" spans="2:19" ht="20.25" hidden="1" customHeight="1">
      <c r="B613" s="17"/>
      <c r="Q613" s="18"/>
      <c r="R613" s="14"/>
      <c r="S613" s="14">
        <v>1</v>
      </c>
    </row>
    <row r="614" spans="2:19" ht="20.25" hidden="1" customHeight="1">
      <c r="B614" s="17"/>
      <c r="Q614" s="18"/>
      <c r="R614" s="14"/>
      <c r="S614" s="14">
        <v>1</v>
      </c>
    </row>
    <row r="615" spans="2:19" ht="20.25" hidden="1" customHeight="1">
      <c r="B615" s="17"/>
      <c r="Q615" s="18"/>
      <c r="R615" s="14"/>
      <c r="S615" s="14">
        <v>1</v>
      </c>
    </row>
    <row r="616" spans="2:19" ht="20.25" hidden="1" customHeight="1">
      <c r="B616" s="17"/>
      <c r="Q616" s="18"/>
      <c r="R616" s="14"/>
      <c r="S616" s="14">
        <v>1</v>
      </c>
    </row>
    <row r="617" spans="2:19" ht="20.25" hidden="1" customHeight="1">
      <c r="B617" s="17"/>
      <c r="Q617" s="18"/>
      <c r="R617" s="14"/>
      <c r="S617" s="14">
        <v>1</v>
      </c>
    </row>
    <row r="618" spans="2:19" ht="20.25" hidden="1" customHeight="1">
      <c r="B618" s="17"/>
      <c r="Q618" s="18"/>
      <c r="R618" s="14"/>
      <c r="S618" s="14">
        <v>1</v>
      </c>
    </row>
    <row r="619" spans="2:19" ht="20.25" hidden="1" customHeight="1">
      <c r="B619" s="17"/>
      <c r="Q619" s="18"/>
      <c r="R619" s="14"/>
      <c r="S619" s="14">
        <v>1</v>
      </c>
    </row>
    <row r="620" spans="2:19" ht="20.25" hidden="1" customHeight="1">
      <c r="B620" s="17"/>
      <c r="Q620" s="18"/>
      <c r="R620" s="14"/>
      <c r="S620" s="14">
        <v>1</v>
      </c>
    </row>
    <row r="621" spans="2:19" ht="20.25" hidden="1" customHeight="1">
      <c r="B621" s="17"/>
      <c r="Q621" s="18"/>
      <c r="R621" s="14"/>
      <c r="S621" s="14">
        <v>1</v>
      </c>
    </row>
    <row r="622" spans="2:19" ht="20.25" hidden="1" customHeight="1">
      <c r="B622" s="17"/>
      <c r="Q622" s="18"/>
      <c r="R622" s="14"/>
      <c r="S622" s="14">
        <v>1</v>
      </c>
    </row>
    <row r="623" spans="2:19" ht="20.25" hidden="1" customHeight="1">
      <c r="B623" s="17"/>
      <c r="Q623" s="18"/>
      <c r="R623" s="14"/>
      <c r="S623" s="14">
        <v>1</v>
      </c>
    </row>
    <row r="624" spans="2:19" ht="20.25" hidden="1" customHeight="1">
      <c r="B624" s="17"/>
      <c r="Q624" s="18"/>
      <c r="R624" s="14"/>
      <c r="S624" s="14">
        <v>1</v>
      </c>
    </row>
    <row r="625" spans="2:19" ht="20.25" hidden="1" customHeight="1">
      <c r="B625" s="17"/>
      <c r="Q625" s="18"/>
      <c r="R625" s="14"/>
      <c r="S625" s="14">
        <v>1</v>
      </c>
    </row>
    <row r="626" spans="2:19" ht="20.25" hidden="1" customHeight="1">
      <c r="B626" s="17"/>
      <c r="Q626" s="18"/>
      <c r="R626" s="14"/>
      <c r="S626" s="14">
        <v>1</v>
      </c>
    </row>
    <row r="627" spans="2:19" ht="20.25" hidden="1" customHeight="1">
      <c r="B627" s="17"/>
      <c r="Q627" s="18"/>
      <c r="R627" s="14"/>
      <c r="S627" s="14">
        <v>1</v>
      </c>
    </row>
    <row r="628" spans="2:19" ht="20.25" hidden="1" customHeight="1">
      <c r="B628" s="17"/>
      <c r="Q628" s="18"/>
      <c r="R628" s="14"/>
      <c r="S628" s="14">
        <v>1</v>
      </c>
    </row>
    <row r="629" spans="2:19" ht="20.25" hidden="1" customHeight="1">
      <c r="B629" s="17"/>
      <c r="Q629" s="18"/>
      <c r="R629" s="14"/>
      <c r="S629" s="14">
        <v>1</v>
      </c>
    </row>
    <row r="630" spans="2:19" ht="20.25" hidden="1" customHeight="1">
      <c r="B630" s="17"/>
      <c r="Q630" s="18"/>
      <c r="R630" s="14"/>
      <c r="S630" s="14">
        <v>1</v>
      </c>
    </row>
    <row r="631" spans="2:19" ht="20.25" hidden="1" customHeight="1">
      <c r="B631" s="17"/>
      <c r="Q631" s="18"/>
      <c r="R631" s="14"/>
      <c r="S631" s="14">
        <v>1</v>
      </c>
    </row>
    <row r="632" spans="2:19" ht="20.25" hidden="1" customHeight="1">
      <c r="B632" s="17"/>
      <c r="Q632" s="18"/>
      <c r="R632" s="14"/>
      <c r="S632" s="14">
        <v>1</v>
      </c>
    </row>
    <row r="633" spans="2:19" ht="20.25" hidden="1" customHeight="1">
      <c r="B633" s="17"/>
      <c r="Q633" s="18"/>
      <c r="R633" s="14"/>
      <c r="S633" s="14">
        <v>1</v>
      </c>
    </row>
    <row r="634" spans="2:19" ht="20.25" hidden="1" customHeight="1">
      <c r="B634" s="17"/>
      <c r="Q634" s="18"/>
      <c r="R634" s="14"/>
      <c r="S634" s="14">
        <v>1</v>
      </c>
    </row>
    <row r="635" spans="2:19" ht="20.25" hidden="1" customHeight="1">
      <c r="B635" s="17"/>
      <c r="Q635" s="18"/>
      <c r="R635" s="14"/>
      <c r="S635" s="14">
        <v>1</v>
      </c>
    </row>
    <row r="636" spans="2:19" ht="20.25" hidden="1" customHeight="1">
      <c r="B636" s="17"/>
      <c r="Q636" s="18"/>
      <c r="R636" s="14"/>
      <c r="S636" s="14">
        <v>1</v>
      </c>
    </row>
    <row r="637" spans="2:19" ht="20.25" hidden="1" customHeight="1">
      <c r="B637" s="17"/>
      <c r="Q637" s="18"/>
      <c r="R637" s="14"/>
      <c r="S637" s="14">
        <v>1</v>
      </c>
    </row>
    <row r="638" spans="2:19" ht="20.25" hidden="1" customHeight="1">
      <c r="B638" s="17"/>
      <c r="Q638" s="18"/>
      <c r="R638" s="14"/>
      <c r="S638" s="14">
        <v>1</v>
      </c>
    </row>
    <row r="639" spans="2:19" ht="20.25" hidden="1" customHeight="1">
      <c r="B639" s="17"/>
      <c r="Q639" s="18"/>
      <c r="R639" s="14"/>
      <c r="S639" s="14">
        <v>1</v>
      </c>
    </row>
    <row r="640" spans="2:19" ht="20.25" hidden="1" customHeight="1">
      <c r="B640" s="17"/>
      <c r="Q640" s="18"/>
      <c r="R640" s="14"/>
      <c r="S640" s="14">
        <v>1</v>
      </c>
    </row>
    <row r="641" spans="2:19" ht="20.25" hidden="1" customHeight="1">
      <c r="B641" s="17"/>
      <c r="Q641" s="18"/>
      <c r="R641" s="14"/>
      <c r="S641" s="14">
        <v>1</v>
      </c>
    </row>
    <row r="642" spans="2:19" ht="20.25" hidden="1" customHeight="1">
      <c r="B642" s="17"/>
      <c r="Q642" s="18"/>
      <c r="R642" s="14"/>
      <c r="S642" s="14">
        <v>1</v>
      </c>
    </row>
    <row r="643" spans="2:19" ht="20.25" hidden="1" customHeight="1">
      <c r="B643" s="17"/>
      <c r="Q643" s="18"/>
      <c r="R643" s="14"/>
      <c r="S643" s="14">
        <v>1</v>
      </c>
    </row>
    <row r="644" spans="2:19" ht="20.25" hidden="1" customHeight="1">
      <c r="B644" s="17"/>
      <c r="Q644" s="18"/>
      <c r="R644" s="14"/>
      <c r="S644" s="14">
        <v>1</v>
      </c>
    </row>
    <row r="645" spans="2:19" ht="20.25" hidden="1" customHeight="1">
      <c r="B645" s="17"/>
      <c r="Q645" s="18"/>
      <c r="R645" s="14"/>
      <c r="S645" s="14">
        <v>1</v>
      </c>
    </row>
    <row r="646" spans="2:19" ht="20.25" hidden="1" customHeight="1">
      <c r="B646" s="17"/>
      <c r="Q646" s="18"/>
      <c r="R646" s="14"/>
      <c r="S646" s="14">
        <v>1</v>
      </c>
    </row>
    <row r="647" spans="2:19" ht="20.25" hidden="1" customHeight="1">
      <c r="B647" s="17"/>
      <c r="Q647" s="18"/>
      <c r="R647" s="14"/>
      <c r="S647" s="14">
        <v>1</v>
      </c>
    </row>
    <row r="648" spans="2:19" ht="20.25" hidden="1" customHeight="1">
      <c r="B648" s="17"/>
      <c r="Q648" s="18"/>
      <c r="R648" s="14"/>
      <c r="S648" s="14">
        <v>1</v>
      </c>
    </row>
    <row r="649" spans="2:19" ht="20.25" hidden="1" customHeight="1">
      <c r="B649" s="17"/>
      <c r="Q649" s="18"/>
      <c r="R649" s="14"/>
      <c r="S649" s="14">
        <v>1</v>
      </c>
    </row>
    <row r="650" spans="2:19" ht="20.25" hidden="1" customHeight="1">
      <c r="B650" s="17"/>
      <c r="Q650" s="18"/>
      <c r="R650" s="14"/>
      <c r="S650" s="14">
        <v>1</v>
      </c>
    </row>
    <row r="651" spans="2:19" ht="20.25" hidden="1" customHeight="1">
      <c r="B651" s="17"/>
      <c r="Q651" s="18"/>
      <c r="R651" s="14"/>
      <c r="S651" s="14">
        <v>1</v>
      </c>
    </row>
    <row r="652" spans="2:19" ht="20.25" hidden="1" customHeight="1">
      <c r="B652" s="17"/>
      <c r="Q652" s="18"/>
      <c r="R652" s="14"/>
      <c r="S652" s="14">
        <v>1</v>
      </c>
    </row>
    <row r="653" spans="2:19" ht="20.25" hidden="1" customHeight="1">
      <c r="B653" s="17"/>
      <c r="Q653" s="18"/>
      <c r="R653" s="14"/>
      <c r="S653" s="14">
        <v>1</v>
      </c>
    </row>
    <row r="654" spans="2:19" ht="20.25" hidden="1" customHeight="1">
      <c r="B654" s="17"/>
      <c r="Q654" s="18"/>
      <c r="R654" s="14"/>
      <c r="S654" s="14">
        <v>1</v>
      </c>
    </row>
    <row r="655" spans="2:19" ht="20.25" hidden="1" customHeight="1">
      <c r="B655" s="17"/>
      <c r="Q655" s="18"/>
      <c r="R655" s="14"/>
      <c r="S655" s="14">
        <v>1</v>
      </c>
    </row>
    <row r="656" spans="2:19" ht="20.25" hidden="1" customHeight="1">
      <c r="B656" s="17"/>
      <c r="Q656" s="18"/>
      <c r="R656" s="14"/>
      <c r="S656" s="14">
        <v>1</v>
      </c>
    </row>
    <row r="657" spans="2:19" ht="20.25" hidden="1" customHeight="1">
      <c r="B657" s="17"/>
      <c r="Q657" s="18"/>
      <c r="R657" s="14"/>
      <c r="S657" s="14">
        <v>1</v>
      </c>
    </row>
    <row r="658" spans="2:19" ht="20.25" hidden="1" customHeight="1">
      <c r="B658" s="17"/>
      <c r="Q658" s="18"/>
      <c r="R658" s="14"/>
      <c r="S658" s="14">
        <v>1</v>
      </c>
    </row>
    <row r="659" spans="2:19" ht="20.25" hidden="1" customHeight="1">
      <c r="B659" s="17"/>
      <c r="Q659" s="18"/>
      <c r="R659" s="14"/>
      <c r="S659" s="14">
        <v>1</v>
      </c>
    </row>
    <row r="660" spans="2:19" ht="20.25" hidden="1" customHeight="1">
      <c r="B660" s="17"/>
      <c r="Q660" s="18"/>
      <c r="R660" s="14"/>
      <c r="S660" s="14">
        <v>1</v>
      </c>
    </row>
    <row r="661" spans="2:19" ht="20.25" hidden="1" customHeight="1">
      <c r="B661" s="17"/>
      <c r="Q661" s="18"/>
      <c r="R661" s="14"/>
      <c r="S661" s="14">
        <v>1</v>
      </c>
    </row>
    <row r="662" spans="2:19" ht="20.25" hidden="1" customHeight="1">
      <c r="B662" s="17"/>
      <c r="Q662" s="18"/>
      <c r="R662" s="14"/>
      <c r="S662" s="14">
        <v>1</v>
      </c>
    </row>
    <row r="663" spans="2:19" ht="20.25" hidden="1" customHeight="1">
      <c r="B663" s="17"/>
      <c r="Q663" s="18"/>
      <c r="R663" s="14"/>
      <c r="S663" s="14">
        <v>1</v>
      </c>
    </row>
    <row r="664" spans="2:19" ht="20.25" hidden="1" customHeight="1">
      <c r="B664" s="17"/>
      <c r="Q664" s="18"/>
      <c r="R664" s="14"/>
      <c r="S664" s="14">
        <v>1</v>
      </c>
    </row>
    <row r="665" spans="2:19" ht="20.25" hidden="1" customHeight="1">
      <c r="B665" s="17"/>
      <c r="Q665" s="18"/>
      <c r="R665" s="14"/>
      <c r="S665" s="14">
        <v>1</v>
      </c>
    </row>
    <row r="666" spans="2:19" ht="20.25" hidden="1" customHeight="1">
      <c r="B666" s="17"/>
      <c r="Q666" s="18"/>
      <c r="R666" s="14"/>
      <c r="S666" s="14">
        <v>1</v>
      </c>
    </row>
    <row r="667" spans="2:19" ht="20.25" hidden="1" customHeight="1">
      <c r="B667" s="17"/>
      <c r="Q667" s="18"/>
      <c r="R667" s="14"/>
      <c r="S667" s="14">
        <v>1</v>
      </c>
    </row>
    <row r="668" spans="2:19" ht="20.25" hidden="1" customHeight="1">
      <c r="B668" s="17"/>
      <c r="Q668" s="18"/>
      <c r="R668" s="14"/>
      <c r="S668" s="14">
        <v>1</v>
      </c>
    </row>
    <row r="669" spans="2:19" ht="20.25" hidden="1" customHeight="1">
      <c r="B669" s="17"/>
      <c r="Q669" s="18"/>
      <c r="R669" s="14"/>
      <c r="S669" s="14">
        <v>1</v>
      </c>
    </row>
    <row r="670" spans="2:19" ht="20.25" hidden="1" customHeight="1">
      <c r="B670" s="17"/>
      <c r="Q670" s="18"/>
      <c r="R670" s="14"/>
      <c r="S670" s="14">
        <v>1</v>
      </c>
    </row>
    <row r="671" spans="2:19" ht="20.25" hidden="1" customHeight="1">
      <c r="B671" s="17"/>
      <c r="Q671" s="18"/>
      <c r="R671" s="14"/>
      <c r="S671" s="14">
        <v>1</v>
      </c>
    </row>
    <row r="672" spans="2:19" ht="20.25" hidden="1" customHeight="1">
      <c r="B672" s="17"/>
      <c r="Q672" s="18"/>
      <c r="R672" s="14"/>
      <c r="S672" s="14">
        <v>1</v>
      </c>
    </row>
    <row r="673" spans="2:19" ht="20.25" hidden="1" customHeight="1">
      <c r="B673" s="17"/>
      <c r="Q673" s="18"/>
      <c r="R673" s="14"/>
      <c r="S673" s="14">
        <v>1</v>
      </c>
    </row>
    <row r="674" spans="2:19" ht="20.25" hidden="1" customHeight="1">
      <c r="B674" s="17"/>
      <c r="Q674" s="18"/>
      <c r="R674" s="14"/>
      <c r="S674" s="14">
        <v>1</v>
      </c>
    </row>
    <row r="675" spans="2:19" ht="20.25" hidden="1" customHeight="1">
      <c r="B675" s="17"/>
      <c r="Q675" s="18"/>
      <c r="R675" s="14"/>
      <c r="S675" s="14">
        <v>1</v>
      </c>
    </row>
    <row r="676" spans="2:19" ht="20.25" hidden="1" customHeight="1">
      <c r="B676" s="17"/>
      <c r="Q676" s="18"/>
      <c r="R676" s="14"/>
      <c r="S676" s="14">
        <v>1</v>
      </c>
    </row>
    <row r="677" spans="2:19" ht="20.25" hidden="1" customHeight="1">
      <c r="B677" s="17"/>
      <c r="Q677" s="18"/>
      <c r="R677" s="14"/>
      <c r="S677" s="14">
        <v>1</v>
      </c>
    </row>
    <row r="678" spans="2:19" ht="20.25" hidden="1" customHeight="1">
      <c r="B678" s="17"/>
      <c r="Q678" s="18"/>
      <c r="R678" s="14"/>
      <c r="S678" s="14">
        <v>1</v>
      </c>
    </row>
    <row r="679" spans="2:19" ht="20.25" hidden="1" customHeight="1">
      <c r="B679" s="17"/>
      <c r="Q679" s="18"/>
      <c r="R679" s="14"/>
      <c r="S679" s="14">
        <v>1</v>
      </c>
    </row>
    <row r="680" spans="2:19" ht="20.25" hidden="1" customHeight="1">
      <c r="B680" s="17"/>
      <c r="Q680" s="18"/>
      <c r="R680" s="14"/>
      <c r="S680" s="14">
        <v>1</v>
      </c>
    </row>
    <row r="681" spans="2:19" ht="20.25" hidden="1" customHeight="1">
      <c r="B681" s="17"/>
      <c r="Q681" s="18"/>
      <c r="R681" s="14"/>
      <c r="S681" s="14">
        <v>1</v>
      </c>
    </row>
    <row r="682" spans="2:19" ht="20.25" hidden="1" customHeight="1">
      <c r="B682" s="17"/>
      <c r="Q682" s="18"/>
      <c r="R682" s="14"/>
      <c r="S682" s="14">
        <v>1</v>
      </c>
    </row>
    <row r="683" spans="2:19" ht="20.25" hidden="1" customHeight="1">
      <c r="B683" s="17"/>
      <c r="Q683" s="18"/>
      <c r="R683" s="14"/>
      <c r="S683" s="14">
        <v>1</v>
      </c>
    </row>
    <row r="684" spans="2:19" ht="20.25" hidden="1" customHeight="1">
      <c r="B684" s="17"/>
      <c r="Q684" s="18"/>
      <c r="R684" s="14"/>
      <c r="S684" s="14">
        <v>1</v>
      </c>
    </row>
    <row r="685" spans="2:19" ht="20.25" hidden="1" customHeight="1">
      <c r="B685" s="17"/>
      <c r="Q685" s="18"/>
      <c r="R685" s="14"/>
      <c r="S685" s="14">
        <v>1</v>
      </c>
    </row>
    <row r="686" spans="2:19" ht="20.25" hidden="1" customHeight="1">
      <c r="B686" s="17"/>
      <c r="Q686" s="18"/>
      <c r="R686" s="14"/>
      <c r="S686" s="14">
        <v>1</v>
      </c>
    </row>
    <row r="687" spans="2:19" ht="20.25" hidden="1" customHeight="1">
      <c r="B687" s="17"/>
      <c r="Q687" s="18"/>
      <c r="R687" s="14"/>
      <c r="S687" s="14">
        <v>1</v>
      </c>
    </row>
    <row r="688" spans="2:19" ht="20.25" hidden="1" customHeight="1">
      <c r="B688" s="17"/>
      <c r="Q688" s="18"/>
      <c r="R688" s="14"/>
      <c r="S688" s="14">
        <v>1</v>
      </c>
    </row>
    <row r="689" spans="2:19" ht="20.25" hidden="1" customHeight="1">
      <c r="B689" s="17"/>
      <c r="Q689" s="18"/>
      <c r="R689" s="14"/>
      <c r="S689" s="14">
        <v>1</v>
      </c>
    </row>
    <row r="690" spans="2:19" ht="20.25" hidden="1" customHeight="1">
      <c r="B690" s="17"/>
      <c r="Q690" s="18"/>
      <c r="R690" s="14"/>
      <c r="S690" s="14">
        <v>1</v>
      </c>
    </row>
    <row r="691" spans="2:19" ht="20.25" hidden="1" customHeight="1">
      <c r="B691" s="17"/>
      <c r="Q691" s="18"/>
      <c r="R691" s="14"/>
      <c r="S691" s="14">
        <v>1</v>
      </c>
    </row>
    <row r="692" spans="2:19" ht="20.25" hidden="1" customHeight="1">
      <c r="B692" s="17"/>
      <c r="Q692" s="18"/>
      <c r="R692" s="14"/>
      <c r="S692" s="14">
        <v>1</v>
      </c>
    </row>
    <row r="693" spans="2:19" ht="20.25" hidden="1" customHeight="1">
      <c r="B693" s="17"/>
      <c r="Q693" s="18"/>
      <c r="R693" s="14"/>
      <c r="S693" s="14">
        <v>1</v>
      </c>
    </row>
    <row r="694" spans="2:19" ht="20.25" hidden="1" customHeight="1">
      <c r="B694" s="17"/>
      <c r="Q694" s="18"/>
      <c r="R694" s="14"/>
      <c r="S694" s="14">
        <v>1</v>
      </c>
    </row>
    <row r="695" spans="2:19" ht="20.25" hidden="1" customHeight="1">
      <c r="B695" s="17"/>
      <c r="Q695" s="18"/>
      <c r="R695" s="14"/>
      <c r="S695" s="14">
        <v>1</v>
      </c>
    </row>
    <row r="696" spans="2:19" ht="20.25" hidden="1" customHeight="1">
      <c r="B696" s="17"/>
      <c r="Q696" s="18"/>
      <c r="R696" s="14"/>
      <c r="S696" s="14">
        <v>1</v>
      </c>
    </row>
    <row r="697" spans="2:19" ht="20.25" hidden="1" customHeight="1">
      <c r="B697" s="17"/>
      <c r="Q697" s="18"/>
      <c r="R697" s="14"/>
      <c r="S697" s="14">
        <v>1</v>
      </c>
    </row>
    <row r="698" spans="2:19" ht="20.25" hidden="1" customHeight="1">
      <c r="B698" s="17"/>
      <c r="Q698" s="18"/>
      <c r="R698" s="14"/>
      <c r="S698" s="14">
        <v>1</v>
      </c>
    </row>
    <row r="699" spans="2:19" ht="20.25" hidden="1" customHeight="1">
      <c r="B699" s="17"/>
      <c r="Q699" s="18"/>
      <c r="R699" s="14"/>
      <c r="S699" s="14">
        <v>1</v>
      </c>
    </row>
    <row r="700" spans="2:19" ht="20.25" hidden="1" customHeight="1">
      <c r="B700" s="17"/>
      <c r="Q700" s="18"/>
      <c r="R700" s="14"/>
      <c r="S700" s="14">
        <v>1</v>
      </c>
    </row>
    <row r="701" spans="2:19" ht="20.25" hidden="1" customHeight="1">
      <c r="B701" s="17"/>
      <c r="Q701" s="18"/>
      <c r="R701" s="14"/>
      <c r="S701" s="14">
        <v>1</v>
      </c>
    </row>
    <row r="702" spans="2:19" ht="20.25" hidden="1" customHeight="1">
      <c r="B702" s="17"/>
      <c r="Q702" s="18"/>
      <c r="R702" s="14"/>
      <c r="S702" s="14">
        <v>1</v>
      </c>
    </row>
    <row r="703" spans="2:19" ht="20.25" hidden="1" customHeight="1">
      <c r="B703" s="17"/>
      <c r="Q703" s="18"/>
      <c r="R703" s="14"/>
      <c r="S703" s="14">
        <v>1</v>
      </c>
    </row>
    <row r="704" spans="2:19" ht="20.25" hidden="1" customHeight="1">
      <c r="B704" s="17"/>
      <c r="Q704" s="18"/>
      <c r="R704" s="14"/>
      <c r="S704" s="14">
        <v>1</v>
      </c>
    </row>
    <row r="705" spans="2:19" ht="20.25" hidden="1" customHeight="1">
      <c r="B705" s="17"/>
      <c r="Q705" s="18"/>
      <c r="R705" s="14"/>
      <c r="S705" s="14">
        <v>1</v>
      </c>
    </row>
    <row r="706" spans="2:19" ht="20.25" hidden="1" customHeight="1">
      <c r="B706" s="17"/>
      <c r="Q706" s="18"/>
      <c r="R706" s="14"/>
      <c r="S706" s="14">
        <v>1</v>
      </c>
    </row>
    <row r="707" spans="2:19" ht="20.25" hidden="1" customHeight="1">
      <c r="B707" s="17"/>
      <c r="Q707" s="18"/>
      <c r="R707" s="14"/>
      <c r="S707" s="14">
        <v>1</v>
      </c>
    </row>
    <row r="708" spans="2:19" ht="20.25" hidden="1" customHeight="1">
      <c r="B708" s="17"/>
      <c r="Q708" s="18"/>
      <c r="R708" s="14"/>
      <c r="S708" s="14">
        <v>1</v>
      </c>
    </row>
    <row r="709" spans="2:19" ht="20.25" hidden="1" customHeight="1">
      <c r="B709" s="17"/>
      <c r="Q709" s="18"/>
      <c r="R709" s="14"/>
      <c r="S709" s="14">
        <v>1</v>
      </c>
    </row>
    <row r="710" spans="2:19" ht="20.25" hidden="1" customHeight="1">
      <c r="B710" s="17"/>
      <c r="Q710" s="18"/>
      <c r="R710" s="14"/>
      <c r="S710" s="14">
        <v>1</v>
      </c>
    </row>
    <row r="711" spans="2:19" ht="20.25" hidden="1" customHeight="1">
      <c r="B711" s="17"/>
      <c r="Q711" s="18"/>
      <c r="R711" s="14"/>
      <c r="S711" s="14">
        <v>1</v>
      </c>
    </row>
    <row r="712" spans="2:19" ht="20.25" hidden="1" customHeight="1">
      <c r="B712" s="17"/>
      <c r="Q712" s="18"/>
      <c r="R712" s="14"/>
      <c r="S712" s="14">
        <v>1</v>
      </c>
    </row>
    <row r="713" spans="2:19" ht="20.25" hidden="1" customHeight="1">
      <c r="B713" s="17"/>
      <c r="Q713" s="18"/>
      <c r="R713" s="14"/>
      <c r="S713" s="14">
        <v>1</v>
      </c>
    </row>
    <row r="714" spans="2:19" ht="20.25" hidden="1" customHeight="1">
      <c r="B714" s="17"/>
      <c r="Q714" s="18"/>
      <c r="R714" s="14"/>
      <c r="S714" s="14">
        <v>1</v>
      </c>
    </row>
    <row r="715" spans="2:19" ht="20.25" hidden="1" customHeight="1">
      <c r="B715" s="17"/>
      <c r="Q715" s="18"/>
      <c r="R715" s="14"/>
      <c r="S715" s="14">
        <v>1</v>
      </c>
    </row>
    <row r="716" spans="2:19" ht="20.25" hidden="1" customHeight="1">
      <c r="B716" s="17"/>
      <c r="Q716" s="18"/>
      <c r="R716" s="14"/>
      <c r="S716" s="14">
        <v>1</v>
      </c>
    </row>
    <row r="717" spans="2:19" ht="20.25" hidden="1" customHeight="1">
      <c r="B717" s="17"/>
      <c r="Q717" s="18"/>
      <c r="R717" s="14"/>
      <c r="S717" s="14">
        <v>1</v>
      </c>
    </row>
    <row r="718" spans="2:19" ht="20.25" hidden="1" customHeight="1">
      <c r="B718" s="17"/>
      <c r="Q718" s="18"/>
      <c r="R718" s="14"/>
      <c r="S718" s="14">
        <v>1</v>
      </c>
    </row>
    <row r="719" spans="2:19" ht="20.25" hidden="1" customHeight="1">
      <c r="B719" s="17"/>
      <c r="Q719" s="18"/>
      <c r="R719" s="14"/>
      <c r="S719" s="14">
        <v>1</v>
      </c>
    </row>
    <row r="720" spans="2:19" ht="20.25" hidden="1" customHeight="1">
      <c r="B720" s="17"/>
      <c r="Q720" s="18"/>
      <c r="R720" s="14"/>
      <c r="S720" s="14">
        <v>1</v>
      </c>
    </row>
    <row r="721" spans="2:19" ht="20.25" hidden="1" customHeight="1">
      <c r="B721" s="17"/>
      <c r="Q721" s="18"/>
      <c r="R721" s="14"/>
      <c r="S721" s="14">
        <v>1</v>
      </c>
    </row>
    <row r="722" spans="2:19" ht="20.25" hidden="1" customHeight="1">
      <c r="B722" s="17"/>
      <c r="Q722" s="18"/>
      <c r="R722" s="14"/>
      <c r="S722" s="14">
        <v>1</v>
      </c>
    </row>
    <row r="723" spans="2:19" ht="20.25" hidden="1" customHeight="1">
      <c r="B723" s="17"/>
      <c r="Q723" s="18"/>
      <c r="R723" s="14"/>
      <c r="S723" s="14">
        <v>1</v>
      </c>
    </row>
    <row r="724" spans="2:19" ht="20.25" hidden="1" customHeight="1">
      <c r="B724" s="17"/>
      <c r="Q724" s="18"/>
      <c r="R724" s="14"/>
      <c r="S724" s="14">
        <v>1</v>
      </c>
    </row>
    <row r="725" spans="2:19" ht="20.25" hidden="1" customHeight="1">
      <c r="B725" s="17"/>
      <c r="Q725" s="18"/>
      <c r="R725" s="14"/>
      <c r="S725" s="14">
        <v>1</v>
      </c>
    </row>
    <row r="726" spans="2:19" ht="20.25" hidden="1" customHeight="1">
      <c r="B726" s="17"/>
      <c r="Q726" s="18"/>
      <c r="R726" s="14"/>
      <c r="S726" s="14">
        <v>1</v>
      </c>
    </row>
    <row r="727" spans="2:19" ht="20.25" hidden="1" customHeight="1">
      <c r="B727" s="17"/>
      <c r="Q727" s="18"/>
      <c r="R727" s="14"/>
      <c r="S727" s="14">
        <v>1</v>
      </c>
    </row>
    <row r="728" spans="2:19" ht="20.25" hidden="1" customHeight="1">
      <c r="B728" s="17"/>
      <c r="Q728" s="18"/>
      <c r="R728" s="14"/>
      <c r="S728" s="14">
        <v>1</v>
      </c>
    </row>
    <row r="729" spans="2:19" ht="20.25" hidden="1" customHeight="1">
      <c r="B729" s="17"/>
      <c r="Q729" s="18"/>
      <c r="R729" s="14"/>
      <c r="S729" s="14">
        <v>1</v>
      </c>
    </row>
    <row r="730" spans="2:19" ht="20.25" hidden="1" customHeight="1">
      <c r="B730" s="17"/>
      <c r="Q730" s="18"/>
      <c r="R730" s="14"/>
      <c r="S730" s="14">
        <v>1</v>
      </c>
    </row>
    <row r="731" spans="2:19" ht="20.25" hidden="1" customHeight="1">
      <c r="B731" s="17"/>
      <c r="Q731" s="18"/>
      <c r="R731" s="14"/>
      <c r="S731" s="14">
        <v>1</v>
      </c>
    </row>
    <row r="732" spans="2:19" ht="20.25" hidden="1" customHeight="1">
      <c r="B732" s="17"/>
      <c r="Q732" s="18"/>
      <c r="R732" s="14"/>
      <c r="S732" s="14">
        <v>1</v>
      </c>
    </row>
    <row r="733" spans="2:19" ht="20.25" hidden="1" customHeight="1">
      <c r="B733" s="17"/>
      <c r="Q733" s="18"/>
      <c r="R733" s="14"/>
      <c r="S733" s="14">
        <v>1</v>
      </c>
    </row>
    <row r="734" spans="2:19" ht="20.25" hidden="1" customHeight="1">
      <c r="B734" s="17"/>
      <c r="Q734" s="18"/>
      <c r="R734" s="14"/>
      <c r="S734" s="14">
        <v>1</v>
      </c>
    </row>
    <row r="735" spans="2:19" ht="20.25" hidden="1" customHeight="1">
      <c r="B735" s="17"/>
      <c r="Q735" s="18"/>
      <c r="R735" s="14"/>
      <c r="S735" s="14">
        <v>1</v>
      </c>
    </row>
    <row r="736" spans="2:19" ht="20.25" hidden="1" customHeight="1">
      <c r="B736" s="17"/>
      <c r="Q736" s="18"/>
      <c r="R736" s="14"/>
      <c r="S736" s="14">
        <v>1</v>
      </c>
    </row>
    <row r="737" spans="2:19" ht="20.25" hidden="1" customHeight="1">
      <c r="B737" s="17"/>
      <c r="Q737" s="18"/>
      <c r="R737" s="14"/>
      <c r="S737" s="14">
        <v>1</v>
      </c>
    </row>
    <row r="738" spans="2:19" ht="20.25" hidden="1" customHeight="1">
      <c r="B738" s="17"/>
      <c r="Q738" s="18"/>
      <c r="R738" s="14"/>
      <c r="S738" s="14">
        <v>1</v>
      </c>
    </row>
    <row r="739" spans="2:19" ht="20.25" hidden="1" customHeight="1">
      <c r="B739" s="17"/>
      <c r="Q739" s="18"/>
      <c r="R739" s="14"/>
      <c r="S739" s="14">
        <v>1</v>
      </c>
    </row>
    <row r="740" spans="2:19" ht="20.25" hidden="1" customHeight="1">
      <c r="B740" s="17"/>
      <c r="Q740" s="18"/>
      <c r="R740" s="14"/>
      <c r="S740" s="14">
        <v>1</v>
      </c>
    </row>
    <row r="741" spans="2:19" ht="20.25" hidden="1" customHeight="1">
      <c r="B741" s="17"/>
      <c r="Q741" s="18"/>
      <c r="R741" s="14"/>
      <c r="S741" s="14">
        <v>1</v>
      </c>
    </row>
    <row r="742" spans="2:19" ht="20.25" hidden="1" customHeight="1">
      <c r="B742" s="17"/>
      <c r="Q742" s="18"/>
      <c r="R742" s="14"/>
      <c r="S742" s="14">
        <v>1</v>
      </c>
    </row>
    <row r="743" spans="2:19" ht="20.25" hidden="1" customHeight="1">
      <c r="B743" s="17"/>
      <c r="Q743" s="18"/>
      <c r="R743" s="14"/>
      <c r="S743" s="14">
        <v>1</v>
      </c>
    </row>
    <row r="744" spans="2:19" ht="20.25" hidden="1" customHeight="1">
      <c r="B744" s="17"/>
      <c r="Q744" s="18"/>
      <c r="R744" s="14"/>
      <c r="S744" s="14">
        <v>1</v>
      </c>
    </row>
    <row r="745" spans="2:19" ht="20.25" hidden="1" customHeight="1">
      <c r="B745" s="17"/>
      <c r="Q745" s="18"/>
      <c r="R745" s="14"/>
      <c r="S745" s="14">
        <v>1</v>
      </c>
    </row>
    <row r="746" spans="2:19" ht="20.25" hidden="1" customHeight="1">
      <c r="B746" s="17"/>
      <c r="Q746" s="18"/>
      <c r="R746" s="14"/>
      <c r="S746" s="14">
        <v>1</v>
      </c>
    </row>
    <row r="747" spans="2:19" ht="20.25" hidden="1" customHeight="1">
      <c r="B747" s="17"/>
      <c r="Q747" s="18"/>
      <c r="R747" s="14"/>
      <c r="S747" s="14">
        <v>1</v>
      </c>
    </row>
    <row r="748" spans="2:19" ht="20.25" hidden="1" customHeight="1">
      <c r="B748" s="17"/>
      <c r="Q748" s="18"/>
      <c r="R748" s="14"/>
      <c r="S748" s="14">
        <v>1</v>
      </c>
    </row>
    <row r="749" spans="2:19" ht="20.25" hidden="1" customHeight="1">
      <c r="B749" s="17"/>
      <c r="Q749" s="18"/>
      <c r="R749" s="14"/>
      <c r="S749" s="14">
        <v>1</v>
      </c>
    </row>
    <row r="750" spans="2:19" ht="20.25" hidden="1" customHeight="1">
      <c r="B750" s="17"/>
      <c r="Q750" s="18"/>
      <c r="R750" s="14"/>
      <c r="S750" s="14">
        <v>1</v>
      </c>
    </row>
    <row r="751" spans="2:19" ht="20.25" hidden="1" customHeight="1">
      <c r="B751" s="17"/>
      <c r="Q751" s="18"/>
      <c r="R751" s="14"/>
      <c r="S751" s="14">
        <v>1</v>
      </c>
    </row>
    <row r="752" spans="2:19" ht="20.25" hidden="1" customHeight="1">
      <c r="B752" s="17"/>
      <c r="Q752" s="18"/>
      <c r="R752" s="14"/>
      <c r="S752" s="14">
        <v>1</v>
      </c>
    </row>
    <row r="753" spans="2:19" ht="20.25" hidden="1" customHeight="1">
      <c r="B753" s="17"/>
      <c r="Q753" s="18"/>
      <c r="R753" s="14"/>
      <c r="S753" s="14">
        <v>1</v>
      </c>
    </row>
    <row r="754" spans="2:19" ht="20.25" hidden="1" customHeight="1">
      <c r="B754" s="17"/>
      <c r="Q754" s="18"/>
      <c r="R754" s="14"/>
      <c r="S754" s="14">
        <v>1</v>
      </c>
    </row>
    <row r="755" spans="2:19" ht="20.25" hidden="1" customHeight="1">
      <c r="B755" s="17"/>
      <c r="Q755" s="18"/>
      <c r="R755" s="14"/>
      <c r="S755" s="14">
        <v>1</v>
      </c>
    </row>
    <row r="756" spans="2:19" ht="20.25" hidden="1" customHeight="1">
      <c r="B756" s="17"/>
      <c r="Q756" s="18"/>
      <c r="R756" s="14"/>
      <c r="S756" s="14">
        <v>1</v>
      </c>
    </row>
    <row r="757" spans="2:19" ht="20.25" hidden="1" customHeight="1">
      <c r="B757" s="17"/>
      <c r="Q757" s="18"/>
      <c r="R757" s="14"/>
      <c r="S757" s="14">
        <v>1</v>
      </c>
    </row>
    <row r="758" spans="2:19" ht="20.25" hidden="1" customHeight="1">
      <c r="B758" s="17"/>
      <c r="Q758" s="18"/>
      <c r="R758" s="14"/>
      <c r="S758" s="14">
        <v>1</v>
      </c>
    </row>
    <row r="759" spans="2:19" ht="20.25" hidden="1" customHeight="1">
      <c r="B759" s="17"/>
      <c r="Q759" s="18"/>
      <c r="R759" s="14"/>
      <c r="S759" s="14">
        <v>1</v>
      </c>
    </row>
    <row r="760" spans="2:19" ht="20.25" hidden="1" customHeight="1">
      <c r="B760" s="17"/>
      <c r="Q760" s="18"/>
      <c r="R760" s="14"/>
      <c r="S760" s="14">
        <v>1</v>
      </c>
    </row>
    <row r="761" spans="2:19" ht="20.25" hidden="1" customHeight="1">
      <c r="B761" s="17"/>
      <c r="Q761" s="18"/>
      <c r="R761" s="14"/>
      <c r="S761" s="14">
        <v>1</v>
      </c>
    </row>
    <row r="762" spans="2:19" ht="20.25" hidden="1" customHeight="1">
      <c r="B762" s="17"/>
      <c r="Q762" s="18"/>
      <c r="R762" s="14"/>
      <c r="S762" s="14">
        <v>1</v>
      </c>
    </row>
    <row r="763" spans="2:19" ht="20.25" hidden="1" customHeight="1">
      <c r="B763" s="17"/>
      <c r="Q763" s="18"/>
      <c r="R763" s="14"/>
      <c r="S763" s="14">
        <v>1</v>
      </c>
    </row>
    <row r="764" spans="2:19" ht="20.25" hidden="1" customHeight="1">
      <c r="B764" s="17"/>
      <c r="Q764" s="18"/>
      <c r="R764" s="14"/>
      <c r="S764" s="14">
        <v>1</v>
      </c>
    </row>
    <row r="765" spans="2:19" ht="20.25" hidden="1" customHeight="1">
      <c r="B765" s="17"/>
      <c r="Q765" s="18"/>
      <c r="R765" s="14"/>
      <c r="S765" s="14">
        <v>1</v>
      </c>
    </row>
    <row r="766" spans="2:19" ht="20.25" hidden="1" customHeight="1">
      <c r="B766" s="17"/>
      <c r="Q766" s="18"/>
      <c r="R766" s="14"/>
      <c r="S766" s="14">
        <v>1</v>
      </c>
    </row>
    <row r="767" spans="2:19" ht="20.25" hidden="1" customHeight="1">
      <c r="B767" s="17"/>
      <c r="Q767" s="18"/>
      <c r="R767" s="14"/>
      <c r="S767" s="14">
        <v>1</v>
      </c>
    </row>
    <row r="768" spans="2:19" ht="20.25" hidden="1" customHeight="1">
      <c r="B768" s="17"/>
      <c r="Q768" s="18"/>
      <c r="R768" s="14"/>
      <c r="S768" s="14">
        <v>1</v>
      </c>
    </row>
    <row r="769" spans="2:19" ht="20.25" hidden="1" customHeight="1">
      <c r="B769" s="17"/>
      <c r="Q769" s="18"/>
      <c r="R769" s="14"/>
      <c r="S769" s="14">
        <v>1</v>
      </c>
    </row>
    <row r="770" spans="2:19" ht="20.25" hidden="1" customHeight="1">
      <c r="B770" s="17"/>
      <c r="Q770" s="18"/>
      <c r="R770" s="14"/>
      <c r="S770" s="14">
        <v>1</v>
      </c>
    </row>
    <row r="771" spans="2:19" ht="20.25" hidden="1" customHeight="1">
      <c r="B771" s="17"/>
      <c r="Q771" s="18"/>
      <c r="R771" s="14"/>
      <c r="S771" s="14">
        <v>1</v>
      </c>
    </row>
    <row r="772" spans="2:19" ht="20.25" hidden="1" customHeight="1">
      <c r="B772" s="17"/>
      <c r="Q772" s="18"/>
      <c r="R772" s="14"/>
      <c r="S772" s="14">
        <v>1</v>
      </c>
    </row>
    <row r="773" spans="2:19" ht="20.25" hidden="1" customHeight="1">
      <c r="B773" s="17"/>
      <c r="Q773" s="18"/>
      <c r="R773" s="14"/>
      <c r="S773" s="14">
        <v>1</v>
      </c>
    </row>
    <row r="774" spans="2:19" ht="20.25" hidden="1" customHeight="1">
      <c r="B774" s="17"/>
      <c r="Q774" s="18"/>
      <c r="R774" s="14"/>
      <c r="S774" s="14">
        <v>1</v>
      </c>
    </row>
    <row r="775" spans="2:19" ht="20.25" hidden="1" customHeight="1">
      <c r="B775" s="17"/>
      <c r="Q775" s="18"/>
      <c r="R775" s="14"/>
      <c r="S775" s="14">
        <v>1</v>
      </c>
    </row>
    <row r="776" spans="2:19" ht="20.25" hidden="1" customHeight="1">
      <c r="B776" s="17"/>
      <c r="Q776" s="18"/>
      <c r="R776" s="14"/>
      <c r="S776" s="14">
        <v>1</v>
      </c>
    </row>
    <row r="777" spans="2:19" ht="20.25" hidden="1" customHeight="1">
      <c r="B777" s="17"/>
      <c r="Q777" s="18"/>
      <c r="R777" s="14"/>
      <c r="S777" s="14">
        <v>1</v>
      </c>
    </row>
    <row r="778" spans="2:19" ht="20.25" hidden="1" customHeight="1">
      <c r="B778" s="17"/>
      <c r="Q778" s="18"/>
      <c r="R778" s="14"/>
      <c r="S778" s="14">
        <v>1</v>
      </c>
    </row>
    <row r="779" spans="2:19" ht="20.25" hidden="1" customHeight="1">
      <c r="B779" s="17"/>
      <c r="Q779" s="18"/>
      <c r="R779" s="14"/>
      <c r="S779" s="14">
        <v>1</v>
      </c>
    </row>
    <row r="780" spans="2:19" ht="20.25" hidden="1" customHeight="1">
      <c r="B780" s="17"/>
      <c r="Q780" s="18"/>
      <c r="R780" s="14"/>
      <c r="S780" s="14">
        <v>1</v>
      </c>
    </row>
    <row r="781" spans="2:19" ht="20.25" hidden="1" customHeight="1">
      <c r="B781" s="17"/>
      <c r="Q781" s="18"/>
      <c r="R781" s="14"/>
      <c r="S781" s="14">
        <v>1</v>
      </c>
    </row>
    <row r="782" spans="2:19" ht="20.25" hidden="1" customHeight="1">
      <c r="B782" s="17"/>
      <c r="Q782" s="18"/>
      <c r="R782" s="14"/>
      <c r="S782" s="14">
        <v>1</v>
      </c>
    </row>
    <row r="783" spans="2:19" ht="20.25" hidden="1" customHeight="1">
      <c r="B783" s="17"/>
      <c r="Q783" s="18"/>
      <c r="R783" s="14"/>
      <c r="S783" s="14">
        <v>1</v>
      </c>
    </row>
    <row r="784" spans="2:19" ht="20.25" hidden="1" customHeight="1">
      <c r="B784" s="17"/>
      <c r="Q784" s="18"/>
      <c r="R784" s="14"/>
      <c r="S784" s="14">
        <v>1</v>
      </c>
    </row>
    <row r="785" spans="2:19" ht="20.25" hidden="1" customHeight="1">
      <c r="B785" s="17"/>
      <c r="Q785" s="18"/>
      <c r="R785" s="14"/>
      <c r="S785" s="14">
        <v>1</v>
      </c>
    </row>
    <row r="786" spans="2:19" ht="20.25" hidden="1" customHeight="1">
      <c r="B786" s="17"/>
      <c r="Q786" s="18"/>
      <c r="R786" s="14"/>
      <c r="S786" s="14">
        <v>1</v>
      </c>
    </row>
    <row r="787" spans="2:19" ht="20.25" hidden="1" customHeight="1">
      <c r="B787" s="17"/>
      <c r="Q787" s="18"/>
      <c r="R787" s="14"/>
      <c r="S787" s="14">
        <v>1</v>
      </c>
    </row>
    <row r="788" spans="2:19" ht="20.25" hidden="1" customHeight="1">
      <c r="B788" s="17"/>
      <c r="Q788" s="18"/>
      <c r="R788" s="14"/>
      <c r="S788" s="14">
        <v>1</v>
      </c>
    </row>
    <row r="789" spans="2:19" ht="20.25" hidden="1" customHeight="1">
      <c r="B789" s="17"/>
      <c r="Q789" s="18"/>
      <c r="R789" s="14"/>
      <c r="S789" s="14">
        <v>1</v>
      </c>
    </row>
    <row r="790" spans="2:19" ht="20.25" hidden="1" customHeight="1">
      <c r="B790" s="17"/>
      <c r="Q790" s="18"/>
      <c r="R790" s="14"/>
      <c r="S790" s="14">
        <v>1</v>
      </c>
    </row>
    <row r="791" spans="2:19" ht="20.25" hidden="1" customHeight="1">
      <c r="B791" s="17"/>
      <c r="Q791" s="18"/>
      <c r="R791" s="14"/>
      <c r="S791" s="14">
        <v>1</v>
      </c>
    </row>
    <row r="792" spans="2:19" ht="20.25" hidden="1" customHeight="1">
      <c r="B792" s="17"/>
      <c r="Q792" s="18"/>
      <c r="R792" s="14"/>
      <c r="S792" s="14">
        <v>1</v>
      </c>
    </row>
    <row r="793" spans="2:19" ht="20.25" hidden="1" customHeight="1">
      <c r="B793" s="17"/>
      <c r="Q793" s="18"/>
      <c r="R793" s="14"/>
      <c r="S793" s="14">
        <v>1</v>
      </c>
    </row>
    <row r="794" spans="2:19" ht="20.25" hidden="1" customHeight="1">
      <c r="B794" s="17"/>
      <c r="Q794" s="18"/>
      <c r="R794" s="14"/>
      <c r="S794" s="14">
        <v>1</v>
      </c>
    </row>
    <row r="795" spans="2:19" ht="20.25" hidden="1" customHeight="1">
      <c r="B795" s="17"/>
      <c r="Q795" s="18"/>
      <c r="R795" s="14"/>
      <c r="S795" s="14">
        <v>1</v>
      </c>
    </row>
    <row r="796" spans="2:19" ht="20.25" hidden="1" customHeight="1">
      <c r="B796" s="17"/>
      <c r="Q796" s="18"/>
      <c r="R796" s="14"/>
      <c r="S796" s="14">
        <v>1</v>
      </c>
    </row>
    <row r="797" spans="2:19" ht="20.25" hidden="1" customHeight="1">
      <c r="B797" s="17"/>
      <c r="Q797" s="18"/>
      <c r="R797" s="14"/>
      <c r="S797" s="14">
        <v>1</v>
      </c>
    </row>
    <row r="798" spans="2:19" ht="20.25" hidden="1" customHeight="1">
      <c r="B798" s="17"/>
      <c r="Q798" s="18"/>
      <c r="R798" s="14"/>
      <c r="S798" s="14">
        <v>1</v>
      </c>
    </row>
    <row r="799" spans="2:19" ht="20.25" hidden="1" customHeight="1">
      <c r="B799" s="17"/>
      <c r="Q799" s="18"/>
      <c r="R799" s="14"/>
      <c r="S799" s="14">
        <v>1</v>
      </c>
    </row>
    <row r="800" spans="2:19" ht="20.25" hidden="1" customHeight="1">
      <c r="B800" s="17"/>
      <c r="Q800" s="18"/>
      <c r="R800" s="14"/>
      <c r="S800" s="14">
        <v>1</v>
      </c>
    </row>
    <row r="801" spans="2:19" ht="20.25" hidden="1" customHeight="1">
      <c r="B801" s="17"/>
      <c r="Q801" s="18"/>
      <c r="R801" s="14"/>
      <c r="S801" s="14">
        <v>1</v>
      </c>
    </row>
    <row r="802" spans="2:19" ht="20.25" hidden="1" customHeight="1">
      <c r="B802" s="17"/>
      <c r="Q802" s="18"/>
      <c r="R802" s="14"/>
      <c r="S802" s="14">
        <v>1</v>
      </c>
    </row>
    <row r="803" spans="2:19" ht="20.25" hidden="1" customHeight="1">
      <c r="B803" s="17"/>
      <c r="Q803" s="18"/>
      <c r="R803" s="14"/>
      <c r="S803" s="14">
        <v>1</v>
      </c>
    </row>
    <row r="804" spans="2:19" ht="20.25" hidden="1" customHeight="1">
      <c r="B804" s="17"/>
      <c r="Q804" s="18"/>
      <c r="R804" s="14"/>
      <c r="S804" s="14">
        <v>1</v>
      </c>
    </row>
    <row r="805" spans="2:19" ht="20.25" hidden="1" customHeight="1">
      <c r="B805" s="17"/>
      <c r="Q805" s="18"/>
      <c r="R805" s="14"/>
      <c r="S805" s="14">
        <v>1</v>
      </c>
    </row>
    <row r="806" spans="2:19" ht="20.25" hidden="1" customHeight="1">
      <c r="B806" s="17"/>
      <c r="Q806" s="18"/>
      <c r="R806" s="14"/>
      <c r="S806" s="14">
        <v>1</v>
      </c>
    </row>
    <row r="807" spans="2:19" ht="20.25" hidden="1" customHeight="1">
      <c r="B807" s="17"/>
      <c r="Q807" s="18"/>
      <c r="R807" s="14"/>
      <c r="S807" s="14">
        <v>1</v>
      </c>
    </row>
    <row r="808" spans="2:19" ht="20.25" hidden="1" customHeight="1">
      <c r="B808" s="17"/>
      <c r="Q808" s="18"/>
      <c r="R808" s="14"/>
      <c r="S808" s="14">
        <v>1</v>
      </c>
    </row>
    <row r="809" spans="2:19" ht="20.25" hidden="1" customHeight="1">
      <c r="B809" s="17"/>
      <c r="Q809" s="18"/>
      <c r="R809" s="14"/>
      <c r="S809" s="14">
        <v>1</v>
      </c>
    </row>
    <row r="810" spans="2:19" ht="20.25" hidden="1" customHeight="1">
      <c r="B810" s="17"/>
      <c r="Q810" s="18"/>
      <c r="R810" s="14"/>
      <c r="S810" s="14">
        <v>1</v>
      </c>
    </row>
    <row r="811" spans="2:19" ht="20.25" hidden="1" customHeight="1">
      <c r="B811" s="17"/>
      <c r="Q811" s="18"/>
      <c r="R811" s="14"/>
      <c r="S811" s="14">
        <v>1</v>
      </c>
    </row>
    <row r="812" spans="2:19" ht="20.25" hidden="1" customHeight="1">
      <c r="B812" s="17"/>
      <c r="Q812" s="18"/>
      <c r="R812" s="14"/>
      <c r="S812" s="14">
        <v>1</v>
      </c>
    </row>
    <row r="813" spans="2:19" ht="20.25" hidden="1" customHeight="1">
      <c r="B813" s="17"/>
      <c r="Q813" s="18"/>
      <c r="R813" s="14"/>
      <c r="S813" s="14">
        <v>1</v>
      </c>
    </row>
    <row r="814" spans="2:19" ht="20.25" hidden="1" customHeight="1">
      <c r="B814" s="17"/>
      <c r="Q814" s="18"/>
      <c r="R814" s="14"/>
      <c r="S814" s="14">
        <v>1</v>
      </c>
    </row>
    <row r="815" spans="2:19" ht="20.25" hidden="1" customHeight="1">
      <c r="B815" s="17"/>
      <c r="Q815" s="18"/>
      <c r="R815" s="14"/>
      <c r="S815" s="14">
        <v>1</v>
      </c>
    </row>
    <row r="816" spans="2:19" ht="20.25" hidden="1" customHeight="1">
      <c r="B816" s="17"/>
      <c r="Q816" s="18"/>
      <c r="R816" s="14"/>
      <c r="S816" s="14">
        <v>1</v>
      </c>
    </row>
    <row r="817" spans="2:19" ht="20.25" hidden="1" customHeight="1">
      <c r="B817" s="17"/>
      <c r="Q817" s="18"/>
      <c r="R817" s="14"/>
      <c r="S817" s="14">
        <v>1</v>
      </c>
    </row>
    <row r="818" spans="2:19" ht="20.25" hidden="1" customHeight="1">
      <c r="B818" s="17"/>
      <c r="Q818" s="18"/>
      <c r="R818" s="14"/>
      <c r="S818" s="14">
        <v>1</v>
      </c>
    </row>
    <row r="819" spans="2:19" ht="20.25" hidden="1" customHeight="1">
      <c r="B819" s="17"/>
      <c r="Q819" s="18"/>
      <c r="R819" s="14"/>
      <c r="S819" s="14">
        <v>1</v>
      </c>
    </row>
    <row r="820" spans="2:19" ht="20.25" hidden="1" customHeight="1">
      <c r="B820" s="17"/>
      <c r="Q820" s="18"/>
      <c r="R820" s="14"/>
      <c r="S820" s="14">
        <v>1</v>
      </c>
    </row>
    <row r="821" spans="2:19" ht="20.25" hidden="1" customHeight="1">
      <c r="B821" s="17"/>
      <c r="Q821" s="18"/>
      <c r="R821" s="14"/>
      <c r="S821" s="14">
        <v>1</v>
      </c>
    </row>
    <row r="822" spans="2:19" ht="20.25" hidden="1" customHeight="1">
      <c r="B822" s="17"/>
      <c r="Q822" s="18"/>
      <c r="R822" s="14"/>
      <c r="S822" s="14">
        <v>1</v>
      </c>
    </row>
    <row r="823" spans="2:19" ht="20.25" hidden="1" customHeight="1">
      <c r="B823" s="17"/>
      <c r="Q823" s="18"/>
      <c r="R823" s="14"/>
      <c r="S823" s="14">
        <v>1</v>
      </c>
    </row>
    <row r="824" spans="2:19" ht="20.25" hidden="1" customHeight="1">
      <c r="B824" s="17"/>
      <c r="Q824" s="18"/>
      <c r="R824" s="14"/>
      <c r="S824" s="14">
        <v>1</v>
      </c>
    </row>
    <row r="825" spans="2:19" ht="20.25" hidden="1" customHeight="1">
      <c r="B825" s="17"/>
      <c r="Q825" s="18"/>
      <c r="R825" s="14"/>
      <c r="S825" s="14">
        <v>1</v>
      </c>
    </row>
    <row r="826" spans="2:19" ht="20.25" hidden="1" customHeight="1">
      <c r="B826" s="17"/>
      <c r="Q826" s="18"/>
      <c r="R826" s="14"/>
      <c r="S826" s="14">
        <v>1</v>
      </c>
    </row>
    <row r="827" spans="2:19" ht="20.25" hidden="1" customHeight="1">
      <c r="B827" s="17"/>
      <c r="Q827" s="18"/>
      <c r="R827" s="14"/>
      <c r="S827" s="14">
        <v>1</v>
      </c>
    </row>
    <row r="828" spans="2:19" ht="20.25" hidden="1" customHeight="1">
      <c r="B828" s="17"/>
      <c r="Q828" s="18"/>
      <c r="R828" s="14"/>
      <c r="S828" s="14">
        <v>1</v>
      </c>
    </row>
    <row r="829" spans="2:19" ht="20.25" hidden="1" customHeight="1">
      <c r="B829" s="17"/>
      <c r="Q829" s="18"/>
      <c r="R829" s="14"/>
      <c r="S829" s="14">
        <v>1</v>
      </c>
    </row>
    <row r="830" spans="2:19" ht="20.25" hidden="1" customHeight="1">
      <c r="B830" s="17"/>
      <c r="Q830" s="18"/>
      <c r="R830" s="14"/>
      <c r="S830" s="14">
        <v>1</v>
      </c>
    </row>
    <row r="831" spans="2:19" ht="20.25" hidden="1" customHeight="1">
      <c r="B831" s="17"/>
      <c r="Q831" s="18"/>
      <c r="R831" s="14"/>
      <c r="S831" s="14">
        <v>1</v>
      </c>
    </row>
    <row r="832" spans="2:19" ht="20.25" hidden="1" customHeight="1">
      <c r="B832" s="17"/>
      <c r="Q832" s="18"/>
      <c r="R832" s="14"/>
      <c r="S832" s="14">
        <v>1</v>
      </c>
    </row>
    <row r="833" spans="2:19" ht="20.25" hidden="1" customHeight="1">
      <c r="B833" s="17"/>
      <c r="Q833" s="18"/>
      <c r="R833" s="14"/>
      <c r="S833" s="14">
        <v>1</v>
      </c>
    </row>
    <row r="834" spans="2:19" ht="20.25" hidden="1" customHeight="1">
      <c r="B834" s="17"/>
      <c r="Q834" s="18"/>
      <c r="R834" s="14"/>
      <c r="S834" s="14">
        <v>1</v>
      </c>
    </row>
    <row r="835" spans="2:19" ht="20.25" hidden="1" customHeight="1">
      <c r="B835" s="17"/>
      <c r="Q835" s="18"/>
      <c r="R835" s="14"/>
      <c r="S835" s="14">
        <v>1</v>
      </c>
    </row>
    <row r="836" spans="2:19" ht="20.25" hidden="1" customHeight="1">
      <c r="B836" s="17"/>
      <c r="Q836" s="18"/>
      <c r="R836" s="14"/>
      <c r="S836" s="14">
        <v>1</v>
      </c>
    </row>
    <row r="837" spans="2:19" ht="20.25" hidden="1" customHeight="1">
      <c r="B837" s="17"/>
      <c r="Q837" s="18"/>
      <c r="R837" s="14"/>
      <c r="S837" s="14">
        <v>1</v>
      </c>
    </row>
    <row r="838" spans="2:19" ht="20.25" hidden="1" customHeight="1">
      <c r="B838" s="17"/>
      <c r="Q838" s="18"/>
      <c r="R838" s="14"/>
      <c r="S838" s="14">
        <v>1</v>
      </c>
    </row>
    <row r="839" spans="2:19" ht="20.25" hidden="1" customHeight="1">
      <c r="B839" s="17"/>
      <c r="Q839" s="18"/>
      <c r="R839" s="14"/>
      <c r="S839" s="14">
        <v>1</v>
      </c>
    </row>
    <row r="840" spans="2:19" ht="20.25" hidden="1" customHeight="1">
      <c r="B840" s="17"/>
      <c r="Q840" s="18"/>
      <c r="R840" s="14"/>
      <c r="S840" s="14">
        <v>1</v>
      </c>
    </row>
    <row r="841" spans="2:19" ht="20.25" hidden="1" customHeight="1">
      <c r="B841" s="17"/>
      <c r="Q841" s="18"/>
      <c r="R841" s="14"/>
      <c r="S841" s="14">
        <v>1</v>
      </c>
    </row>
    <row r="842" spans="2:19" ht="20.25" hidden="1" customHeight="1">
      <c r="B842" s="17"/>
      <c r="Q842" s="18"/>
      <c r="R842" s="14"/>
      <c r="S842" s="14">
        <v>1</v>
      </c>
    </row>
    <row r="843" spans="2:19" ht="20.25" hidden="1" customHeight="1">
      <c r="B843" s="17"/>
      <c r="Q843" s="18"/>
      <c r="R843" s="14"/>
      <c r="S843" s="14">
        <v>1</v>
      </c>
    </row>
    <row r="844" spans="2:19" ht="20.25" hidden="1" customHeight="1">
      <c r="B844" s="17"/>
      <c r="Q844" s="18"/>
      <c r="R844" s="14"/>
      <c r="S844" s="14">
        <v>1</v>
      </c>
    </row>
    <row r="845" spans="2:19" ht="20.25" hidden="1" customHeight="1">
      <c r="B845" s="17"/>
      <c r="Q845" s="18"/>
      <c r="R845" s="14"/>
      <c r="S845" s="14">
        <v>1</v>
      </c>
    </row>
    <row r="846" spans="2:19" ht="20.25" hidden="1" customHeight="1">
      <c r="B846" s="17"/>
      <c r="Q846" s="18"/>
      <c r="R846" s="14"/>
      <c r="S846" s="14">
        <v>1</v>
      </c>
    </row>
    <row r="847" spans="2:19" ht="20.25" hidden="1" customHeight="1">
      <c r="B847" s="17"/>
      <c r="Q847" s="18"/>
      <c r="R847" s="14"/>
      <c r="S847" s="14">
        <v>1</v>
      </c>
    </row>
    <row r="848" spans="2:19" ht="20.25" hidden="1" customHeight="1">
      <c r="B848" s="17"/>
      <c r="Q848" s="18"/>
      <c r="R848" s="14"/>
      <c r="S848" s="14">
        <v>1</v>
      </c>
    </row>
    <row r="849" spans="2:19" ht="20.25" hidden="1" customHeight="1">
      <c r="B849" s="17"/>
      <c r="Q849" s="18"/>
      <c r="R849" s="14"/>
      <c r="S849" s="14">
        <v>1</v>
      </c>
    </row>
    <row r="850" spans="2:19" ht="20.25" hidden="1" customHeight="1">
      <c r="B850" s="17"/>
      <c r="Q850" s="18"/>
      <c r="R850" s="14"/>
      <c r="S850" s="14">
        <v>1</v>
      </c>
    </row>
    <row r="851" spans="2:19" ht="20.25" hidden="1" customHeight="1">
      <c r="B851" s="17"/>
      <c r="Q851" s="18"/>
      <c r="R851" s="14"/>
      <c r="S851" s="14">
        <v>1</v>
      </c>
    </row>
    <row r="852" spans="2:19" ht="20.25" hidden="1" customHeight="1">
      <c r="B852" s="17"/>
      <c r="Q852" s="18"/>
      <c r="R852" s="14"/>
      <c r="S852" s="14">
        <v>1</v>
      </c>
    </row>
    <row r="853" spans="2:19" ht="20.25" hidden="1" customHeight="1">
      <c r="B853" s="17"/>
      <c r="Q853" s="18"/>
      <c r="R853" s="14"/>
      <c r="S853" s="14">
        <v>1</v>
      </c>
    </row>
    <row r="854" spans="2:19" ht="20.25" hidden="1" customHeight="1">
      <c r="B854" s="17"/>
      <c r="Q854" s="18"/>
      <c r="R854" s="14"/>
      <c r="S854" s="14">
        <v>1</v>
      </c>
    </row>
    <row r="855" spans="2:19" ht="20.25" hidden="1" customHeight="1">
      <c r="B855" s="17"/>
      <c r="Q855" s="18"/>
      <c r="R855" s="14"/>
      <c r="S855" s="14">
        <v>1</v>
      </c>
    </row>
    <row r="856" spans="2:19" ht="20.25" hidden="1" customHeight="1">
      <c r="B856" s="17"/>
      <c r="Q856" s="18"/>
      <c r="R856" s="14"/>
      <c r="S856" s="14">
        <v>1</v>
      </c>
    </row>
    <row r="857" spans="2:19" ht="20.25" hidden="1" customHeight="1">
      <c r="B857" s="17"/>
      <c r="Q857" s="18"/>
      <c r="R857" s="14"/>
      <c r="S857" s="14">
        <v>1</v>
      </c>
    </row>
    <row r="858" spans="2:19" ht="20.25" hidden="1" customHeight="1">
      <c r="B858" s="17"/>
      <c r="Q858" s="18"/>
      <c r="R858" s="14"/>
      <c r="S858" s="14">
        <v>1</v>
      </c>
    </row>
    <row r="859" spans="2:19" ht="20.25" hidden="1" customHeight="1">
      <c r="B859" s="17"/>
      <c r="Q859" s="18"/>
      <c r="R859" s="14"/>
      <c r="S859" s="14">
        <v>1</v>
      </c>
    </row>
    <row r="860" spans="2:19" ht="20.25" hidden="1" customHeight="1">
      <c r="B860" s="17"/>
      <c r="Q860" s="18"/>
      <c r="R860" s="14"/>
      <c r="S860" s="14">
        <v>1</v>
      </c>
    </row>
    <row r="861" spans="2:19" ht="20.25" hidden="1" customHeight="1">
      <c r="B861" s="17"/>
      <c r="Q861" s="18"/>
      <c r="R861" s="14"/>
      <c r="S861" s="14">
        <v>1</v>
      </c>
    </row>
    <row r="862" spans="2:19" ht="20.25" hidden="1" customHeight="1">
      <c r="B862" s="17"/>
      <c r="Q862" s="18"/>
      <c r="R862" s="14"/>
      <c r="S862" s="14">
        <v>1</v>
      </c>
    </row>
    <row r="863" spans="2:19" ht="20.25" hidden="1" customHeight="1">
      <c r="B863" s="17"/>
      <c r="Q863" s="18"/>
      <c r="R863" s="14"/>
      <c r="S863" s="14">
        <v>1</v>
      </c>
    </row>
    <row r="864" spans="2:19" ht="20.25" hidden="1" customHeight="1">
      <c r="B864" s="17"/>
      <c r="Q864" s="18"/>
      <c r="R864" s="14"/>
      <c r="S864" s="14">
        <v>1</v>
      </c>
    </row>
    <row r="865" spans="2:19" ht="20.25" hidden="1" customHeight="1">
      <c r="B865" s="17"/>
      <c r="Q865" s="18"/>
      <c r="R865" s="14"/>
      <c r="S865" s="14">
        <v>1</v>
      </c>
    </row>
    <row r="866" spans="2:19" ht="20.25" hidden="1" customHeight="1">
      <c r="B866" s="17"/>
      <c r="Q866" s="18"/>
      <c r="R866" s="14"/>
      <c r="S866" s="14">
        <v>1</v>
      </c>
    </row>
    <row r="867" spans="2:19" ht="20.25" hidden="1" customHeight="1">
      <c r="B867" s="17"/>
      <c r="Q867" s="18"/>
      <c r="R867" s="14"/>
      <c r="S867" s="14">
        <v>1</v>
      </c>
    </row>
    <row r="868" spans="2:19" ht="20.25" hidden="1" customHeight="1">
      <c r="B868" s="17"/>
      <c r="Q868" s="18"/>
      <c r="R868" s="14"/>
      <c r="S868" s="14">
        <v>1</v>
      </c>
    </row>
    <row r="869" spans="2:19" ht="20.25" hidden="1" customHeight="1">
      <c r="B869" s="17"/>
      <c r="Q869" s="18"/>
      <c r="R869" s="14"/>
      <c r="S869" s="14">
        <v>1</v>
      </c>
    </row>
    <row r="870" spans="2:19" ht="20.25" hidden="1" customHeight="1">
      <c r="B870" s="17"/>
      <c r="Q870" s="18"/>
      <c r="R870" s="14"/>
      <c r="S870" s="14">
        <v>1</v>
      </c>
    </row>
    <row r="871" spans="2:19" ht="20.25" hidden="1" customHeight="1">
      <c r="B871" s="17"/>
      <c r="Q871" s="18"/>
      <c r="R871" s="14"/>
      <c r="S871" s="14">
        <v>1</v>
      </c>
    </row>
    <row r="872" spans="2:19" ht="20.25" hidden="1" customHeight="1">
      <c r="B872" s="17"/>
      <c r="Q872" s="18"/>
      <c r="R872" s="14"/>
      <c r="S872" s="14">
        <v>1</v>
      </c>
    </row>
    <row r="873" spans="2:19" ht="20.25" hidden="1" customHeight="1">
      <c r="B873" s="17"/>
      <c r="Q873" s="18"/>
      <c r="R873" s="14"/>
      <c r="S873" s="14">
        <v>1</v>
      </c>
    </row>
    <row r="874" spans="2:19" ht="20.25" hidden="1" customHeight="1">
      <c r="B874" s="17"/>
      <c r="Q874" s="18"/>
      <c r="R874" s="14"/>
      <c r="S874" s="14">
        <v>1</v>
      </c>
    </row>
    <row r="875" spans="2:19" ht="20.25" hidden="1" customHeight="1">
      <c r="B875" s="17"/>
      <c r="Q875" s="18"/>
      <c r="R875" s="14"/>
      <c r="S875" s="14">
        <v>1</v>
      </c>
    </row>
    <row r="876" spans="2:19" ht="20.25" hidden="1" customHeight="1">
      <c r="B876" s="17"/>
      <c r="Q876" s="18"/>
      <c r="R876" s="14"/>
      <c r="S876" s="14">
        <v>1</v>
      </c>
    </row>
    <row r="877" spans="2:19" ht="20.25" hidden="1" customHeight="1">
      <c r="B877" s="17"/>
      <c r="Q877" s="18"/>
      <c r="R877" s="14"/>
      <c r="S877" s="14">
        <v>1</v>
      </c>
    </row>
    <row r="878" spans="2:19" ht="20.25" hidden="1" customHeight="1">
      <c r="B878" s="17"/>
      <c r="Q878" s="18"/>
      <c r="R878" s="14"/>
      <c r="S878" s="14">
        <v>1</v>
      </c>
    </row>
    <row r="879" spans="2:19" ht="20.25" hidden="1" customHeight="1">
      <c r="B879" s="17"/>
      <c r="Q879" s="18"/>
      <c r="R879" s="14"/>
      <c r="S879" s="14">
        <v>1</v>
      </c>
    </row>
    <row r="880" spans="2:19" ht="20.25" hidden="1" customHeight="1">
      <c r="B880" s="17"/>
      <c r="Q880" s="18"/>
      <c r="R880" s="14"/>
      <c r="S880" s="14">
        <v>1</v>
      </c>
    </row>
    <row r="881" spans="2:19" ht="20.25" hidden="1" customHeight="1">
      <c r="B881" s="17"/>
      <c r="Q881" s="18"/>
      <c r="R881" s="14"/>
      <c r="S881" s="14">
        <v>1</v>
      </c>
    </row>
    <row r="882" spans="2:19" ht="20.25" hidden="1" customHeight="1">
      <c r="B882" s="17"/>
      <c r="Q882" s="18"/>
      <c r="R882" s="14"/>
      <c r="S882" s="14">
        <v>1</v>
      </c>
    </row>
    <row r="883" spans="2:19" ht="20.25" hidden="1" customHeight="1">
      <c r="B883" s="17"/>
      <c r="Q883" s="18"/>
      <c r="R883" s="14"/>
      <c r="S883" s="14">
        <v>1</v>
      </c>
    </row>
    <row r="884" spans="2:19" ht="20.25" hidden="1" customHeight="1">
      <c r="B884" s="17"/>
      <c r="Q884" s="18"/>
      <c r="R884" s="14"/>
      <c r="S884" s="14">
        <v>1</v>
      </c>
    </row>
    <row r="885" spans="2:19" ht="20.25" hidden="1" customHeight="1">
      <c r="B885" s="17"/>
      <c r="Q885" s="18"/>
      <c r="R885" s="14"/>
      <c r="S885" s="14">
        <v>1</v>
      </c>
    </row>
    <row r="886" spans="2:19" ht="20.25" hidden="1" customHeight="1">
      <c r="B886" s="17"/>
      <c r="Q886" s="18"/>
      <c r="R886" s="14"/>
      <c r="S886" s="14">
        <v>1</v>
      </c>
    </row>
    <row r="887" spans="2:19" ht="20.25" hidden="1" customHeight="1">
      <c r="B887" s="17"/>
      <c r="Q887" s="18"/>
      <c r="R887" s="14"/>
      <c r="S887" s="14">
        <v>1</v>
      </c>
    </row>
    <row r="888" spans="2:19" ht="20.25" hidden="1" customHeight="1">
      <c r="B888" s="17"/>
      <c r="Q888" s="18"/>
      <c r="R888" s="14"/>
      <c r="S888" s="14">
        <v>1</v>
      </c>
    </row>
    <row r="889" spans="2:19" ht="20.25" hidden="1" customHeight="1">
      <c r="B889" s="17"/>
      <c r="Q889" s="18"/>
      <c r="R889" s="14"/>
      <c r="S889" s="14">
        <v>1</v>
      </c>
    </row>
    <row r="890" spans="2:19" ht="20.25" hidden="1" customHeight="1">
      <c r="B890" s="17"/>
      <c r="Q890" s="18"/>
      <c r="R890" s="14"/>
      <c r="S890" s="14">
        <v>1</v>
      </c>
    </row>
    <row r="891" spans="2:19" ht="20.25" hidden="1" customHeight="1">
      <c r="B891" s="17"/>
      <c r="Q891" s="18"/>
      <c r="R891" s="14"/>
      <c r="S891" s="14">
        <v>1</v>
      </c>
    </row>
    <row r="892" spans="2:19" ht="20.25" hidden="1" customHeight="1">
      <c r="B892" s="17"/>
      <c r="Q892" s="18"/>
      <c r="R892" s="14"/>
      <c r="S892" s="14">
        <v>1</v>
      </c>
    </row>
    <row r="893" spans="2:19" ht="20.25" hidden="1" customHeight="1">
      <c r="B893" s="17"/>
      <c r="Q893" s="18"/>
      <c r="R893" s="14"/>
      <c r="S893" s="14">
        <v>1</v>
      </c>
    </row>
    <row r="894" spans="2:19" ht="20.25" hidden="1" customHeight="1">
      <c r="B894" s="17"/>
      <c r="Q894" s="18"/>
      <c r="R894" s="14"/>
      <c r="S894" s="14">
        <v>1</v>
      </c>
    </row>
    <row r="895" spans="2:19" ht="20.25" hidden="1" customHeight="1">
      <c r="B895" s="17"/>
      <c r="Q895" s="18"/>
      <c r="R895" s="14"/>
      <c r="S895" s="14">
        <v>1</v>
      </c>
    </row>
    <row r="896" spans="2:19" ht="20.25" hidden="1" customHeight="1">
      <c r="B896" s="17"/>
      <c r="Q896" s="18"/>
      <c r="R896" s="14"/>
      <c r="S896" s="14">
        <v>1</v>
      </c>
    </row>
    <row r="897" spans="2:19" ht="20.25" hidden="1" customHeight="1">
      <c r="B897" s="17"/>
      <c r="Q897" s="18"/>
      <c r="R897" s="14"/>
      <c r="S897" s="14">
        <v>1</v>
      </c>
    </row>
    <row r="898" spans="2:19" ht="20.25" hidden="1" customHeight="1">
      <c r="B898" s="17"/>
      <c r="Q898" s="18"/>
      <c r="R898" s="14"/>
      <c r="S898" s="14">
        <v>1</v>
      </c>
    </row>
    <row r="899" spans="2:19" ht="20.25" hidden="1" customHeight="1">
      <c r="B899" s="17"/>
      <c r="Q899" s="18"/>
      <c r="R899" s="14"/>
      <c r="S899" s="14">
        <v>1</v>
      </c>
    </row>
    <row r="900" spans="2:19" ht="20.25" hidden="1" customHeight="1">
      <c r="B900" s="17"/>
      <c r="Q900" s="18"/>
      <c r="R900" s="14"/>
      <c r="S900" s="14">
        <v>1</v>
      </c>
    </row>
    <row r="901" spans="2:19" ht="20.25" hidden="1" customHeight="1">
      <c r="B901" s="17"/>
      <c r="Q901" s="18"/>
      <c r="R901" s="14"/>
      <c r="S901" s="14">
        <v>1</v>
      </c>
    </row>
    <row r="902" spans="2:19" ht="20.25" hidden="1" customHeight="1">
      <c r="B902" s="17"/>
      <c r="Q902" s="18"/>
      <c r="R902" s="14"/>
      <c r="S902" s="14">
        <v>1</v>
      </c>
    </row>
    <row r="903" spans="2:19" ht="20.25" hidden="1" customHeight="1">
      <c r="B903" s="17"/>
      <c r="Q903" s="18"/>
      <c r="R903" s="14"/>
      <c r="S903" s="14">
        <v>1</v>
      </c>
    </row>
    <row r="904" spans="2:19" ht="20.25" hidden="1" customHeight="1">
      <c r="B904" s="17"/>
      <c r="Q904" s="18"/>
      <c r="R904" s="14"/>
      <c r="S904" s="14">
        <v>1</v>
      </c>
    </row>
    <row r="905" spans="2:19" ht="20.25" hidden="1" customHeight="1">
      <c r="B905" s="17"/>
      <c r="Q905" s="18"/>
      <c r="R905" s="14"/>
      <c r="S905" s="14">
        <v>1</v>
      </c>
    </row>
    <row r="906" spans="2:19" ht="20.25" hidden="1" customHeight="1">
      <c r="B906" s="17"/>
      <c r="Q906" s="18"/>
      <c r="R906" s="14"/>
      <c r="S906" s="14">
        <v>1</v>
      </c>
    </row>
    <row r="907" spans="2:19" ht="20.25" hidden="1" customHeight="1">
      <c r="B907" s="17"/>
      <c r="Q907" s="18"/>
      <c r="R907" s="14"/>
      <c r="S907" s="14">
        <v>1</v>
      </c>
    </row>
    <row r="908" spans="2:19" ht="20.25" hidden="1" customHeight="1">
      <c r="B908" s="17"/>
      <c r="Q908" s="18"/>
      <c r="R908" s="14"/>
      <c r="S908" s="14">
        <v>1</v>
      </c>
    </row>
    <row r="909" spans="2:19" ht="20.25" hidden="1" customHeight="1">
      <c r="B909" s="17"/>
      <c r="O909" s="24"/>
      <c r="P909" s="24"/>
      <c r="Q909" s="18"/>
      <c r="R909" s="14"/>
      <c r="S909" s="14">
        <v>1</v>
      </c>
    </row>
    <row r="910" spans="2:19" ht="20.25" hidden="1" customHeight="1">
      <c r="B910" s="17"/>
      <c r="O910" s="24"/>
      <c r="P910" s="24"/>
      <c r="Q910" s="18"/>
      <c r="R910" s="14"/>
      <c r="S910" s="14">
        <v>1</v>
      </c>
    </row>
    <row r="911" spans="2:19" ht="20.25" hidden="1" customHeight="1">
      <c r="B911" s="17"/>
      <c r="O911" s="24"/>
      <c r="P911" s="24"/>
      <c r="Q911" s="18"/>
      <c r="R911" s="14"/>
      <c r="S911" s="14">
        <v>1</v>
      </c>
    </row>
    <row r="912" spans="2:19" ht="20.25" hidden="1" customHeight="1">
      <c r="B912" s="17"/>
      <c r="O912" s="24"/>
      <c r="P912" s="24"/>
      <c r="Q912" s="18"/>
      <c r="R912" s="14"/>
      <c r="S912" s="14">
        <v>1</v>
      </c>
    </row>
    <row r="913" spans="2:19" ht="20.25" hidden="1" customHeight="1">
      <c r="B913" s="17"/>
      <c r="O913" s="24"/>
      <c r="P913" s="24"/>
      <c r="Q913" s="18"/>
      <c r="R913" s="14"/>
      <c r="S913" s="14">
        <v>1</v>
      </c>
    </row>
    <row r="914" spans="2:19" ht="20.25" hidden="1" customHeight="1">
      <c r="B914" s="17"/>
      <c r="O914" s="24"/>
      <c r="P914" s="24"/>
      <c r="Q914" s="18"/>
      <c r="R914" s="14"/>
      <c r="S914" s="14">
        <v>1</v>
      </c>
    </row>
    <row r="915" spans="2:19" ht="20.25" hidden="1" customHeight="1">
      <c r="B915" s="17"/>
      <c r="O915" s="24"/>
      <c r="P915" s="24"/>
      <c r="Q915" s="18"/>
      <c r="R915" s="14"/>
      <c r="S915" s="14">
        <v>1</v>
      </c>
    </row>
    <row r="916" spans="2:19" ht="20.25" hidden="1" customHeight="1">
      <c r="B916" s="17"/>
      <c r="O916" s="24"/>
      <c r="P916" s="24"/>
      <c r="Q916" s="18"/>
      <c r="R916" s="14"/>
      <c r="S916" s="14">
        <v>1</v>
      </c>
    </row>
    <row r="917" spans="2:19" ht="20.25" hidden="1" customHeight="1">
      <c r="B917" s="17"/>
      <c r="O917" s="24"/>
      <c r="P917" s="24"/>
      <c r="Q917" s="18"/>
      <c r="R917" s="14"/>
      <c r="S917" s="14">
        <v>1</v>
      </c>
    </row>
    <row r="918" spans="2:19" ht="20.25" hidden="1" customHeight="1">
      <c r="B918" s="17"/>
      <c r="O918" s="24"/>
      <c r="P918" s="24"/>
      <c r="Q918" s="18"/>
      <c r="R918" s="14"/>
      <c r="S918" s="14">
        <v>1</v>
      </c>
    </row>
    <row r="919" spans="2:19" ht="20.25" hidden="1" customHeight="1">
      <c r="B919" s="17"/>
      <c r="O919" s="24"/>
      <c r="P919" s="24"/>
      <c r="Q919" s="18"/>
      <c r="R919" s="14"/>
      <c r="S919" s="14">
        <v>1</v>
      </c>
    </row>
    <row r="920" spans="2:19" ht="20.25" hidden="1" customHeight="1">
      <c r="B920" s="17"/>
      <c r="O920" s="24"/>
      <c r="P920" s="24"/>
      <c r="Q920" s="18"/>
      <c r="R920" s="14"/>
      <c r="S920" s="14">
        <v>1</v>
      </c>
    </row>
    <row r="921" spans="2:19" ht="20.25" hidden="1" customHeight="1">
      <c r="B921" s="17"/>
      <c r="O921" s="24"/>
      <c r="P921" s="24"/>
      <c r="Q921" s="18"/>
      <c r="R921" s="14"/>
      <c r="S921" s="14">
        <v>1</v>
      </c>
    </row>
    <row r="922" spans="2:19" ht="20.25" hidden="1" customHeight="1">
      <c r="B922" s="17"/>
      <c r="O922" s="24"/>
      <c r="P922" s="24"/>
      <c r="Q922" s="18"/>
      <c r="R922" s="14"/>
      <c r="S922" s="14">
        <v>1</v>
      </c>
    </row>
    <row r="923" spans="2:19" ht="20.25" hidden="1" customHeight="1">
      <c r="B923" s="17"/>
      <c r="O923" s="24"/>
      <c r="P923" s="24"/>
      <c r="Q923" s="18"/>
      <c r="R923" s="14"/>
      <c r="S923" s="14">
        <v>1</v>
      </c>
    </row>
    <row r="924" spans="2:19" ht="20.25" hidden="1" customHeight="1">
      <c r="B924" s="17"/>
      <c r="O924" s="24"/>
      <c r="P924" s="24"/>
      <c r="Q924" s="18"/>
      <c r="R924" s="14"/>
      <c r="S924" s="14">
        <v>1</v>
      </c>
    </row>
    <row r="925" spans="2:19" ht="20.25" hidden="1" customHeight="1">
      <c r="B925" s="17"/>
      <c r="O925" s="24"/>
      <c r="P925" s="24"/>
      <c r="Q925" s="18"/>
      <c r="R925" s="14"/>
      <c r="S925" s="14">
        <v>1</v>
      </c>
    </row>
    <row r="926" spans="2:19" ht="20.25" hidden="1" customHeight="1">
      <c r="B926" s="17"/>
      <c r="O926" s="24"/>
      <c r="P926" s="24"/>
      <c r="Q926" s="18"/>
      <c r="R926" s="14"/>
      <c r="S926" s="14">
        <v>1</v>
      </c>
    </row>
    <row r="927" spans="2:19" ht="20.25" hidden="1" customHeight="1">
      <c r="B927" s="17"/>
      <c r="O927" s="24"/>
      <c r="P927" s="24"/>
      <c r="Q927" s="18"/>
      <c r="R927" s="14"/>
      <c r="S927" s="14">
        <v>1</v>
      </c>
    </row>
    <row r="928" spans="2:19" ht="20.25" hidden="1" customHeight="1">
      <c r="B928" s="17"/>
      <c r="O928" s="24"/>
      <c r="P928" s="24"/>
      <c r="Q928" s="18"/>
      <c r="R928" s="14"/>
      <c r="S928" s="14">
        <v>1</v>
      </c>
    </row>
    <row r="929" spans="2:19" ht="20.25" hidden="1" customHeight="1">
      <c r="B929" s="17"/>
      <c r="O929" s="24"/>
      <c r="P929" s="24"/>
      <c r="Q929" s="18"/>
      <c r="R929" s="14"/>
      <c r="S929" s="14">
        <v>1</v>
      </c>
    </row>
    <row r="930" spans="2:19" ht="20.25" hidden="1" customHeight="1">
      <c r="B930" s="17"/>
      <c r="O930" s="24"/>
      <c r="P930" s="24"/>
      <c r="Q930" s="18"/>
      <c r="R930" s="14"/>
      <c r="S930" s="14">
        <v>1</v>
      </c>
    </row>
    <row r="931" spans="2:19" ht="20.25" hidden="1" customHeight="1">
      <c r="B931" s="17"/>
      <c r="O931" s="24"/>
      <c r="P931" s="24"/>
      <c r="Q931" s="18"/>
      <c r="R931" s="14"/>
      <c r="S931" s="14">
        <v>1</v>
      </c>
    </row>
    <row r="932" spans="2:19" ht="20.25" hidden="1" customHeight="1">
      <c r="B932" s="17"/>
      <c r="O932" s="24"/>
      <c r="P932" s="24"/>
      <c r="Q932" s="18"/>
      <c r="R932" s="14"/>
      <c r="S932" s="14">
        <v>1</v>
      </c>
    </row>
    <row r="933" spans="2:19" ht="20.25" hidden="1" customHeight="1">
      <c r="B933" s="17"/>
      <c r="O933" s="24"/>
      <c r="P933" s="24"/>
      <c r="Q933" s="18"/>
      <c r="R933" s="14"/>
      <c r="S933" s="14">
        <v>1</v>
      </c>
    </row>
    <row r="934" spans="2:19" ht="20.25" hidden="1" customHeight="1">
      <c r="B934" s="17"/>
      <c r="O934" s="24"/>
      <c r="P934" s="24"/>
      <c r="Q934" s="18"/>
      <c r="R934" s="14"/>
      <c r="S934" s="14">
        <v>1</v>
      </c>
    </row>
    <row r="935" spans="2:19" ht="20.25" hidden="1" customHeight="1">
      <c r="B935" s="17"/>
      <c r="O935" s="24"/>
      <c r="P935" s="24"/>
      <c r="Q935" s="18"/>
      <c r="R935" s="14"/>
      <c r="S935" s="14">
        <v>1</v>
      </c>
    </row>
    <row r="936" spans="2:19" ht="20.25" hidden="1" customHeight="1">
      <c r="B936" s="17"/>
      <c r="O936" s="24"/>
      <c r="P936" s="24"/>
      <c r="Q936" s="18"/>
      <c r="R936" s="14"/>
      <c r="S936" s="14">
        <v>1</v>
      </c>
    </row>
    <row r="937" spans="2:19" ht="20.25" hidden="1" customHeight="1">
      <c r="B937" s="17"/>
      <c r="Q937" s="18"/>
      <c r="R937" s="14"/>
      <c r="S937" s="14">
        <v>1</v>
      </c>
    </row>
    <row r="938" spans="2:19" ht="20.25" hidden="1" customHeight="1">
      <c r="B938" s="17"/>
      <c r="Q938" s="18"/>
      <c r="R938" s="14"/>
      <c r="S938" s="14">
        <v>1</v>
      </c>
    </row>
    <row r="939" spans="2:19" ht="20.25" hidden="1" customHeight="1">
      <c r="B939" s="17"/>
      <c r="Q939" s="18"/>
      <c r="R939" s="14"/>
      <c r="S939" s="14">
        <v>1</v>
      </c>
    </row>
    <row r="940" spans="2:19" ht="20.25" hidden="1" customHeight="1">
      <c r="B940" s="17"/>
      <c r="Q940" s="18"/>
      <c r="R940" s="14"/>
      <c r="S940" s="14">
        <v>1</v>
      </c>
    </row>
    <row r="941" spans="2:19" ht="20.25" hidden="1" customHeight="1">
      <c r="B941" s="17"/>
      <c r="Q941" s="18"/>
      <c r="R941" s="14"/>
      <c r="S941" s="14">
        <v>1</v>
      </c>
    </row>
    <row r="942" spans="2:19" ht="20.25" hidden="1" customHeight="1">
      <c r="B942" s="17"/>
      <c r="Q942" s="18"/>
      <c r="R942" s="14"/>
      <c r="S942" s="14">
        <v>1</v>
      </c>
    </row>
    <row r="943" spans="2:19" ht="20.25" hidden="1" customHeight="1">
      <c r="B943" s="17"/>
      <c r="Q943" s="18"/>
      <c r="R943" s="14"/>
      <c r="S943" s="14">
        <v>1</v>
      </c>
    </row>
    <row r="944" spans="2:19" ht="20.25" hidden="1" customHeight="1">
      <c r="B944" s="17"/>
      <c r="Q944" s="18"/>
      <c r="R944" s="14"/>
      <c r="S944" s="14">
        <v>1</v>
      </c>
    </row>
    <row r="945" spans="2:19" ht="20.25" hidden="1" customHeight="1">
      <c r="B945" s="17"/>
      <c r="Q945" s="18"/>
      <c r="R945" s="14"/>
      <c r="S945" s="14">
        <v>1</v>
      </c>
    </row>
    <row r="946" spans="2:19" ht="20.25" hidden="1" customHeight="1">
      <c r="B946" s="17"/>
      <c r="Q946" s="18"/>
      <c r="R946" s="14"/>
      <c r="S946" s="14">
        <v>1</v>
      </c>
    </row>
    <row r="947" spans="2:19" ht="20.25" hidden="1" customHeight="1">
      <c r="B947" s="17"/>
      <c r="Q947" s="18"/>
      <c r="R947" s="14"/>
      <c r="S947" s="14">
        <v>1</v>
      </c>
    </row>
    <row r="948" spans="2:19" ht="20.25" hidden="1" customHeight="1">
      <c r="B948" s="17"/>
      <c r="Q948" s="18"/>
      <c r="R948" s="14"/>
      <c r="S948" s="14">
        <v>1</v>
      </c>
    </row>
    <row r="949" spans="2:19" ht="20.25" hidden="1" customHeight="1">
      <c r="B949" s="17"/>
      <c r="Q949" s="18"/>
      <c r="R949" s="14"/>
      <c r="S949" s="14">
        <v>1</v>
      </c>
    </row>
    <row r="950" spans="2:19" ht="20.25" hidden="1" customHeight="1">
      <c r="B950" s="17"/>
      <c r="Q950" s="18"/>
      <c r="R950" s="14"/>
      <c r="S950" s="14">
        <v>1</v>
      </c>
    </row>
    <row r="951" spans="2:19" ht="20.25" hidden="1" customHeight="1">
      <c r="B951" s="17"/>
      <c r="Q951" s="18"/>
      <c r="R951" s="14"/>
      <c r="S951" s="14">
        <v>1</v>
      </c>
    </row>
    <row r="952" spans="2:19" ht="20.25" hidden="1" customHeight="1">
      <c r="B952" s="17"/>
      <c r="Q952" s="18"/>
      <c r="R952" s="14"/>
      <c r="S952" s="14">
        <v>1</v>
      </c>
    </row>
    <row r="953" spans="2:19" ht="20.25" hidden="1" customHeight="1">
      <c r="B953" s="17"/>
      <c r="Q953" s="18"/>
      <c r="R953" s="14"/>
      <c r="S953" s="14">
        <v>1</v>
      </c>
    </row>
    <row r="954" spans="2:19" ht="20.25" hidden="1" customHeight="1">
      <c r="B954" s="17"/>
      <c r="Q954" s="18"/>
      <c r="R954" s="14"/>
      <c r="S954" s="14">
        <v>1</v>
      </c>
    </row>
    <row r="955" spans="2:19" ht="20.25" hidden="1" customHeight="1">
      <c r="B955" s="17"/>
      <c r="Q955" s="18"/>
      <c r="R955" s="14"/>
      <c r="S955" s="14">
        <v>1</v>
      </c>
    </row>
    <row r="956" spans="2:19" ht="20.25" hidden="1" customHeight="1">
      <c r="B956" s="17"/>
      <c r="Q956" s="18"/>
      <c r="R956" s="14"/>
      <c r="S956" s="14">
        <v>1</v>
      </c>
    </row>
    <row r="957" spans="2:19" ht="20.25" hidden="1" customHeight="1">
      <c r="B957" s="17"/>
      <c r="Q957" s="18"/>
      <c r="R957" s="14"/>
      <c r="S957" s="14">
        <v>1</v>
      </c>
    </row>
    <row r="958" spans="2:19" ht="20.25" hidden="1" customHeight="1">
      <c r="B958" s="17"/>
      <c r="Q958" s="18"/>
      <c r="R958" s="14"/>
      <c r="S958" s="14">
        <v>1</v>
      </c>
    </row>
    <row r="959" spans="2:19" ht="20.25" hidden="1" customHeight="1">
      <c r="B959" s="17"/>
      <c r="Q959" s="18"/>
      <c r="R959" s="14"/>
      <c r="S959" s="14">
        <v>1</v>
      </c>
    </row>
    <row r="960" spans="2:19" ht="20.25" hidden="1" customHeight="1">
      <c r="B960" s="17"/>
      <c r="Q960" s="18"/>
      <c r="R960" s="14"/>
      <c r="S960" s="14">
        <v>1</v>
      </c>
    </row>
    <row r="961" spans="2:19" ht="20.25" hidden="1" customHeight="1">
      <c r="B961" s="17"/>
      <c r="Q961" s="18"/>
      <c r="R961" s="14"/>
      <c r="S961" s="14">
        <v>1</v>
      </c>
    </row>
    <row r="962" spans="2:19" ht="20.25" hidden="1" customHeight="1">
      <c r="B962" s="17"/>
      <c r="Q962" s="18"/>
      <c r="R962" s="14"/>
      <c r="S962" s="14">
        <v>1</v>
      </c>
    </row>
    <row r="963" spans="2:19" ht="20.25" hidden="1" customHeight="1">
      <c r="B963" s="17"/>
      <c r="Q963" s="18"/>
      <c r="R963" s="14"/>
      <c r="S963" s="14">
        <v>1</v>
      </c>
    </row>
    <row r="964" spans="2:19" ht="20.25" hidden="1" customHeight="1">
      <c r="B964" s="17"/>
      <c r="Q964" s="18"/>
      <c r="R964" s="14"/>
      <c r="S964" s="14">
        <v>1</v>
      </c>
    </row>
    <row r="965" spans="2:19" ht="20.25" hidden="1" customHeight="1">
      <c r="B965" s="17"/>
      <c r="Q965" s="18"/>
      <c r="R965" s="14"/>
      <c r="S965" s="14">
        <v>1</v>
      </c>
    </row>
    <row r="966" spans="2:19" ht="20.25" hidden="1" customHeight="1">
      <c r="B966" s="17"/>
      <c r="Q966" s="18"/>
      <c r="R966" s="14"/>
      <c r="S966" s="14">
        <v>1</v>
      </c>
    </row>
    <row r="967" spans="2:19" ht="20.25" hidden="1" customHeight="1">
      <c r="B967" s="17"/>
      <c r="Q967" s="18"/>
      <c r="R967" s="14"/>
      <c r="S967" s="14">
        <v>1</v>
      </c>
    </row>
    <row r="968" spans="2:19" ht="20.25" hidden="1" customHeight="1">
      <c r="B968" s="17"/>
      <c r="Q968" s="18"/>
      <c r="R968" s="14"/>
      <c r="S968" s="14">
        <v>1</v>
      </c>
    </row>
    <row r="969" spans="2:19" ht="20.25" hidden="1" customHeight="1">
      <c r="B969" s="17"/>
      <c r="Q969" s="18"/>
      <c r="R969" s="14"/>
      <c r="S969" s="14">
        <v>1</v>
      </c>
    </row>
    <row r="970" spans="2:19" ht="20.25" hidden="1" customHeight="1">
      <c r="B970" s="17"/>
      <c r="Q970" s="18"/>
      <c r="R970" s="14"/>
      <c r="S970" s="14">
        <v>1</v>
      </c>
    </row>
    <row r="971" spans="2:19" ht="20.25" hidden="1" customHeight="1">
      <c r="B971" s="17"/>
      <c r="Q971" s="18"/>
      <c r="R971" s="14"/>
      <c r="S971" s="14">
        <v>1</v>
      </c>
    </row>
    <row r="972" spans="2:19" ht="20.25" hidden="1" customHeight="1">
      <c r="B972" s="17"/>
      <c r="Q972" s="18"/>
      <c r="R972" s="14"/>
      <c r="S972" s="14">
        <v>1</v>
      </c>
    </row>
    <row r="973" spans="2:19" ht="20.25" hidden="1" customHeight="1">
      <c r="B973" s="17"/>
      <c r="Q973" s="18"/>
      <c r="R973" s="14"/>
      <c r="S973" s="14">
        <v>1</v>
      </c>
    </row>
    <row r="974" spans="2:19" ht="20.25" hidden="1" customHeight="1">
      <c r="B974" s="17"/>
      <c r="Q974" s="18"/>
      <c r="R974" s="14"/>
      <c r="S974" s="14">
        <v>1</v>
      </c>
    </row>
    <row r="975" spans="2:19" ht="20.25" hidden="1" customHeight="1">
      <c r="B975" s="17"/>
      <c r="Q975" s="18"/>
      <c r="R975" s="14"/>
      <c r="S975" s="14">
        <v>1</v>
      </c>
    </row>
    <row r="976" spans="2:19" ht="20.25" hidden="1" customHeight="1">
      <c r="B976" s="17"/>
      <c r="Q976" s="18"/>
      <c r="R976" s="14"/>
      <c r="S976" s="14">
        <v>1</v>
      </c>
    </row>
    <row r="977" spans="2:19" ht="20.25" hidden="1" customHeight="1">
      <c r="B977" s="17"/>
      <c r="Q977" s="18"/>
      <c r="R977" s="14"/>
      <c r="S977" s="14">
        <v>1</v>
      </c>
    </row>
    <row r="978" spans="2:19" ht="20.25" hidden="1" customHeight="1">
      <c r="B978" s="17"/>
      <c r="Q978" s="18"/>
      <c r="R978" s="14"/>
      <c r="S978" s="14">
        <v>1</v>
      </c>
    </row>
    <row r="979" spans="2:19" ht="20.25" hidden="1" customHeight="1">
      <c r="B979" s="17"/>
      <c r="Q979" s="18"/>
      <c r="R979" s="14"/>
      <c r="S979" s="14">
        <v>1</v>
      </c>
    </row>
    <row r="980" spans="2:19" ht="20.25" hidden="1" customHeight="1">
      <c r="B980" s="17"/>
      <c r="Q980" s="18"/>
      <c r="R980" s="14"/>
      <c r="S980" s="14">
        <v>1</v>
      </c>
    </row>
    <row r="981" spans="2:19" ht="20.25" hidden="1" customHeight="1">
      <c r="B981" s="17"/>
      <c r="Q981" s="18"/>
      <c r="R981" s="14"/>
      <c r="S981" s="14">
        <v>1</v>
      </c>
    </row>
    <row r="982" spans="2:19" ht="20.25" hidden="1" customHeight="1">
      <c r="B982" s="17"/>
      <c r="Q982" s="18"/>
      <c r="R982" s="14"/>
      <c r="S982" s="14">
        <v>1</v>
      </c>
    </row>
    <row r="983" spans="2:19" ht="20.25" hidden="1" customHeight="1">
      <c r="B983" s="17"/>
      <c r="Q983" s="18"/>
      <c r="R983" s="14"/>
      <c r="S983" s="14">
        <v>1</v>
      </c>
    </row>
    <row r="984" spans="2:19" ht="20.25" hidden="1" customHeight="1">
      <c r="B984" s="17"/>
      <c r="Q984" s="18"/>
      <c r="R984" s="14"/>
      <c r="S984" s="14">
        <v>1</v>
      </c>
    </row>
    <row r="985" spans="2:19" ht="20.25" hidden="1" customHeight="1">
      <c r="B985" s="17"/>
      <c r="Q985" s="18"/>
      <c r="R985" s="14"/>
      <c r="S985" s="14">
        <v>1</v>
      </c>
    </row>
    <row r="986" spans="2:19" ht="20.25" hidden="1" customHeight="1">
      <c r="B986" s="17"/>
      <c r="Q986" s="18"/>
      <c r="R986" s="14"/>
      <c r="S986" s="14">
        <v>1</v>
      </c>
    </row>
    <row r="987" spans="2:19" ht="20.25" hidden="1" customHeight="1">
      <c r="B987" s="17"/>
      <c r="Q987" s="18"/>
      <c r="R987" s="14"/>
      <c r="S987" s="14">
        <v>1</v>
      </c>
    </row>
    <row r="988" spans="2:19" ht="20.25" hidden="1" customHeight="1">
      <c r="B988" s="17"/>
      <c r="Q988" s="18"/>
      <c r="R988" s="14"/>
      <c r="S988" s="14">
        <v>1</v>
      </c>
    </row>
    <row r="989" spans="2:19" ht="20.25" hidden="1" customHeight="1">
      <c r="B989" s="17"/>
      <c r="Q989" s="18"/>
      <c r="R989" s="14"/>
      <c r="S989" s="14">
        <v>1</v>
      </c>
    </row>
    <row r="990" spans="2:19" ht="20.25" hidden="1" customHeight="1">
      <c r="B990" s="17"/>
      <c r="Q990" s="18"/>
      <c r="R990" s="14"/>
      <c r="S990" s="14">
        <v>1</v>
      </c>
    </row>
    <row r="991" spans="2:19" ht="20.25" hidden="1" customHeight="1">
      <c r="B991" s="17"/>
      <c r="Q991" s="18"/>
      <c r="R991" s="14"/>
      <c r="S991" s="14">
        <v>1</v>
      </c>
    </row>
    <row r="992" spans="2:19" ht="20.25" hidden="1" customHeight="1">
      <c r="B992" s="17"/>
      <c r="Q992" s="18"/>
      <c r="R992" s="14"/>
      <c r="S992" s="14">
        <v>1</v>
      </c>
    </row>
    <row r="993" spans="2:19" ht="20.25" hidden="1" customHeight="1">
      <c r="B993" s="17"/>
      <c r="Q993" s="18"/>
      <c r="R993" s="14"/>
      <c r="S993" s="14">
        <v>1</v>
      </c>
    </row>
    <row r="994" spans="2:19" ht="20.25" hidden="1" customHeight="1">
      <c r="B994" s="17"/>
      <c r="Q994" s="18"/>
      <c r="R994" s="14"/>
      <c r="S994" s="14">
        <v>1</v>
      </c>
    </row>
    <row r="995" spans="2:19" ht="20.25" hidden="1" customHeight="1">
      <c r="B995" s="17"/>
      <c r="Q995" s="18"/>
      <c r="R995" s="14"/>
      <c r="S995" s="14">
        <v>1</v>
      </c>
    </row>
    <row r="996" spans="2:19" ht="20.25" hidden="1" customHeight="1">
      <c r="B996" s="17"/>
      <c r="Q996" s="18"/>
      <c r="R996" s="14"/>
      <c r="S996" s="14">
        <v>1</v>
      </c>
    </row>
    <row r="997" spans="2:19" ht="20.25" hidden="1" customHeight="1">
      <c r="B997" s="17"/>
      <c r="Q997" s="18"/>
      <c r="R997" s="14"/>
      <c r="S997" s="14">
        <v>1</v>
      </c>
    </row>
    <row r="998" spans="2:19" ht="20.25" hidden="1" customHeight="1">
      <c r="B998" s="17"/>
      <c r="Q998" s="18"/>
      <c r="R998" s="14"/>
      <c r="S998" s="14">
        <v>1</v>
      </c>
    </row>
    <row r="999" spans="2:19" ht="20.25" hidden="1" customHeight="1">
      <c r="B999" s="17"/>
      <c r="Q999" s="18"/>
      <c r="R999" s="14"/>
      <c r="S999" s="14">
        <v>1</v>
      </c>
    </row>
    <row r="1000" spans="2:19" ht="20.25" hidden="1" customHeight="1">
      <c r="B1000" s="17"/>
      <c r="Q1000" s="18"/>
      <c r="R1000" s="14"/>
      <c r="S1000" s="14">
        <v>1</v>
      </c>
    </row>
    <row r="1001" spans="2:19" ht="20.25" hidden="1" customHeight="1">
      <c r="B1001" s="17"/>
      <c r="Q1001" s="18"/>
      <c r="R1001" s="14"/>
      <c r="S1001" s="14">
        <v>1</v>
      </c>
    </row>
    <row r="1002" spans="2:19" ht="20.25" hidden="1" customHeight="1">
      <c r="B1002" s="17"/>
      <c r="Q1002" s="18"/>
      <c r="R1002" s="14"/>
      <c r="S1002" s="14">
        <v>1</v>
      </c>
    </row>
    <row r="1003" spans="2:19" ht="20.25" hidden="1" customHeight="1">
      <c r="B1003" s="17"/>
      <c r="Q1003" s="18"/>
      <c r="R1003" s="14"/>
      <c r="S1003" s="14">
        <v>1</v>
      </c>
    </row>
    <row r="1004" spans="2:19" ht="20.25" hidden="1" customHeight="1">
      <c r="B1004" s="17"/>
      <c r="Q1004" s="18"/>
      <c r="R1004" s="14"/>
      <c r="S1004" s="14">
        <v>1</v>
      </c>
    </row>
    <row r="1005" spans="2:19" ht="20.25" hidden="1" customHeight="1">
      <c r="B1005" s="17"/>
      <c r="Q1005" s="18"/>
      <c r="R1005" s="14"/>
      <c r="S1005" s="14">
        <v>1</v>
      </c>
    </row>
    <row r="1006" spans="2:19" ht="20.25" hidden="1" customHeight="1">
      <c r="B1006" s="17"/>
      <c r="Q1006" s="18"/>
      <c r="R1006" s="14"/>
      <c r="S1006" s="14">
        <v>1</v>
      </c>
    </row>
    <row r="1007" spans="2:19" ht="20.25" hidden="1" customHeight="1">
      <c r="B1007" s="17"/>
      <c r="Q1007" s="18"/>
      <c r="R1007" s="14"/>
      <c r="S1007" s="14">
        <v>1</v>
      </c>
    </row>
    <row r="1008" spans="2:19" ht="20.25" hidden="1" customHeight="1">
      <c r="B1008" s="17"/>
      <c r="Q1008" s="18"/>
      <c r="R1008" s="14"/>
      <c r="S1008" s="14">
        <v>1</v>
      </c>
    </row>
    <row r="1009" spans="2:19" ht="20.25" hidden="1" customHeight="1">
      <c r="B1009" s="17"/>
      <c r="Q1009" s="18"/>
      <c r="R1009" s="14"/>
      <c r="S1009" s="14">
        <v>1</v>
      </c>
    </row>
    <row r="1010" spans="2:19" ht="20.25" hidden="1" customHeight="1">
      <c r="B1010" s="17"/>
      <c r="Q1010" s="18"/>
      <c r="R1010" s="14"/>
      <c r="S1010" s="14">
        <v>1</v>
      </c>
    </row>
    <row r="1011" spans="2:19" ht="20.25" hidden="1" customHeight="1">
      <c r="B1011" s="17"/>
      <c r="Q1011" s="18"/>
      <c r="R1011" s="14"/>
      <c r="S1011" s="14">
        <v>1</v>
      </c>
    </row>
    <row r="1012" spans="2:19" ht="20.25" hidden="1" customHeight="1">
      <c r="B1012" s="17"/>
      <c r="Q1012" s="18"/>
      <c r="R1012" s="14"/>
      <c r="S1012" s="14">
        <v>1</v>
      </c>
    </row>
    <row r="1013" spans="2:19" ht="20.25" hidden="1" customHeight="1">
      <c r="B1013" s="17"/>
      <c r="Q1013" s="18"/>
      <c r="R1013" s="14"/>
      <c r="S1013" s="14">
        <v>1</v>
      </c>
    </row>
    <row r="1014" spans="2:19" ht="20.25" hidden="1" customHeight="1">
      <c r="B1014" s="17"/>
      <c r="Q1014" s="18"/>
      <c r="R1014" s="14"/>
      <c r="S1014" s="14">
        <v>1</v>
      </c>
    </row>
    <row r="1015" spans="2:19" ht="20.25" hidden="1" customHeight="1">
      <c r="B1015" s="17"/>
      <c r="Q1015" s="18"/>
      <c r="R1015" s="14"/>
      <c r="S1015" s="14">
        <v>1</v>
      </c>
    </row>
    <row r="1016" spans="2:19" ht="20.25" hidden="1" customHeight="1">
      <c r="B1016" s="17"/>
      <c r="Q1016" s="18"/>
      <c r="R1016" s="14"/>
      <c r="S1016" s="14">
        <v>1</v>
      </c>
    </row>
    <row r="1017" spans="2:19" ht="20.25" hidden="1" customHeight="1">
      <c r="B1017" s="17"/>
      <c r="Q1017" s="18"/>
      <c r="R1017" s="14"/>
      <c r="S1017" s="14">
        <v>1</v>
      </c>
    </row>
    <row r="1018" spans="2:19" ht="20.25" hidden="1" customHeight="1">
      <c r="B1018" s="17"/>
      <c r="Q1018" s="18"/>
      <c r="R1018" s="14"/>
      <c r="S1018" s="14">
        <v>1</v>
      </c>
    </row>
    <row r="1019" spans="2:19" ht="20.25" hidden="1" customHeight="1">
      <c r="B1019" s="17"/>
      <c r="Q1019" s="18"/>
      <c r="R1019" s="14"/>
      <c r="S1019" s="14">
        <v>1</v>
      </c>
    </row>
    <row r="1020" spans="2:19" ht="20.25" hidden="1" customHeight="1">
      <c r="B1020" s="17"/>
      <c r="Q1020" s="18"/>
      <c r="R1020" s="14"/>
      <c r="S1020" s="14">
        <v>1</v>
      </c>
    </row>
    <row r="1021" spans="2:19" ht="20.25" hidden="1" customHeight="1">
      <c r="B1021" s="17"/>
      <c r="Q1021" s="18"/>
      <c r="R1021" s="14"/>
      <c r="S1021" s="14">
        <v>1</v>
      </c>
    </row>
    <row r="1022" spans="2:19" ht="20.25" hidden="1" customHeight="1">
      <c r="B1022" s="17"/>
      <c r="Q1022" s="18"/>
      <c r="R1022" s="14"/>
      <c r="S1022" s="14">
        <v>1</v>
      </c>
    </row>
    <row r="1023" spans="2:19" ht="20.25" hidden="1" customHeight="1">
      <c r="B1023" s="17"/>
      <c r="Q1023" s="18"/>
      <c r="R1023" s="14"/>
      <c r="S1023" s="14">
        <v>1</v>
      </c>
    </row>
    <row r="1024" spans="2:19" ht="20.25" hidden="1" customHeight="1">
      <c r="B1024" s="17"/>
      <c r="Q1024" s="18"/>
      <c r="R1024" s="14"/>
      <c r="S1024" s="14">
        <v>1</v>
      </c>
    </row>
    <row r="1025" spans="2:19" ht="20.25" hidden="1" customHeight="1">
      <c r="B1025" s="17"/>
      <c r="Q1025" s="18"/>
      <c r="R1025" s="14"/>
      <c r="S1025" s="14">
        <v>1</v>
      </c>
    </row>
    <row r="1026" spans="2:19" ht="20.25" hidden="1" customHeight="1">
      <c r="B1026" s="17"/>
      <c r="Q1026" s="18"/>
      <c r="R1026" s="14"/>
      <c r="S1026" s="14">
        <v>1</v>
      </c>
    </row>
    <row r="1027" spans="2:19" ht="20.25" hidden="1" customHeight="1">
      <c r="B1027" s="17"/>
      <c r="Q1027" s="18"/>
      <c r="R1027" s="14"/>
      <c r="S1027" s="14">
        <v>1</v>
      </c>
    </row>
    <row r="1028" spans="2:19" ht="20.25" hidden="1" customHeight="1">
      <c r="B1028" s="17"/>
      <c r="Q1028" s="18"/>
      <c r="R1028" s="14"/>
      <c r="S1028" s="14">
        <v>1</v>
      </c>
    </row>
    <row r="1029" spans="2:19" ht="20.25" hidden="1" customHeight="1">
      <c r="B1029" s="17"/>
      <c r="Q1029" s="18"/>
      <c r="R1029" s="14"/>
      <c r="S1029" s="14">
        <v>1</v>
      </c>
    </row>
    <row r="1030" spans="2:19" ht="20.25" hidden="1" customHeight="1">
      <c r="B1030" s="17"/>
      <c r="Q1030" s="18"/>
      <c r="R1030" s="14"/>
      <c r="S1030" s="14">
        <v>1</v>
      </c>
    </row>
    <row r="1031" spans="2:19" ht="20.25" hidden="1" customHeight="1">
      <c r="B1031" s="17"/>
      <c r="Q1031" s="18"/>
      <c r="R1031" s="14"/>
      <c r="S1031" s="14">
        <v>1</v>
      </c>
    </row>
    <row r="1032" spans="2:19" ht="20.25" hidden="1" customHeight="1">
      <c r="B1032" s="17"/>
      <c r="Q1032" s="18"/>
      <c r="R1032" s="14"/>
      <c r="S1032" s="14">
        <v>1</v>
      </c>
    </row>
    <row r="1033" spans="2:19" ht="20.25" hidden="1" customHeight="1">
      <c r="B1033" s="17"/>
      <c r="Q1033" s="18"/>
      <c r="R1033" s="14"/>
      <c r="S1033" s="14">
        <v>1</v>
      </c>
    </row>
    <row r="1034" spans="2:19" ht="20.25" hidden="1" customHeight="1">
      <c r="B1034" s="17"/>
      <c r="Q1034" s="18"/>
      <c r="R1034" s="14"/>
      <c r="S1034" s="14">
        <v>1</v>
      </c>
    </row>
    <row r="1035" spans="2:19" ht="20.25" hidden="1" customHeight="1">
      <c r="B1035" s="17"/>
      <c r="Q1035" s="18"/>
      <c r="R1035" s="14"/>
      <c r="S1035" s="14">
        <v>1</v>
      </c>
    </row>
    <row r="1036" spans="2:19" ht="20.25" hidden="1" customHeight="1">
      <c r="B1036" s="17"/>
      <c r="Q1036" s="18"/>
      <c r="R1036" s="14"/>
      <c r="S1036" s="14">
        <v>1</v>
      </c>
    </row>
    <row r="1037" spans="2:19" ht="20.25" hidden="1" customHeight="1">
      <c r="B1037" s="17"/>
      <c r="Q1037" s="18"/>
      <c r="R1037" s="14"/>
      <c r="S1037" s="14">
        <v>1</v>
      </c>
    </row>
    <row r="1038" spans="2:19" ht="20.25" hidden="1" customHeight="1">
      <c r="B1038" s="17"/>
      <c r="Q1038" s="18"/>
      <c r="R1038" s="14"/>
      <c r="S1038" s="14">
        <v>1</v>
      </c>
    </row>
    <row r="1039" spans="2:19" ht="20.25" hidden="1" customHeight="1">
      <c r="B1039" s="17"/>
      <c r="Q1039" s="18"/>
      <c r="R1039" s="14"/>
      <c r="S1039" s="14">
        <v>1</v>
      </c>
    </row>
    <row r="1040" spans="2:19" ht="20.25" hidden="1" customHeight="1">
      <c r="B1040" s="17"/>
      <c r="Q1040" s="18"/>
      <c r="R1040" s="14"/>
      <c r="S1040" s="14">
        <v>1</v>
      </c>
    </row>
    <row r="1041" spans="2:19" ht="20.25" hidden="1" customHeight="1">
      <c r="B1041" s="17"/>
      <c r="Q1041" s="18"/>
      <c r="R1041" s="14"/>
      <c r="S1041" s="14">
        <v>1</v>
      </c>
    </row>
    <row r="1042" spans="2:19" ht="20.25" hidden="1" customHeight="1">
      <c r="B1042" s="17"/>
      <c r="Q1042" s="18"/>
      <c r="R1042" s="14"/>
      <c r="S1042" s="14">
        <v>1</v>
      </c>
    </row>
    <row r="1043" spans="2:19" ht="20.25" hidden="1" customHeight="1">
      <c r="B1043" s="17"/>
      <c r="Q1043" s="18"/>
      <c r="R1043" s="14"/>
      <c r="S1043" s="14">
        <v>1</v>
      </c>
    </row>
    <row r="1044" spans="2:19" ht="20.25" hidden="1" customHeight="1">
      <c r="B1044" s="17"/>
      <c r="Q1044" s="18"/>
      <c r="R1044" s="14"/>
      <c r="S1044" s="14">
        <v>1</v>
      </c>
    </row>
    <row r="1045" spans="2:19" ht="20.25" hidden="1" customHeight="1">
      <c r="B1045" s="17"/>
      <c r="Q1045" s="18"/>
      <c r="R1045" s="14"/>
      <c r="S1045" s="14">
        <v>1</v>
      </c>
    </row>
    <row r="1046" spans="2:19" ht="20.25" hidden="1" customHeight="1">
      <c r="B1046" s="17"/>
      <c r="Q1046" s="18"/>
      <c r="R1046" s="14"/>
      <c r="S1046" s="14">
        <v>1</v>
      </c>
    </row>
    <row r="1047" spans="2:19" ht="20.25" hidden="1" customHeight="1">
      <c r="B1047" s="17"/>
      <c r="Q1047" s="18"/>
      <c r="R1047" s="14"/>
      <c r="S1047" s="14">
        <v>1</v>
      </c>
    </row>
    <row r="1048" spans="2:19" ht="20.25" hidden="1" customHeight="1">
      <c r="B1048" s="17"/>
      <c r="Q1048" s="18"/>
      <c r="R1048" s="14"/>
      <c r="S1048" s="14">
        <v>1</v>
      </c>
    </row>
    <row r="1049" spans="2:19" ht="20.25" hidden="1" customHeight="1">
      <c r="B1049" s="17"/>
      <c r="Q1049" s="18"/>
      <c r="R1049" s="14"/>
      <c r="S1049" s="14">
        <v>1</v>
      </c>
    </row>
    <row r="1050" spans="2:19" ht="20.25" hidden="1" customHeight="1">
      <c r="B1050" s="17"/>
      <c r="Q1050" s="18"/>
      <c r="R1050" s="14"/>
      <c r="S1050" s="14">
        <v>1</v>
      </c>
    </row>
    <row r="1051" spans="2:19" ht="20.25" hidden="1" customHeight="1">
      <c r="B1051" s="17"/>
      <c r="Q1051" s="18"/>
      <c r="R1051" s="14"/>
      <c r="S1051" s="14">
        <v>1</v>
      </c>
    </row>
    <row r="1052" spans="2:19" ht="20.25" hidden="1" customHeight="1">
      <c r="B1052" s="17"/>
      <c r="Q1052" s="18"/>
      <c r="R1052" s="14"/>
      <c r="S1052" s="14">
        <v>1</v>
      </c>
    </row>
    <row r="1053" spans="2:19" ht="20.25" hidden="1" customHeight="1">
      <c r="B1053" s="17"/>
      <c r="Q1053" s="18"/>
      <c r="R1053" s="14"/>
      <c r="S1053" s="14">
        <v>1</v>
      </c>
    </row>
    <row r="1054" spans="2:19" ht="20.25" hidden="1" customHeight="1">
      <c r="B1054" s="17"/>
      <c r="Q1054" s="18"/>
      <c r="R1054" s="14"/>
      <c r="S1054" s="14">
        <v>1</v>
      </c>
    </row>
    <row r="1055" spans="2:19" ht="20.25" hidden="1" customHeight="1">
      <c r="B1055" s="17"/>
      <c r="Q1055" s="18"/>
      <c r="R1055" s="14"/>
      <c r="S1055" s="14">
        <v>1</v>
      </c>
    </row>
    <row r="1056" spans="2:19" ht="20.25" hidden="1" customHeight="1">
      <c r="B1056" s="17"/>
      <c r="Q1056" s="18"/>
      <c r="R1056" s="14"/>
      <c r="S1056" s="14">
        <v>1</v>
      </c>
    </row>
    <row r="1057" spans="2:19" ht="20.25" hidden="1" customHeight="1">
      <c r="B1057" s="17"/>
      <c r="Q1057" s="18"/>
      <c r="R1057" s="14"/>
      <c r="S1057" s="14">
        <v>1</v>
      </c>
    </row>
    <row r="1058" spans="2:19" ht="20.25" hidden="1" customHeight="1">
      <c r="B1058" s="17"/>
      <c r="Q1058" s="18"/>
      <c r="R1058" s="14"/>
      <c r="S1058" s="14">
        <v>1</v>
      </c>
    </row>
    <row r="1059" spans="2:19" ht="20.25" hidden="1" customHeight="1">
      <c r="B1059" s="17"/>
      <c r="Q1059" s="18"/>
      <c r="R1059" s="14"/>
      <c r="S1059" s="14">
        <v>1</v>
      </c>
    </row>
    <row r="1060" spans="2:19" ht="20.25" hidden="1" customHeight="1">
      <c r="B1060" s="17"/>
      <c r="Q1060" s="18"/>
      <c r="R1060" s="14"/>
      <c r="S1060" s="14">
        <v>1</v>
      </c>
    </row>
    <row r="1061" spans="2:19" ht="20.25" hidden="1" customHeight="1">
      <c r="B1061" s="17"/>
      <c r="Q1061" s="18"/>
      <c r="R1061" s="14"/>
      <c r="S1061" s="14">
        <v>1</v>
      </c>
    </row>
    <row r="1062" spans="2:19" ht="20.25" hidden="1" customHeight="1">
      <c r="B1062" s="17"/>
      <c r="Q1062" s="18"/>
      <c r="R1062" s="14"/>
      <c r="S1062" s="14">
        <v>1</v>
      </c>
    </row>
    <row r="1063" spans="2:19" ht="20.25" hidden="1" customHeight="1">
      <c r="B1063" s="17"/>
      <c r="Q1063" s="18"/>
      <c r="R1063" s="14"/>
      <c r="S1063" s="14">
        <v>1</v>
      </c>
    </row>
    <row r="1064" spans="2:19" ht="20.25" hidden="1" customHeight="1">
      <c r="B1064" s="17"/>
      <c r="Q1064" s="18"/>
      <c r="R1064" s="14"/>
      <c r="S1064" s="14">
        <v>1</v>
      </c>
    </row>
    <row r="1065" spans="2:19" ht="20.25" hidden="1" customHeight="1">
      <c r="B1065" s="17"/>
      <c r="Q1065" s="18"/>
      <c r="R1065" s="14"/>
      <c r="S1065" s="14">
        <v>1</v>
      </c>
    </row>
    <row r="1066" spans="2:19" ht="20.25" hidden="1" customHeight="1">
      <c r="B1066" s="17"/>
      <c r="Q1066" s="18"/>
      <c r="R1066" s="14"/>
      <c r="S1066" s="14">
        <v>1</v>
      </c>
    </row>
    <row r="1067" spans="2:19" ht="20.25" hidden="1" customHeight="1">
      <c r="B1067" s="17"/>
      <c r="Q1067" s="18"/>
      <c r="R1067" s="14"/>
      <c r="S1067" s="14">
        <v>1</v>
      </c>
    </row>
    <row r="1068" spans="2:19" ht="20.25" hidden="1" customHeight="1">
      <c r="B1068" s="17"/>
      <c r="Q1068" s="18"/>
      <c r="R1068" s="14"/>
      <c r="S1068" s="14">
        <v>1</v>
      </c>
    </row>
    <row r="1069" spans="2:19" ht="20.25" hidden="1" customHeight="1">
      <c r="B1069" s="17"/>
      <c r="Q1069" s="18"/>
      <c r="R1069" s="14"/>
      <c r="S1069" s="14">
        <v>1</v>
      </c>
    </row>
    <row r="1070" spans="2:19" ht="20.25" hidden="1" customHeight="1">
      <c r="B1070" s="17"/>
      <c r="Q1070" s="18"/>
      <c r="R1070" s="14"/>
      <c r="S1070" s="14">
        <v>1</v>
      </c>
    </row>
    <row r="1071" spans="2:19" ht="20.25" hidden="1" customHeight="1">
      <c r="B1071" s="17"/>
      <c r="Q1071" s="18"/>
      <c r="R1071" s="14"/>
      <c r="S1071" s="14">
        <v>1</v>
      </c>
    </row>
    <row r="1072" spans="2:19" ht="20.25" hidden="1" customHeight="1">
      <c r="B1072" s="17"/>
      <c r="Q1072" s="18"/>
      <c r="R1072" s="14"/>
      <c r="S1072" s="14">
        <v>1</v>
      </c>
    </row>
    <row r="1073" spans="2:19" ht="20.25" hidden="1" customHeight="1">
      <c r="B1073" s="17"/>
      <c r="Q1073" s="18"/>
      <c r="R1073" s="14"/>
      <c r="S1073" s="14">
        <v>1</v>
      </c>
    </row>
    <row r="1074" spans="2:19" ht="20.25" hidden="1" customHeight="1">
      <c r="B1074" s="17"/>
      <c r="Q1074" s="18"/>
      <c r="R1074" s="14"/>
      <c r="S1074" s="14">
        <v>1</v>
      </c>
    </row>
    <row r="1075" spans="2:19" ht="20.25" hidden="1" customHeight="1">
      <c r="B1075" s="17"/>
      <c r="Q1075" s="18"/>
      <c r="R1075" s="14"/>
      <c r="S1075" s="14">
        <v>1</v>
      </c>
    </row>
    <row r="1076" spans="2:19" ht="20.25" hidden="1" customHeight="1">
      <c r="B1076" s="17"/>
      <c r="Q1076" s="18"/>
      <c r="R1076" s="14"/>
      <c r="S1076" s="14">
        <v>1</v>
      </c>
    </row>
    <row r="1077" spans="2:19" ht="20.25" hidden="1" customHeight="1">
      <c r="B1077" s="17"/>
      <c r="Q1077" s="18"/>
      <c r="R1077" s="14"/>
      <c r="S1077" s="14">
        <v>1</v>
      </c>
    </row>
    <row r="1078" spans="2:19" ht="20.25" hidden="1" customHeight="1">
      <c r="B1078" s="17"/>
      <c r="Q1078" s="18"/>
      <c r="R1078" s="14"/>
      <c r="S1078" s="14">
        <v>1</v>
      </c>
    </row>
    <row r="1079" spans="2:19" ht="20.25" hidden="1" customHeight="1">
      <c r="B1079" s="17"/>
      <c r="Q1079" s="18"/>
      <c r="R1079" s="14"/>
      <c r="S1079" s="14">
        <v>1</v>
      </c>
    </row>
    <row r="1080" spans="2:19" ht="20.25" hidden="1" customHeight="1">
      <c r="B1080" s="17"/>
      <c r="Q1080" s="18"/>
      <c r="R1080" s="14"/>
      <c r="S1080" s="14">
        <v>1</v>
      </c>
    </row>
    <row r="1081" spans="2:19" ht="20.25" hidden="1" customHeight="1">
      <c r="B1081" s="17"/>
      <c r="Q1081" s="18"/>
      <c r="R1081" s="14"/>
      <c r="S1081" s="14">
        <v>1</v>
      </c>
    </row>
    <row r="1082" spans="2:19" ht="20.25" hidden="1" customHeight="1">
      <c r="B1082" s="17"/>
      <c r="Q1082" s="18"/>
      <c r="R1082" s="14"/>
      <c r="S1082" s="14">
        <v>1</v>
      </c>
    </row>
    <row r="1083" spans="2:19" ht="20.25" hidden="1" customHeight="1">
      <c r="B1083" s="17"/>
      <c r="Q1083" s="18"/>
      <c r="R1083" s="14"/>
      <c r="S1083" s="14">
        <v>1</v>
      </c>
    </row>
    <row r="1084" spans="2:19" ht="20.25" hidden="1" customHeight="1">
      <c r="B1084" s="17"/>
      <c r="Q1084" s="18"/>
      <c r="R1084" s="14"/>
      <c r="S1084" s="14">
        <v>1</v>
      </c>
    </row>
    <row r="1085" spans="2:19" ht="20.25" hidden="1" customHeight="1">
      <c r="B1085" s="17"/>
      <c r="Q1085" s="18"/>
      <c r="R1085" s="14"/>
      <c r="S1085" s="14">
        <v>1</v>
      </c>
    </row>
    <row r="1086" spans="2:19" ht="20.25" hidden="1" customHeight="1">
      <c r="B1086" s="17"/>
      <c r="Q1086" s="18"/>
      <c r="R1086" s="14"/>
      <c r="S1086" s="14">
        <v>1</v>
      </c>
    </row>
    <row r="1087" spans="2:19" ht="20.25" hidden="1" customHeight="1">
      <c r="B1087" s="17"/>
      <c r="Q1087" s="18"/>
      <c r="R1087" s="14"/>
      <c r="S1087" s="14">
        <v>1</v>
      </c>
    </row>
    <row r="1088" spans="2:19" ht="20.25" hidden="1" customHeight="1">
      <c r="B1088" s="17"/>
      <c r="Q1088" s="18"/>
      <c r="R1088" s="14"/>
      <c r="S1088" s="14">
        <v>1</v>
      </c>
    </row>
    <row r="1089" spans="2:19" ht="20.25" hidden="1" customHeight="1">
      <c r="B1089" s="17"/>
      <c r="Q1089" s="18"/>
      <c r="R1089" s="14"/>
      <c r="S1089" s="14">
        <v>1</v>
      </c>
    </row>
    <row r="1090" spans="2:19" ht="20.25" hidden="1" customHeight="1">
      <c r="B1090" s="17"/>
      <c r="Q1090" s="18"/>
      <c r="R1090" s="14"/>
      <c r="S1090" s="14">
        <v>1</v>
      </c>
    </row>
    <row r="1091" spans="2:19" ht="20.25" hidden="1" customHeight="1">
      <c r="B1091" s="17"/>
      <c r="Q1091" s="18"/>
      <c r="R1091" s="14"/>
      <c r="S1091" s="14">
        <v>1</v>
      </c>
    </row>
    <row r="1092" spans="2:19" ht="20.25" hidden="1" customHeight="1">
      <c r="B1092" s="17"/>
      <c r="Q1092" s="18"/>
      <c r="R1092" s="14"/>
      <c r="S1092" s="14">
        <v>1</v>
      </c>
    </row>
    <row r="1093" spans="2:19" ht="20.25" hidden="1" customHeight="1">
      <c r="B1093" s="17"/>
      <c r="Q1093" s="18"/>
      <c r="R1093" s="14"/>
      <c r="S1093" s="14">
        <v>1</v>
      </c>
    </row>
    <row r="1094" spans="2:19" ht="20.25" hidden="1" customHeight="1">
      <c r="B1094" s="17"/>
      <c r="Q1094" s="18"/>
      <c r="R1094" s="14"/>
      <c r="S1094" s="14">
        <v>1</v>
      </c>
    </row>
    <row r="1095" spans="2:19" ht="20.25" hidden="1" customHeight="1">
      <c r="B1095" s="17"/>
      <c r="Q1095" s="18"/>
      <c r="R1095" s="14"/>
      <c r="S1095" s="14">
        <v>1</v>
      </c>
    </row>
    <row r="1096" spans="2:19" ht="20.25" hidden="1" customHeight="1">
      <c r="B1096" s="17"/>
      <c r="Q1096" s="18"/>
      <c r="R1096" s="14"/>
      <c r="S1096" s="14">
        <v>1</v>
      </c>
    </row>
    <row r="1097" spans="2:19" ht="20.25" hidden="1" customHeight="1">
      <c r="B1097" s="17"/>
      <c r="Q1097" s="18"/>
      <c r="R1097" s="14"/>
      <c r="S1097" s="14">
        <v>1</v>
      </c>
    </row>
    <row r="1098" spans="2:19" ht="20.25" hidden="1" customHeight="1">
      <c r="B1098" s="17"/>
      <c r="Q1098" s="18"/>
      <c r="R1098" s="14"/>
      <c r="S1098" s="14">
        <v>1</v>
      </c>
    </row>
    <row r="1099" spans="2:19" ht="20.25" hidden="1" customHeight="1">
      <c r="B1099" s="17"/>
      <c r="Q1099" s="18"/>
      <c r="R1099" s="14"/>
      <c r="S1099" s="14">
        <v>1</v>
      </c>
    </row>
    <row r="1100" spans="2:19" ht="20.25" hidden="1" customHeight="1">
      <c r="B1100" s="17"/>
      <c r="Q1100" s="18"/>
      <c r="R1100" s="14"/>
      <c r="S1100" s="14">
        <v>1</v>
      </c>
    </row>
    <row r="1101" spans="2:19" ht="20.25" hidden="1" customHeight="1">
      <c r="B1101" s="17"/>
      <c r="Q1101" s="18"/>
      <c r="R1101" s="14"/>
      <c r="S1101" s="14">
        <v>1</v>
      </c>
    </row>
    <row r="1102" spans="2:19" ht="20.25" hidden="1" customHeight="1">
      <c r="B1102" s="17"/>
      <c r="Q1102" s="18"/>
      <c r="R1102" s="14"/>
      <c r="S1102" s="14">
        <v>1</v>
      </c>
    </row>
    <row r="1103" spans="2:19" ht="20.25" hidden="1" customHeight="1">
      <c r="B1103" s="17"/>
      <c r="Q1103" s="18"/>
      <c r="R1103" s="14"/>
      <c r="S1103" s="14">
        <v>1</v>
      </c>
    </row>
    <row r="1104" spans="2:19" ht="20.25" hidden="1" customHeight="1">
      <c r="B1104" s="17"/>
      <c r="Q1104" s="18"/>
      <c r="R1104" s="14"/>
      <c r="S1104" s="14">
        <v>1</v>
      </c>
    </row>
    <row r="1105" spans="2:19" ht="20.25" hidden="1" customHeight="1">
      <c r="B1105" s="17"/>
      <c r="Q1105" s="18"/>
      <c r="R1105" s="14"/>
      <c r="S1105" s="14">
        <v>1</v>
      </c>
    </row>
    <row r="1106" spans="2:19" ht="20.25" hidden="1" customHeight="1">
      <c r="B1106" s="17"/>
      <c r="Q1106" s="18"/>
      <c r="R1106" s="14"/>
      <c r="S1106" s="14">
        <v>1</v>
      </c>
    </row>
    <row r="1107" spans="2:19" ht="20.25" hidden="1" customHeight="1">
      <c r="B1107" s="17"/>
      <c r="Q1107" s="18"/>
      <c r="R1107" s="14"/>
      <c r="S1107" s="14">
        <v>1</v>
      </c>
    </row>
    <row r="1108" spans="2:19" ht="20.25" hidden="1" customHeight="1">
      <c r="B1108" s="17"/>
      <c r="Q1108" s="18"/>
      <c r="R1108" s="14"/>
      <c r="S1108" s="14">
        <v>1</v>
      </c>
    </row>
    <row r="1109" spans="2:19" ht="20.25" hidden="1" customHeight="1">
      <c r="B1109" s="17"/>
      <c r="Q1109" s="18"/>
      <c r="R1109" s="14"/>
      <c r="S1109" s="14">
        <v>1</v>
      </c>
    </row>
    <row r="1110" spans="2:19" ht="20.25" hidden="1" customHeight="1">
      <c r="B1110" s="17"/>
      <c r="Q1110" s="18"/>
      <c r="R1110" s="14"/>
      <c r="S1110" s="14">
        <v>1</v>
      </c>
    </row>
    <row r="1111" spans="2:19" ht="20.25" hidden="1" customHeight="1">
      <c r="B1111" s="17"/>
      <c r="Q1111" s="18"/>
      <c r="R1111" s="14"/>
      <c r="S1111" s="14">
        <v>1</v>
      </c>
    </row>
    <row r="1112" spans="2:19" ht="20.25" hidden="1" customHeight="1">
      <c r="B1112" s="17"/>
      <c r="Q1112" s="18"/>
      <c r="R1112" s="14"/>
      <c r="S1112" s="14">
        <v>1</v>
      </c>
    </row>
    <row r="1113" spans="2:19" ht="20.25" hidden="1" customHeight="1">
      <c r="B1113" s="17"/>
      <c r="Q1113" s="18"/>
      <c r="R1113" s="14"/>
      <c r="S1113" s="14">
        <v>1</v>
      </c>
    </row>
    <row r="1114" spans="2:19" ht="20.25" hidden="1" customHeight="1">
      <c r="B1114" s="17"/>
      <c r="Q1114" s="18"/>
      <c r="R1114" s="14"/>
      <c r="S1114" s="14">
        <v>1</v>
      </c>
    </row>
    <row r="1115" spans="2:19" ht="20.25" hidden="1" customHeight="1">
      <c r="B1115" s="17"/>
      <c r="Q1115" s="18"/>
      <c r="R1115" s="14"/>
      <c r="S1115" s="14">
        <v>1</v>
      </c>
    </row>
    <row r="1116" spans="2:19" ht="20.25" hidden="1" customHeight="1">
      <c r="B1116" s="17"/>
      <c r="Q1116" s="18"/>
      <c r="R1116" s="14"/>
      <c r="S1116" s="14">
        <v>1</v>
      </c>
    </row>
    <row r="1117" spans="2:19" ht="20.25" hidden="1" customHeight="1">
      <c r="B1117" s="17"/>
      <c r="Q1117" s="18"/>
      <c r="R1117" s="14"/>
      <c r="S1117" s="14">
        <v>1</v>
      </c>
    </row>
    <row r="1118" spans="2:19" ht="20.25" hidden="1" customHeight="1">
      <c r="B1118" s="17"/>
      <c r="Q1118" s="18"/>
      <c r="R1118" s="14"/>
      <c r="S1118" s="14">
        <v>1</v>
      </c>
    </row>
    <row r="1119" spans="2:19" ht="20.25" hidden="1" customHeight="1">
      <c r="B1119" s="17"/>
      <c r="Q1119" s="18"/>
      <c r="R1119" s="14"/>
      <c r="S1119" s="14">
        <v>1</v>
      </c>
    </row>
    <row r="1120" spans="2:19" ht="20.25" hidden="1" customHeight="1">
      <c r="B1120" s="17"/>
      <c r="Q1120" s="18"/>
      <c r="R1120" s="14"/>
      <c r="S1120" s="14">
        <v>1</v>
      </c>
    </row>
    <row r="1121" spans="2:19" ht="20.25" hidden="1" customHeight="1">
      <c r="B1121" s="17"/>
      <c r="Q1121" s="18"/>
      <c r="R1121" s="14"/>
      <c r="S1121" s="14">
        <v>1</v>
      </c>
    </row>
    <row r="1122" spans="2:19" ht="20.25" hidden="1" customHeight="1">
      <c r="B1122" s="17"/>
      <c r="Q1122" s="18"/>
      <c r="R1122" s="14"/>
      <c r="S1122" s="14">
        <v>1</v>
      </c>
    </row>
    <row r="1123" spans="2:19" ht="20.25" hidden="1" customHeight="1">
      <c r="B1123" s="17"/>
      <c r="Q1123" s="18"/>
      <c r="R1123" s="14"/>
      <c r="S1123" s="14">
        <v>1</v>
      </c>
    </row>
    <row r="1124" spans="2:19" ht="20.25" hidden="1" customHeight="1">
      <c r="B1124" s="17"/>
      <c r="Q1124" s="18"/>
      <c r="R1124" s="14"/>
      <c r="S1124" s="14">
        <v>1</v>
      </c>
    </row>
    <row r="1125" spans="2:19" ht="20.25" hidden="1" customHeight="1">
      <c r="B1125" s="17"/>
      <c r="Q1125" s="18"/>
      <c r="R1125" s="14"/>
      <c r="S1125" s="14">
        <v>1</v>
      </c>
    </row>
    <row r="1126" spans="2:19" ht="20.25" hidden="1" customHeight="1">
      <c r="B1126" s="17"/>
      <c r="Q1126" s="18"/>
      <c r="R1126" s="14"/>
      <c r="S1126" s="14">
        <v>1</v>
      </c>
    </row>
    <row r="1127" spans="2:19" ht="20.25" hidden="1" customHeight="1">
      <c r="B1127" s="17"/>
      <c r="Q1127" s="18"/>
      <c r="R1127" s="14"/>
      <c r="S1127" s="14">
        <v>1</v>
      </c>
    </row>
    <row r="1128" spans="2:19" ht="20.25" hidden="1" customHeight="1">
      <c r="B1128" s="17"/>
      <c r="Q1128" s="18"/>
      <c r="R1128" s="14"/>
      <c r="S1128" s="14">
        <v>1</v>
      </c>
    </row>
    <row r="1129" spans="2:19" ht="20.25" hidden="1" customHeight="1">
      <c r="B1129" s="17"/>
      <c r="Q1129" s="18"/>
      <c r="R1129" s="14"/>
      <c r="S1129" s="14">
        <v>1</v>
      </c>
    </row>
    <row r="1130" spans="2:19" ht="20.25" hidden="1" customHeight="1">
      <c r="B1130" s="17"/>
      <c r="Q1130" s="18"/>
      <c r="R1130" s="14"/>
      <c r="S1130" s="14">
        <v>1</v>
      </c>
    </row>
    <row r="1131" spans="2:19" ht="20.25" hidden="1" customHeight="1">
      <c r="B1131" s="17"/>
      <c r="Q1131" s="18"/>
      <c r="R1131" s="14"/>
      <c r="S1131" s="14">
        <v>1</v>
      </c>
    </row>
    <row r="1132" spans="2:19" ht="20.25" hidden="1" customHeight="1">
      <c r="B1132" s="17"/>
      <c r="Q1132" s="18"/>
      <c r="R1132" s="14"/>
      <c r="S1132" s="14">
        <v>1</v>
      </c>
    </row>
    <row r="1133" spans="2:19" ht="20.25" hidden="1" customHeight="1">
      <c r="B1133" s="17"/>
      <c r="Q1133" s="18"/>
      <c r="R1133" s="14"/>
      <c r="S1133" s="14">
        <v>1</v>
      </c>
    </row>
    <row r="1134" spans="2:19" ht="20.25" hidden="1" customHeight="1">
      <c r="B1134" s="17"/>
      <c r="Q1134" s="18"/>
      <c r="R1134" s="14"/>
      <c r="S1134" s="14">
        <v>1</v>
      </c>
    </row>
    <row r="1135" spans="2:19" ht="20.25" hidden="1" customHeight="1">
      <c r="B1135" s="17"/>
      <c r="Q1135" s="18"/>
      <c r="R1135" s="14"/>
      <c r="S1135" s="14">
        <v>1</v>
      </c>
    </row>
    <row r="1136" spans="2:19" ht="20.25" hidden="1" customHeight="1">
      <c r="B1136" s="17"/>
      <c r="Q1136" s="18"/>
      <c r="R1136" s="14"/>
      <c r="S1136" s="14">
        <v>1</v>
      </c>
    </row>
    <row r="1137" spans="2:19" ht="20.25" hidden="1" customHeight="1">
      <c r="B1137" s="17"/>
      <c r="Q1137" s="18"/>
      <c r="R1137" s="14"/>
      <c r="S1137" s="14">
        <v>1</v>
      </c>
    </row>
    <row r="1138" spans="2:19" ht="20.25" hidden="1" customHeight="1">
      <c r="B1138" s="17"/>
      <c r="Q1138" s="18"/>
      <c r="R1138" s="14"/>
      <c r="S1138" s="14">
        <v>1</v>
      </c>
    </row>
    <row r="1139" spans="2:19" ht="20.25" hidden="1" customHeight="1">
      <c r="B1139" s="17"/>
      <c r="Q1139" s="18"/>
      <c r="R1139" s="14"/>
      <c r="S1139" s="14">
        <v>1</v>
      </c>
    </row>
    <row r="1140" spans="2:19" ht="20.25" hidden="1" customHeight="1">
      <c r="B1140" s="17"/>
      <c r="Q1140" s="18"/>
      <c r="R1140" s="14"/>
      <c r="S1140" s="14">
        <v>1</v>
      </c>
    </row>
    <row r="1141" spans="2:19" ht="20.25" hidden="1" customHeight="1">
      <c r="B1141" s="17"/>
      <c r="Q1141" s="18"/>
      <c r="R1141" s="14"/>
      <c r="S1141" s="14">
        <v>1</v>
      </c>
    </row>
    <row r="1142" spans="2:19" ht="20.25" hidden="1" customHeight="1">
      <c r="B1142" s="17"/>
      <c r="Q1142" s="18"/>
      <c r="R1142" s="14"/>
      <c r="S1142" s="14">
        <v>1</v>
      </c>
    </row>
    <row r="1143" spans="2:19" ht="20.25" hidden="1" customHeight="1">
      <c r="B1143" s="17"/>
      <c r="Q1143" s="18"/>
      <c r="R1143" s="14"/>
      <c r="S1143" s="14">
        <v>1</v>
      </c>
    </row>
    <row r="1144" spans="2:19" ht="20.25" hidden="1" customHeight="1">
      <c r="B1144" s="17"/>
      <c r="Q1144" s="18"/>
      <c r="R1144" s="14"/>
      <c r="S1144" s="14">
        <v>1</v>
      </c>
    </row>
    <row r="1145" spans="2:19" ht="20.25" hidden="1" customHeight="1">
      <c r="B1145" s="17"/>
      <c r="Q1145" s="18"/>
      <c r="R1145" s="14"/>
      <c r="S1145" s="14">
        <v>1</v>
      </c>
    </row>
    <row r="1146" spans="2:19" ht="20.25" hidden="1" customHeight="1">
      <c r="B1146" s="17"/>
      <c r="Q1146" s="18"/>
      <c r="R1146" s="14"/>
      <c r="S1146" s="14">
        <v>1</v>
      </c>
    </row>
    <row r="1147" spans="2:19" ht="20.25" hidden="1" customHeight="1">
      <c r="B1147" s="17"/>
      <c r="Q1147" s="18"/>
      <c r="R1147" s="14"/>
      <c r="S1147" s="14">
        <v>1</v>
      </c>
    </row>
    <row r="1148" spans="2:19" ht="20.25" hidden="1" customHeight="1">
      <c r="B1148" s="17"/>
      <c r="Q1148" s="18"/>
      <c r="R1148" s="14"/>
      <c r="S1148" s="14">
        <v>1</v>
      </c>
    </row>
    <row r="1149" spans="2:19" ht="20.25" hidden="1" customHeight="1">
      <c r="B1149" s="17"/>
      <c r="Q1149" s="18"/>
      <c r="R1149" s="14"/>
      <c r="S1149" s="14">
        <v>1</v>
      </c>
    </row>
    <row r="1150" spans="2:19" ht="20.25" hidden="1" customHeight="1">
      <c r="B1150" s="17"/>
      <c r="Q1150" s="18"/>
      <c r="R1150" s="14"/>
      <c r="S1150" s="14">
        <v>1</v>
      </c>
    </row>
    <row r="1151" spans="2:19" ht="20.25" hidden="1" customHeight="1">
      <c r="B1151" s="17"/>
      <c r="Q1151" s="18"/>
      <c r="R1151" s="14"/>
      <c r="S1151" s="14">
        <v>1</v>
      </c>
    </row>
    <row r="1152" spans="2:19" ht="20.25" hidden="1" customHeight="1">
      <c r="B1152" s="17"/>
      <c r="Q1152" s="18"/>
      <c r="R1152" s="14"/>
      <c r="S1152" s="14">
        <v>1</v>
      </c>
    </row>
    <row r="1153" spans="2:19" ht="20.25" hidden="1" customHeight="1">
      <c r="B1153" s="17"/>
      <c r="Q1153" s="18"/>
      <c r="R1153" s="14"/>
      <c r="S1153" s="14">
        <v>1</v>
      </c>
    </row>
    <row r="1154" spans="2:19" ht="20.25" hidden="1" customHeight="1">
      <c r="B1154" s="17"/>
      <c r="Q1154" s="18"/>
      <c r="R1154" s="14"/>
      <c r="S1154" s="14">
        <v>1</v>
      </c>
    </row>
    <row r="1155" spans="2:19" ht="20.25" hidden="1" customHeight="1">
      <c r="B1155" s="17"/>
      <c r="Q1155" s="18"/>
      <c r="R1155" s="14"/>
      <c r="S1155" s="14">
        <v>1</v>
      </c>
    </row>
    <row r="1156" spans="2:19" ht="20.25" hidden="1" customHeight="1">
      <c r="B1156" s="17"/>
      <c r="Q1156" s="18"/>
      <c r="R1156" s="14"/>
      <c r="S1156" s="14">
        <v>1</v>
      </c>
    </row>
    <row r="1157" spans="2:19" ht="20.25" hidden="1" customHeight="1">
      <c r="B1157" s="17"/>
      <c r="Q1157" s="18"/>
      <c r="R1157" s="14"/>
      <c r="S1157" s="14">
        <v>1</v>
      </c>
    </row>
    <row r="1158" spans="2:19" ht="20.25" hidden="1" customHeight="1">
      <c r="B1158" s="17"/>
      <c r="Q1158" s="18"/>
      <c r="R1158" s="14"/>
      <c r="S1158" s="14">
        <v>1</v>
      </c>
    </row>
    <row r="1159" spans="2:19" ht="20.25" hidden="1" customHeight="1">
      <c r="B1159" s="17"/>
      <c r="Q1159" s="18"/>
      <c r="R1159" s="14"/>
      <c r="S1159" s="14">
        <v>1</v>
      </c>
    </row>
    <row r="1160" spans="2:19" ht="20.25" hidden="1" customHeight="1">
      <c r="B1160" s="17"/>
      <c r="Q1160" s="18"/>
      <c r="R1160" s="14"/>
      <c r="S1160" s="14">
        <v>1</v>
      </c>
    </row>
    <row r="1161" spans="2:19" ht="20.25" hidden="1" customHeight="1">
      <c r="B1161" s="17"/>
      <c r="Q1161" s="18"/>
      <c r="R1161" s="14"/>
      <c r="S1161" s="14">
        <v>1</v>
      </c>
    </row>
    <row r="1162" spans="2:19" ht="20.25" hidden="1" customHeight="1">
      <c r="B1162" s="17"/>
      <c r="Q1162" s="18"/>
      <c r="R1162" s="14"/>
      <c r="S1162" s="14">
        <v>1</v>
      </c>
    </row>
    <row r="1163" spans="2:19" ht="20.25" hidden="1" customHeight="1">
      <c r="B1163" s="17"/>
      <c r="Q1163" s="18"/>
      <c r="R1163" s="14"/>
      <c r="S1163" s="14">
        <v>1</v>
      </c>
    </row>
    <row r="1164" spans="2:19" ht="20.25" hidden="1" customHeight="1">
      <c r="B1164" s="17"/>
      <c r="Q1164" s="18"/>
      <c r="R1164" s="14"/>
      <c r="S1164" s="14">
        <v>1</v>
      </c>
    </row>
    <row r="1165" spans="2:19" ht="20.25" hidden="1" customHeight="1">
      <c r="B1165" s="17"/>
      <c r="Q1165" s="18"/>
      <c r="R1165" s="14"/>
      <c r="S1165" s="14">
        <v>1</v>
      </c>
    </row>
    <row r="1166" spans="2:19" ht="20.25" hidden="1" customHeight="1">
      <c r="B1166" s="17"/>
      <c r="Q1166" s="18"/>
      <c r="R1166" s="14"/>
      <c r="S1166" s="14">
        <v>1</v>
      </c>
    </row>
    <row r="1167" spans="2:19" ht="20.25" hidden="1" customHeight="1">
      <c r="B1167" s="17"/>
      <c r="Q1167" s="18"/>
      <c r="R1167" s="14"/>
      <c r="S1167" s="14">
        <v>1</v>
      </c>
    </row>
    <row r="1168" spans="2:19" ht="20.25" hidden="1" customHeight="1">
      <c r="B1168" s="17"/>
      <c r="Q1168" s="18"/>
      <c r="R1168" s="14"/>
      <c r="S1168" s="14">
        <v>1</v>
      </c>
    </row>
    <row r="1169" spans="2:19" ht="20.25" hidden="1" customHeight="1">
      <c r="B1169" s="17"/>
      <c r="Q1169" s="18"/>
      <c r="R1169" s="14"/>
      <c r="S1169" s="14">
        <v>1</v>
      </c>
    </row>
    <row r="1170" spans="2:19" ht="20.25" hidden="1" customHeight="1">
      <c r="B1170" s="17"/>
      <c r="Q1170" s="18"/>
      <c r="R1170" s="14"/>
      <c r="S1170" s="14">
        <v>1</v>
      </c>
    </row>
    <row r="1171" spans="2:19" ht="20.25" hidden="1" customHeight="1">
      <c r="B1171" s="17"/>
      <c r="Q1171" s="18"/>
      <c r="R1171" s="14"/>
      <c r="S1171" s="14">
        <v>1</v>
      </c>
    </row>
    <row r="1172" spans="2:19" ht="20.25" hidden="1" customHeight="1">
      <c r="B1172" s="17"/>
      <c r="Q1172" s="18"/>
      <c r="R1172" s="14"/>
      <c r="S1172" s="14">
        <v>1</v>
      </c>
    </row>
    <row r="1173" spans="2:19" ht="20.25" hidden="1" customHeight="1">
      <c r="B1173" s="17"/>
      <c r="Q1173" s="18"/>
      <c r="R1173" s="14"/>
      <c r="S1173" s="14">
        <v>1</v>
      </c>
    </row>
    <row r="1174" spans="2:19" ht="20.25" hidden="1" customHeight="1">
      <c r="B1174" s="17"/>
      <c r="Q1174" s="18"/>
      <c r="R1174" s="14"/>
      <c r="S1174" s="14">
        <v>1</v>
      </c>
    </row>
    <row r="1175" spans="2:19" ht="20.25" hidden="1" customHeight="1">
      <c r="B1175" s="17"/>
      <c r="Q1175" s="18"/>
      <c r="R1175" s="14"/>
      <c r="S1175" s="14">
        <v>1</v>
      </c>
    </row>
    <row r="1176" spans="2:19" ht="20.25" hidden="1" customHeight="1">
      <c r="B1176" s="17"/>
      <c r="Q1176" s="18"/>
      <c r="R1176" s="14"/>
      <c r="S1176" s="14">
        <v>1</v>
      </c>
    </row>
    <row r="1177" spans="2:19" ht="20.25" hidden="1" customHeight="1">
      <c r="B1177" s="17"/>
      <c r="Q1177" s="18"/>
      <c r="R1177" s="14"/>
      <c r="S1177" s="14">
        <v>1</v>
      </c>
    </row>
    <row r="1178" spans="2:19" ht="20.25" hidden="1" customHeight="1">
      <c r="B1178" s="17"/>
      <c r="Q1178" s="18"/>
      <c r="R1178" s="14"/>
      <c r="S1178" s="14">
        <v>1</v>
      </c>
    </row>
    <row r="1179" spans="2:19" ht="20.25" hidden="1" customHeight="1">
      <c r="B1179" s="17"/>
      <c r="Q1179" s="18"/>
      <c r="R1179" s="14"/>
      <c r="S1179" s="14">
        <v>1</v>
      </c>
    </row>
    <row r="1180" spans="2:19" ht="20.25" hidden="1" customHeight="1">
      <c r="B1180" s="17"/>
      <c r="Q1180" s="18"/>
      <c r="R1180" s="14"/>
      <c r="S1180" s="14">
        <v>1</v>
      </c>
    </row>
    <row r="1181" spans="2:19" ht="20.25" hidden="1" customHeight="1">
      <c r="B1181" s="17"/>
      <c r="Q1181" s="18"/>
      <c r="R1181" s="14"/>
      <c r="S1181" s="14">
        <v>1</v>
      </c>
    </row>
    <row r="1182" spans="2:19" ht="20.25" hidden="1" customHeight="1">
      <c r="B1182" s="17"/>
      <c r="Q1182" s="18"/>
      <c r="R1182" s="14"/>
      <c r="S1182" s="14">
        <v>1</v>
      </c>
    </row>
    <row r="1183" spans="2:19" ht="20.25" hidden="1" customHeight="1">
      <c r="B1183" s="17"/>
      <c r="Q1183" s="18"/>
      <c r="R1183" s="14"/>
      <c r="S1183" s="14">
        <v>1</v>
      </c>
    </row>
    <row r="1184" spans="2:19" ht="20.25" hidden="1" customHeight="1">
      <c r="B1184" s="17"/>
      <c r="Q1184" s="18"/>
      <c r="R1184" s="14"/>
      <c r="S1184" s="14">
        <v>1</v>
      </c>
    </row>
    <row r="1185" spans="2:19" ht="20.25" hidden="1" customHeight="1">
      <c r="B1185" s="17"/>
      <c r="Q1185" s="18"/>
      <c r="R1185" s="14"/>
      <c r="S1185" s="14">
        <v>1</v>
      </c>
    </row>
    <row r="1186" spans="2:19" ht="20.25" hidden="1" customHeight="1">
      <c r="B1186" s="17"/>
      <c r="Q1186" s="18"/>
      <c r="R1186" s="14"/>
      <c r="S1186" s="14">
        <v>1</v>
      </c>
    </row>
    <row r="1187" spans="2:19" ht="20.25" hidden="1" customHeight="1">
      <c r="B1187" s="17"/>
      <c r="Q1187" s="18"/>
      <c r="R1187" s="14"/>
      <c r="S1187" s="14">
        <v>1</v>
      </c>
    </row>
    <row r="1188" spans="2:19" ht="20.25" hidden="1" customHeight="1">
      <c r="B1188" s="17"/>
      <c r="Q1188" s="18"/>
      <c r="R1188" s="14"/>
      <c r="S1188" s="14">
        <v>1</v>
      </c>
    </row>
    <row r="1189" spans="2:19" ht="20.25" hidden="1" customHeight="1">
      <c r="B1189" s="17"/>
      <c r="Q1189" s="18"/>
      <c r="R1189" s="14"/>
      <c r="S1189" s="14">
        <v>1</v>
      </c>
    </row>
    <row r="1190" spans="2:19" ht="20.25" hidden="1" customHeight="1">
      <c r="B1190" s="17"/>
      <c r="Q1190" s="18"/>
      <c r="R1190" s="14"/>
      <c r="S1190" s="14">
        <v>1</v>
      </c>
    </row>
    <row r="1191" spans="2:19" ht="20.25" hidden="1" customHeight="1">
      <c r="B1191" s="17"/>
      <c r="Q1191" s="18"/>
      <c r="R1191" s="14"/>
      <c r="S1191" s="14">
        <v>1</v>
      </c>
    </row>
    <row r="1192" spans="2:19" ht="20.25" hidden="1" customHeight="1">
      <c r="B1192" s="17"/>
      <c r="Q1192" s="18"/>
      <c r="R1192" s="14"/>
      <c r="S1192" s="14">
        <v>1</v>
      </c>
    </row>
    <row r="1193" spans="2:19" ht="20.25" hidden="1" customHeight="1">
      <c r="B1193" s="17"/>
      <c r="Q1193" s="18"/>
      <c r="R1193" s="14"/>
      <c r="S1193" s="14">
        <v>1</v>
      </c>
    </row>
    <row r="1194" spans="2:19" ht="20.25" hidden="1" customHeight="1">
      <c r="B1194" s="17"/>
      <c r="Q1194" s="18"/>
      <c r="R1194" s="14"/>
      <c r="S1194" s="14">
        <v>1</v>
      </c>
    </row>
    <row r="1195" spans="2:19" ht="20.25" hidden="1" customHeight="1">
      <c r="B1195" s="17"/>
      <c r="Q1195" s="18"/>
      <c r="R1195" s="14"/>
      <c r="S1195" s="14">
        <v>1</v>
      </c>
    </row>
    <row r="1196" spans="2:19" ht="20.25" hidden="1" customHeight="1">
      <c r="B1196" s="17"/>
      <c r="Q1196" s="18"/>
      <c r="R1196" s="14"/>
      <c r="S1196" s="14">
        <v>1</v>
      </c>
    </row>
    <row r="1197" spans="2:19" ht="20.25" hidden="1" customHeight="1">
      <c r="B1197" s="17"/>
      <c r="Q1197" s="18"/>
      <c r="R1197" s="14"/>
      <c r="S1197" s="14">
        <v>1</v>
      </c>
    </row>
    <row r="1198" spans="2:19" ht="20.25" hidden="1" customHeight="1">
      <c r="B1198" s="17"/>
      <c r="Q1198" s="18"/>
      <c r="R1198" s="14"/>
      <c r="S1198" s="14">
        <v>1</v>
      </c>
    </row>
    <row r="1199" spans="2:19" ht="20.25" hidden="1" customHeight="1">
      <c r="B1199" s="17"/>
      <c r="Q1199" s="18"/>
      <c r="R1199" s="14"/>
      <c r="S1199" s="14">
        <v>1</v>
      </c>
    </row>
    <row r="1200" spans="2:19" ht="20.25" hidden="1" customHeight="1">
      <c r="B1200" s="17"/>
      <c r="Q1200" s="18"/>
      <c r="R1200" s="14"/>
      <c r="S1200" s="14">
        <v>1</v>
      </c>
    </row>
    <row r="1201" spans="2:19" ht="20.25" hidden="1" customHeight="1">
      <c r="B1201" s="17"/>
      <c r="Q1201" s="18"/>
      <c r="R1201" s="14"/>
      <c r="S1201" s="14">
        <v>1</v>
      </c>
    </row>
    <row r="1202" spans="2:19" ht="20.25" hidden="1" customHeight="1">
      <c r="B1202" s="17"/>
      <c r="Q1202" s="18"/>
      <c r="R1202" s="14"/>
      <c r="S1202" s="14">
        <v>1</v>
      </c>
    </row>
    <row r="1203" spans="2:19" ht="20.25" hidden="1" customHeight="1">
      <c r="B1203" s="17"/>
      <c r="Q1203" s="18"/>
      <c r="R1203" s="14"/>
      <c r="S1203" s="14">
        <v>1</v>
      </c>
    </row>
    <row r="1204" spans="2:19" ht="20.25" hidden="1" customHeight="1">
      <c r="B1204" s="17"/>
      <c r="Q1204" s="18"/>
      <c r="R1204" s="14"/>
      <c r="S1204" s="14">
        <v>1</v>
      </c>
    </row>
    <row r="1205" spans="2:19" ht="20.25" hidden="1" customHeight="1">
      <c r="B1205" s="17"/>
      <c r="Q1205" s="18"/>
      <c r="R1205" s="14"/>
      <c r="S1205" s="14">
        <v>1</v>
      </c>
    </row>
    <row r="1206" spans="2:19" ht="20.25" hidden="1" customHeight="1">
      <c r="B1206" s="17"/>
      <c r="Q1206" s="18"/>
      <c r="R1206" s="14"/>
      <c r="S1206" s="14">
        <v>1</v>
      </c>
    </row>
    <row r="1207" spans="2:19" ht="20.25" hidden="1" customHeight="1">
      <c r="B1207" s="17"/>
      <c r="Q1207" s="18"/>
      <c r="R1207" s="14"/>
      <c r="S1207" s="14">
        <v>1</v>
      </c>
    </row>
    <row r="1208" spans="2:19" ht="20.25" hidden="1" customHeight="1">
      <c r="B1208" s="17"/>
      <c r="Q1208" s="18"/>
      <c r="R1208" s="14"/>
      <c r="S1208" s="14">
        <v>1</v>
      </c>
    </row>
    <row r="1209" spans="2:19" ht="20.25" hidden="1" customHeight="1">
      <c r="B1209" s="17"/>
      <c r="Q1209" s="18"/>
      <c r="R1209" s="14"/>
      <c r="S1209" s="14">
        <v>1</v>
      </c>
    </row>
    <row r="1210" spans="2:19" ht="20.25" hidden="1" customHeight="1">
      <c r="B1210" s="17"/>
      <c r="Q1210" s="18"/>
      <c r="R1210" s="14"/>
      <c r="S1210" s="14">
        <v>1</v>
      </c>
    </row>
    <row r="1211" spans="2:19" ht="20.25" hidden="1" customHeight="1">
      <c r="B1211" s="17"/>
      <c r="Q1211" s="18"/>
      <c r="R1211" s="14"/>
      <c r="S1211" s="14">
        <v>1</v>
      </c>
    </row>
    <row r="1212" spans="2:19" ht="20.25" hidden="1" customHeight="1">
      <c r="B1212" s="17"/>
      <c r="Q1212" s="18"/>
      <c r="R1212" s="14"/>
      <c r="S1212" s="14">
        <v>1</v>
      </c>
    </row>
    <row r="1213" spans="2:19" ht="20.25" hidden="1" customHeight="1">
      <c r="B1213" s="17"/>
      <c r="Q1213" s="18"/>
      <c r="R1213" s="14"/>
      <c r="S1213" s="14">
        <v>1</v>
      </c>
    </row>
    <row r="1214" spans="2:19" ht="20.25" hidden="1" customHeight="1">
      <c r="B1214" s="17"/>
      <c r="Q1214" s="18"/>
      <c r="R1214" s="14"/>
      <c r="S1214" s="14">
        <v>1</v>
      </c>
    </row>
    <row r="1215" spans="2:19" ht="20.25" hidden="1" customHeight="1">
      <c r="B1215" s="17"/>
      <c r="Q1215" s="18"/>
      <c r="R1215" s="14"/>
      <c r="S1215" s="14">
        <v>1</v>
      </c>
    </row>
    <row r="1216" spans="2:19" ht="20.25" hidden="1" customHeight="1">
      <c r="B1216" s="17"/>
      <c r="Q1216" s="18"/>
      <c r="R1216" s="14"/>
      <c r="S1216" s="14">
        <v>1</v>
      </c>
    </row>
    <row r="1217" spans="2:19" ht="20.25" hidden="1" customHeight="1">
      <c r="B1217" s="17"/>
      <c r="Q1217" s="18"/>
      <c r="R1217" s="14"/>
      <c r="S1217" s="14">
        <v>1</v>
      </c>
    </row>
    <row r="1218" spans="2:19" ht="20.25" hidden="1" customHeight="1">
      <c r="B1218" s="17"/>
      <c r="Q1218" s="18"/>
      <c r="R1218" s="14"/>
      <c r="S1218" s="14">
        <v>1</v>
      </c>
    </row>
    <row r="1219" spans="2:19" ht="20.25" hidden="1" customHeight="1">
      <c r="B1219" s="17"/>
      <c r="Q1219" s="18"/>
      <c r="R1219" s="14"/>
      <c r="S1219" s="14">
        <v>1</v>
      </c>
    </row>
    <row r="1220" spans="2:19" ht="20.25" hidden="1" customHeight="1">
      <c r="B1220" s="17"/>
      <c r="Q1220" s="18"/>
      <c r="R1220" s="14"/>
      <c r="S1220" s="14">
        <v>1</v>
      </c>
    </row>
    <row r="1221" spans="2:19" ht="20.25" hidden="1" customHeight="1">
      <c r="B1221" s="17"/>
      <c r="Q1221" s="18"/>
      <c r="R1221" s="14"/>
      <c r="S1221" s="14">
        <v>1</v>
      </c>
    </row>
    <row r="1222" spans="2:19" ht="20.25" hidden="1" customHeight="1">
      <c r="B1222" s="17"/>
      <c r="Q1222" s="18"/>
      <c r="R1222" s="14"/>
      <c r="S1222" s="14">
        <v>1</v>
      </c>
    </row>
    <row r="1223" spans="2:19" ht="20.25" hidden="1" customHeight="1">
      <c r="B1223" s="17"/>
      <c r="Q1223" s="18"/>
      <c r="R1223" s="14"/>
      <c r="S1223" s="14">
        <v>1</v>
      </c>
    </row>
    <row r="1224" spans="2:19" ht="20.25" hidden="1" customHeight="1">
      <c r="B1224" s="17"/>
      <c r="Q1224" s="18"/>
      <c r="R1224" s="14"/>
      <c r="S1224" s="14">
        <v>1</v>
      </c>
    </row>
    <row r="1225" spans="2:19" ht="20.25" hidden="1" customHeight="1">
      <c r="B1225" s="17"/>
      <c r="Q1225" s="18"/>
      <c r="R1225" s="14"/>
      <c r="S1225" s="14">
        <v>1</v>
      </c>
    </row>
    <row r="1226" spans="2:19" ht="20.25" hidden="1" customHeight="1">
      <c r="B1226" s="17"/>
      <c r="Q1226" s="18"/>
      <c r="R1226" s="14"/>
      <c r="S1226" s="14">
        <v>1</v>
      </c>
    </row>
    <row r="1227" spans="2:19" ht="20.25" hidden="1" customHeight="1">
      <c r="B1227" s="17"/>
      <c r="Q1227" s="18"/>
      <c r="R1227" s="14"/>
      <c r="S1227" s="14">
        <v>1</v>
      </c>
    </row>
    <row r="1228" spans="2:19" ht="20.25" hidden="1" customHeight="1">
      <c r="B1228" s="17"/>
      <c r="Q1228" s="18"/>
      <c r="R1228" s="14"/>
      <c r="S1228" s="14">
        <v>1</v>
      </c>
    </row>
    <row r="1229" spans="2:19" ht="20.25" hidden="1" customHeight="1">
      <c r="B1229" s="17"/>
      <c r="Q1229" s="18"/>
      <c r="R1229" s="14"/>
      <c r="S1229" s="14">
        <v>1</v>
      </c>
    </row>
    <row r="1230" spans="2:19" ht="20.25" hidden="1" customHeight="1">
      <c r="B1230" s="17"/>
      <c r="Q1230" s="18"/>
      <c r="R1230" s="14"/>
      <c r="S1230" s="14">
        <v>1</v>
      </c>
    </row>
    <row r="1231" spans="2:19" ht="20.25" hidden="1" customHeight="1">
      <c r="B1231" s="17"/>
      <c r="Q1231" s="18"/>
      <c r="R1231" s="14"/>
      <c r="S1231" s="14">
        <v>1</v>
      </c>
    </row>
    <row r="1232" spans="2:19" ht="20.25" hidden="1" customHeight="1">
      <c r="B1232" s="17"/>
      <c r="Q1232" s="18"/>
      <c r="R1232" s="14"/>
      <c r="S1232" s="14">
        <v>1</v>
      </c>
    </row>
    <row r="1233" spans="2:19" ht="20.25" hidden="1" customHeight="1">
      <c r="B1233" s="17"/>
      <c r="Q1233" s="18"/>
      <c r="R1233" s="14"/>
      <c r="S1233" s="14">
        <v>1</v>
      </c>
    </row>
    <row r="1234" spans="2:19" ht="20.25" hidden="1" customHeight="1">
      <c r="B1234" s="17"/>
      <c r="Q1234" s="18"/>
      <c r="R1234" s="14"/>
      <c r="S1234" s="14">
        <v>1</v>
      </c>
    </row>
    <row r="1235" spans="2:19" ht="20.25" hidden="1" customHeight="1">
      <c r="B1235" s="17"/>
      <c r="Q1235" s="18"/>
      <c r="R1235" s="14"/>
      <c r="S1235" s="14">
        <v>1</v>
      </c>
    </row>
    <row r="1236" spans="2:19" ht="20.25" hidden="1" customHeight="1">
      <c r="B1236" s="17"/>
      <c r="Q1236" s="18"/>
      <c r="R1236" s="14"/>
      <c r="S1236" s="14">
        <v>1</v>
      </c>
    </row>
    <row r="1237" spans="2:19" ht="20.25" hidden="1" customHeight="1">
      <c r="B1237" s="17"/>
      <c r="Q1237" s="18"/>
      <c r="R1237" s="14"/>
      <c r="S1237" s="14">
        <v>1</v>
      </c>
    </row>
    <row r="1238" spans="2:19" ht="20.25" hidden="1" customHeight="1">
      <c r="B1238" s="17"/>
      <c r="Q1238" s="18"/>
      <c r="R1238" s="14"/>
      <c r="S1238" s="14">
        <v>1</v>
      </c>
    </row>
    <row r="1239" spans="2:19" ht="20.25" hidden="1" customHeight="1">
      <c r="B1239" s="17"/>
      <c r="Q1239" s="18"/>
      <c r="R1239" s="14"/>
      <c r="S1239" s="14">
        <v>1</v>
      </c>
    </row>
    <row r="1240" spans="2:19" ht="20.25" hidden="1" customHeight="1">
      <c r="B1240" s="17"/>
      <c r="Q1240" s="18"/>
      <c r="R1240" s="14"/>
      <c r="S1240" s="14">
        <v>1</v>
      </c>
    </row>
    <row r="1241" spans="2:19" ht="20.25" hidden="1" customHeight="1">
      <c r="B1241" s="17"/>
      <c r="Q1241" s="18"/>
      <c r="R1241" s="14"/>
      <c r="S1241" s="14">
        <v>1</v>
      </c>
    </row>
    <row r="1242" spans="2:19" ht="20.25" hidden="1" customHeight="1">
      <c r="B1242" s="17"/>
      <c r="Q1242" s="18"/>
      <c r="R1242" s="14"/>
      <c r="S1242" s="14">
        <v>1</v>
      </c>
    </row>
    <row r="1243" spans="2:19" ht="20.25" hidden="1" customHeight="1">
      <c r="B1243" s="17"/>
      <c r="Q1243" s="18"/>
      <c r="R1243" s="14"/>
      <c r="S1243" s="14">
        <v>1</v>
      </c>
    </row>
    <row r="1244" spans="2:19" ht="20.25" hidden="1" customHeight="1">
      <c r="B1244" s="17"/>
      <c r="Q1244" s="18"/>
      <c r="R1244" s="14"/>
      <c r="S1244" s="14">
        <v>1</v>
      </c>
    </row>
    <row r="1245" spans="2:19" ht="20.25" hidden="1" customHeight="1">
      <c r="B1245" s="17"/>
      <c r="Q1245" s="18"/>
      <c r="R1245" s="14"/>
      <c r="S1245" s="14">
        <v>1</v>
      </c>
    </row>
    <row r="1246" spans="2:19" ht="20.25" hidden="1" customHeight="1">
      <c r="B1246" s="17"/>
      <c r="Q1246" s="18"/>
      <c r="R1246" s="14"/>
      <c r="S1246" s="14">
        <v>1</v>
      </c>
    </row>
    <row r="1247" spans="2:19" ht="20.25" hidden="1" customHeight="1">
      <c r="B1247" s="17"/>
      <c r="Q1247" s="18"/>
      <c r="R1247" s="14"/>
      <c r="S1247" s="14">
        <v>1</v>
      </c>
    </row>
    <row r="1248" spans="2:19" ht="20.25" hidden="1" customHeight="1">
      <c r="B1248" s="17"/>
      <c r="Q1248" s="18"/>
      <c r="R1248" s="14"/>
      <c r="S1248" s="14">
        <v>1</v>
      </c>
    </row>
    <row r="1249" spans="2:19" ht="20.25" hidden="1" customHeight="1">
      <c r="B1249" s="17"/>
      <c r="Q1249" s="18"/>
      <c r="R1249" s="14"/>
      <c r="S1249" s="14">
        <v>1</v>
      </c>
    </row>
    <row r="1250" spans="2:19" ht="20.25" hidden="1" customHeight="1">
      <c r="B1250" s="17"/>
      <c r="Q1250" s="18"/>
      <c r="R1250" s="14"/>
      <c r="S1250" s="14">
        <v>1</v>
      </c>
    </row>
    <row r="1251" spans="2:19" ht="20.25" hidden="1" customHeight="1">
      <c r="B1251" s="17"/>
      <c r="Q1251" s="18"/>
      <c r="R1251" s="14"/>
      <c r="S1251" s="14">
        <v>1</v>
      </c>
    </row>
    <row r="1252" spans="2:19" ht="20.25" hidden="1" customHeight="1">
      <c r="B1252" s="17"/>
      <c r="Q1252" s="18"/>
      <c r="R1252" s="14"/>
      <c r="S1252" s="14">
        <v>1</v>
      </c>
    </row>
    <row r="1253" spans="2:19" ht="20.25" hidden="1" customHeight="1">
      <c r="B1253" s="17"/>
      <c r="Q1253" s="18"/>
      <c r="R1253" s="14"/>
      <c r="S1253" s="14">
        <v>1</v>
      </c>
    </row>
    <row r="1254" spans="2:19" ht="20.25" hidden="1" customHeight="1">
      <c r="B1254" s="17"/>
      <c r="Q1254" s="18"/>
      <c r="R1254" s="14"/>
      <c r="S1254" s="14">
        <v>1</v>
      </c>
    </row>
    <row r="1255" spans="2:19" ht="20.25" hidden="1" customHeight="1">
      <c r="B1255" s="17"/>
      <c r="Q1255" s="18"/>
      <c r="R1255" s="14"/>
      <c r="S1255" s="14">
        <v>1</v>
      </c>
    </row>
    <row r="1256" spans="2:19" ht="20.25" hidden="1" customHeight="1">
      <c r="B1256" s="17"/>
      <c r="Q1256" s="18"/>
      <c r="R1256" s="14"/>
      <c r="S1256" s="14">
        <v>1</v>
      </c>
    </row>
    <row r="1257" spans="2:19" ht="20.25" hidden="1" customHeight="1">
      <c r="B1257" s="17"/>
      <c r="Q1257" s="18"/>
      <c r="R1257" s="14"/>
      <c r="S1257" s="14">
        <v>1</v>
      </c>
    </row>
    <row r="1258" spans="2:19" ht="20.25" hidden="1" customHeight="1">
      <c r="B1258" s="17"/>
      <c r="Q1258" s="18"/>
      <c r="R1258" s="14"/>
      <c r="S1258" s="14">
        <v>1</v>
      </c>
    </row>
    <row r="1259" spans="2:19" ht="20.25" hidden="1" customHeight="1">
      <c r="B1259" s="17"/>
      <c r="Q1259" s="18"/>
      <c r="R1259" s="14"/>
      <c r="S1259" s="14">
        <v>1</v>
      </c>
    </row>
    <row r="1260" spans="2:19" ht="20.25" hidden="1" customHeight="1">
      <c r="B1260" s="17"/>
      <c r="Q1260" s="18"/>
      <c r="R1260" s="14"/>
      <c r="S1260" s="14">
        <v>1</v>
      </c>
    </row>
    <row r="1261" spans="2:19" ht="20.25" hidden="1" customHeight="1">
      <c r="B1261" s="17"/>
      <c r="Q1261" s="18"/>
      <c r="R1261" s="14"/>
      <c r="S1261" s="14">
        <v>1</v>
      </c>
    </row>
    <row r="1262" spans="2:19" ht="20.25" hidden="1" customHeight="1">
      <c r="B1262" s="17"/>
      <c r="Q1262" s="18"/>
      <c r="R1262" s="14"/>
      <c r="S1262" s="14">
        <v>1</v>
      </c>
    </row>
    <row r="1263" spans="2:19" ht="20.25" hidden="1" customHeight="1">
      <c r="B1263" s="17"/>
      <c r="Q1263" s="18"/>
      <c r="R1263" s="14"/>
      <c r="S1263" s="14">
        <v>1</v>
      </c>
    </row>
    <row r="1264" spans="2:19" ht="20.25" hidden="1" customHeight="1">
      <c r="B1264" s="17"/>
      <c r="Q1264" s="18"/>
      <c r="R1264" s="14"/>
      <c r="S1264" s="14">
        <v>1</v>
      </c>
    </row>
    <row r="1265" spans="2:19" ht="20.25" hidden="1" customHeight="1">
      <c r="B1265" s="17"/>
      <c r="Q1265" s="18"/>
      <c r="R1265" s="14"/>
      <c r="S1265" s="14">
        <v>1</v>
      </c>
    </row>
    <row r="1266" spans="2:19" ht="20.25" hidden="1" customHeight="1">
      <c r="B1266" s="17"/>
      <c r="Q1266" s="18"/>
      <c r="R1266" s="14"/>
      <c r="S1266" s="14">
        <v>1</v>
      </c>
    </row>
    <row r="1267" spans="2:19" ht="20.25" hidden="1" customHeight="1">
      <c r="B1267" s="17"/>
      <c r="Q1267" s="18"/>
      <c r="R1267" s="14"/>
      <c r="S1267" s="14">
        <v>1</v>
      </c>
    </row>
    <row r="1268" spans="2:19" ht="20.25" hidden="1" customHeight="1">
      <c r="B1268" s="17"/>
      <c r="Q1268" s="18"/>
      <c r="R1268" s="14"/>
      <c r="S1268" s="14">
        <v>1</v>
      </c>
    </row>
    <row r="1269" spans="2:19" ht="20.25" hidden="1" customHeight="1">
      <c r="B1269" s="17"/>
      <c r="Q1269" s="18"/>
      <c r="R1269" s="14"/>
      <c r="S1269" s="14">
        <v>1</v>
      </c>
    </row>
    <row r="1270" spans="2:19" ht="20.25" hidden="1" customHeight="1">
      <c r="B1270" s="17"/>
      <c r="Q1270" s="18"/>
      <c r="R1270" s="14"/>
      <c r="S1270" s="14">
        <v>1</v>
      </c>
    </row>
    <row r="1271" spans="2:19" ht="20.25" hidden="1" customHeight="1">
      <c r="B1271" s="17"/>
      <c r="Q1271" s="18"/>
      <c r="R1271" s="14"/>
      <c r="S1271" s="14">
        <v>1</v>
      </c>
    </row>
    <row r="1272" spans="2:19" ht="20.25" hidden="1" customHeight="1">
      <c r="B1272" s="17"/>
      <c r="Q1272" s="18"/>
      <c r="R1272" s="14"/>
      <c r="S1272" s="14">
        <v>1</v>
      </c>
    </row>
    <row r="1273" spans="2:19" ht="20.25" hidden="1" customHeight="1">
      <c r="B1273" s="17"/>
      <c r="Q1273" s="18"/>
      <c r="R1273" s="14"/>
      <c r="S1273" s="14">
        <v>1</v>
      </c>
    </row>
    <row r="1274" spans="2:19" ht="20.25" hidden="1" customHeight="1">
      <c r="B1274" s="17"/>
      <c r="Q1274" s="18"/>
      <c r="R1274" s="14"/>
      <c r="S1274" s="14">
        <v>1</v>
      </c>
    </row>
    <row r="1275" spans="2:19" ht="20.25" hidden="1" customHeight="1">
      <c r="B1275" s="17"/>
      <c r="Q1275" s="18"/>
      <c r="R1275" s="14"/>
      <c r="S1275" s="14">
        <v>1</v>
      </c>
    </row>
    <row r="1276" spans="2:19" ht="20.25" hidden="1" customHeight="1">
      <c r="B1276" s="17"/>
      <c r="Q1276" s="18"/>
      <c r="R1276" s="14"/>
      <c r="S1276" s="14">
        <v>1</v>
      </c>
    </row>
    <row r="1277" spans="2:19" ht="20.25" hidden="1" customHeight="1">
      <c r="B1277" s="17"/>
      <c r="Q1277" s="18"/>
      <c r="R1277" s="14"/>
      <c r="S1277" s="14">
        <v>1</v>
      </c>
    </row>
    <row r="1278" spans="2:19" ht="20.25" hidden="1" customHeight="1">
      <c r="B1278" s="17"/>
      <c r="Q1278" s="18"/>
      <c r="R1278" s="14"/>
      <c r="S1278" s="14">
        <v>1</v>
      </c>
    </row>
    <row r="1279" spans="2:19" ht="20.25" hidden="1" customHeight="1">
      <c r="B1279" s="17"/>
      <c r="Q1279" s="18"/>
      <c r="R1279" s="14"/>
      <c r="S1279" s="14">
        <v>1</v>
      </c>
    </row>
    <row r="1280" spans="2:19" ht="20.25" hidden="1" customHeight="1">
      <c r="B1280" s="17"/>
      <c r="Q1280" s="18"/>
      <c r="R1280" s="14"/>
      <c r="S1280" s="14">
        <v>1</v>
      </c>
    </row>
    <row r="1281" spans="2:19" ht="20.25" hidden="1" customHeight="1">
      <c r="B1281" s="17"/>
      <c r="Q1281" s="18"/>
      <c r="R1281" s="14"/>
      <c r="S1281" s="14">
        <v>1</v>
      </c>
    </row>
    <row r="1282" spans="2:19" ht="20.25" hidden="1" customHeight="1">
      <c r="B1282" s="17"/>
      <c r="Q1282" s="18"/>
      <c r="R1282" s="14"/>
      <c r="S1282" s="14">
        <v>1</v>
      </c>
    </row>
    <row r="1283" spans="2:19" ht="20.25" hidden="1" customHeight="1">
      <c r="B1283" s="17"/>
      <c r="Q1283" s="18"/>
      <c r="R1283" s="14"/>
      <c r="S1283" s="14">
        <v>1</v>
      </c>
    </row>
    <row r="1284" spans="2:19" ht="20.25" hidden="1" customHeight="1">
      <c r="B1284" s="17"/>
      <c r="Q1284" s="18"/>
      <c r="R1284" s="14"/>
      <c r="S1284" s="14">
        <v>1</v>
      </c>
    </row>
    <row r="1285" spans="2:19" ht="20.25" hidden="1" customHeight="1">
      <c r="B1285" s="17"/>
      <c r="Q1285" s="18"/>
      <c r="R1285" s="14"/>
      <c r="S1285" s="14">
        <v>1</v>
      </c>
    </row>
    <row r="1286" spans="2:19" ht="20.25" hidden="1" customHeight="1">
      <c r="B1286" s="17"/>
      <c r="Q1286" s="18"/>
      <c r="R1286" s="14"/>
      <c r="S1286" s="14">
        <v>1</v>
      </c>
    </row>
    <row r="1287" spans="2:19" ht="20.25" hidden="1" customHeight="1">
      <c r="B1287" s="17"/>
      <c r="Q1287" s="18"/>
      <c r="R1287" s="14"/>
      <c r="S1287" s="14">
        <v>1</v>
      </c>
    </row>
    <row r="1288" spans="2:19" ht="20.25" hidden="1" customHeight="1">
      <c r="B1288" s="17"/>
      <c r="Q1288" s="18"/>
      <c r="R1288" s="14"/>
      <c r="S1288" s="14">
        <v>1</v>
      </c>
    </row>
    <row r="1289" spans="2:19" ht="20.25" hidden="1" customHeight="1">
      <c r="B1289" s="17"/>
      <c r="Q1289" s="18"/>
      <c r="R1289" s="14"/>
      <c r="S1289" s="14">
        <v>1</v>
      </c>
    </row>
    <row r="1290" spans="2:19" ht="20.25" hidden="1" customHeight="1">
      <c r="B1290" s="17"/>
      <c r="Q1290" s="18"/>
      <c r="R1290" s="14"/>
      <c r="S1290" s="14">
        <v>1</v>
      </c>
    </row>
    <row r="1291" spans="2:19" ht="20.25" hidden="1" customHeight="1">
      <c r="B1291" s="17"/>
      <c r="Q1291" s="18"/>
      <c r="R1291" s="14"/>
      <c r="S1291" s="14">
        <v>1</v>
      </c>
    </row>
    <row r="1292" spans="2:19" ht="20.25" hidden="1" customHeight="1">
      <c r="B1292" s="17"/>
      <c r="Q1292" s="18"/>
      <c r="R1292" s="14"/>
      <c r="S1292" s="14">
        <v>1</v>
      </c>
    </row>
    <row r="1293" spans="2:19" ht="20.25" hidden="1" customHeight="1">
      <c r="B1293" s="17"/>
      <c r="Q1293" s="18"/>
      <c r="R1293" s="14"/>
      <c r="S1293" s="14">
        <v>1</v>
      </c>
    </row>
    <row r="1294" spans="2:19" ht="20.25" hidden="1" customHeight="1">
      <c r="B1294" s="17"/>
      <c r="Q1294" s="18"/>
      <c r="R1294" s="14"/>
      <c r="S1294" s="14">
        <v>1</v>
      </c>
    </row>
    <row r="1295" spans="2:19" ht="20.25" hidden="1" customHeight="1">
      <c r="B1295" s="17"/>
      <c r="Q1295" s="18"/>
      <c r="R1295" s="14"/>
      <c r="S1295" s="14">
        <v>1</v>
      </c>
    </row>
    <row r="1296" spans="2:19" ht="20.25" hidden="1" customHeight="1">
      <c r="B1296" s="17"/>
      <c r="Q1296" s="18"/>
      <c r="R1296" s="14"/>
      <c r="S1296" s="14">
        <v>1</v>
      </c>
    </row>
    <row r="1297" spans="2:19" ht="20.25" hidden="1" customHeight="1">
      <c r="B1297" s="17"/>
      <c r="Q1297" s="18"/>
      <c r="R1297" s="14"/>
      <c r="S1297" s="14">
        <v>1</v>
      </c>
    </row>
    <row r="1298" spans="2:19" ht="20.25" hidden="1" customHeight="1">
      <c r="B1298" s="17"/>
      <c r="Q1298" s="18"/>
      <c r="R1298" s="14"/>
      <c r="S1298" s="14">
        <v>1</v>
      </c>
    </row>
    <row r="1299" spans="2:19" ht="20.25" hidden="1" customHeight="1">
      <c r="B1299" s="17"/>
      <c r="Q1299" s="18"/>
      <c r="R1299" s="14"/>
      <c r="S1299" s="14">
        <v>1</v>
      </c>
    </row>
    <row r="1300" spans="2:19" ht="20.25" hidden="1" customHeight="1">
      <c r="B1300" s="17"/>
      <c r="Q1300" s="18"/>
      <c r="R1300" s="14"/>
      <c r="S1300" s="14">
        <v>1</v>
      </c>
    </row>
    <row r="1301" spans="2:19" ht="20.25" hidden="1" customHeight="1">
      <c r="B1301" s="17"/>
      <c r="Q1301" s="18"/>
      <c r="R1301" s="14"/>
      <c r="S1301" s="14">
        <v>1</v>
      </c>
    </row>
    <row r="1302" spans="2:19" ht="20.25" hidden="1" customHeight="1">
      <c r="B1302" s="17"/>
      <c r="Q1302" s="18"/>
      <c r="R1302" s="14"/>
      <c r="S1302" s="14">
        <v>1</v>
      </c>
    </row>
    <row r="1303" spans="2:19" ht="20.25" hidden="1" customHeight="1">
      <c r="B1303" s="17"/>
      <c r="Q1303" s="18"/>
      <c r="R1303" s="14"/>
      <c r="S1303" s="14">
        <v>1</v>
      </c>
    </row>
    <row r="1304" spans="2:19" ht="20.25" hidden="1" customHeight="1">
      <c r="B1304" s="17"/>
      <c r="Q1304" s="18"/>
      <c r="R1304" s="14"/>
      <c r="S1304" s="14">
        <v>1</v>
      </c>
    </row>
    <row r="1305" spans="2:19" ht="20.25" hidden="1" customHeight="1">
      <c r="B1305" s="17"/>
      <c r="Q1305" s="18"/>
      <c r="R1305" s="14"/>
      <c r="S1305" s="14">
        <v>1</v>
      </c>
    </row>
    <row r="1306" spans="2:19" ht="20.25" hidden="1" customHeight="1">
      <c r="B1306" s="17"/>
      <c r="Q1306" s="18"/>
      <c r="R1306" s="14"/>
      <c r="S1306" s="14">
        <v>1</v>
      </c>
    </row>
    <row r="1307" spans="2:19" ht="20.25" hidden="1" customHeight="1">
      <c r="B1307" s="17"/>
      <c r="Q1307" s="18"/>
      <c r="R1307" s="14"/>
      <c r="S1307" s="14">
        <v>1</v>
      </c>
    </row>
    <row r="1308" spans="2:19" ht="20.25" hidden="1" customHeight="1">
      <c r="B1308" s="17"/>
      <c r="Q1308" s="18"/>
      <c r="R1308" s="14"/>
      <c r="S1308" s="14">
        <v>1</v>
      </c>
    </row>
    <row r="1309" spans="2:19" ht="20.25" hidden="1" customHeight="1">
      <c r="B1309" s="17"/>
      <c r="Q1309" s="18"/>
      <c r="R1309" s="14"/>
      <c r="S1309" s="14">
        <v>1</v>
      </c>
    </row>
    <row r="1310" spans="2:19" ht="20.25" hidden="1" customHeight="1">
      <c r="B1310" s="17"/>
      <c r="Q1310" s="18"/>
      <c r="R1310" s="14"/>
      <c r="S1310" s="14">
        <v>1</v>
      </c>
    </row>
    <row r="1311" spans="2:19" ht="20.25" hidden="1" customHeight="1">
      <c r="B1311" s="17"/>
      <c r="Q1311" s="18"/>
      <c r="R1311" s="14"/>
      <c r="S1311" s="14">
        <v>1</v>
      </c>
    </row>
    <row r="1312" spans="2:19" ht="20.25" hidden="1" customHeight="1">
      <c r="B1312" s="17"/>
      <c r="Q1312" s="18"/>
      <c r="R1312" s="14"/>
      <c r="S1312" s="14">
        <v>1</v>
      </c>
    </row>
    <row r="1313" spans="2:19" ht="20.25" hidden="1" customHeight="1">
      <c r="B1313" s="17"/>
      <c r="Q1313" s="18"/>
      <c r="R1313" s="14"/>
      <c r="S1313" s="14">
        <v>1</v>
      </c>
    </row>
    <row r="1314" spans="2:19" ht="20.25" hidden="1" customHeight="1">
      <c r="B1314" s="17"/>
      <c r="Q1314" s="18"/>
      <c r="R1314" s="14"/>
      <c r="S1314" s="14">
        <v>1</v>
      </c>
    </row>
    <row r="1315" spans="2:19" ht="20.25" hidden="1" customHeight="1">
      <c r="B1315" s="17"/>
      <c r="Q1315" s="18"/>
      <c r="R1315" s="14"/>
      <c r="S1315" s="14">
        <v>1</v>
      </c>
    </row>
    <row r="1316" spans="2:19" ht="20.25" hidden="1" customHeight="1">
      <c r="B1316" s="17"/>
      <c r="Q1316" s="18"/>
      <c r="R1316" s="14"/>
      <c r="S1316" s="14">
        <v>1</v>
      </c>
    </row>
    <row r="1317" spans="2:19" ht="20.25" hidden="1" customHeight="1">
      <c r="B1317" s="17"/>
      <c r="Q1317" s="18"/>
      <c r="R1317" s="14"/>
      <c r="S1317" s="14">
        <v>1</v>
      </c>
    </row>
    <row r="1318" spans="2:19" ht="20.25" hidden="1" customHeight="1">
      <c r="B1318" s="17"/>
      <c r="Q1318" s="18"/>
      <c r="R1318" s="14"/>
      <c r="S1318" s="14">
        <v>1</v>
      </c>
    </row>
    <row r="1319" spans="2:19" ht="20.25" hidden="1" customHeight="1">
      <c r="B1319" s="17"/>
      <c r="Q1319" s="18"/>
      <c r="R1319" s="14"/>
      <c r="S1319" s="14">
        <v>1</v>
      </c>
    </row>
    <row r="1320" spans="2:19" ht="20.25" hidden="1" customHeight="1">
      <c r="B1320" s="17"/>
      <c r="Q1320" s="18"/>
      <c r="R1320" s="14"/>
      <c r="S1320" s="14">
        <v>1</v>
      </c>
    </row>
    <row r="1321" spans="2:19" ht="20.25" hidden="1" customHeight="1">
      <c r="B1321" s="17"/>
      <c r="Q1321" s="18"/>
      <c r="R1321" s="14"/>
      <c r="S1321" s="14">
        <v>1</v>
      </c>
    </row>
    <row r="1322" spans="2:19" ht="20.25" hidden="1" customHeight="1">
      <c r="B1322" s="17"/>
      <c r="Q1322" s="18"/>
      <c r="R1322" s="14"/>
      <c r="S1322" s="14">
        <v>1</v>
      </c>
    </row>
    <row r="1323" spans="2:19" ht="20.25" hidden="1" customHeight="1">
      <c r="B1323" s="17"/>
      <c r="Q1323" s="18"/>
      <c r="R1323" s="14"/>
      <c r="S1323" s="14">
        <v>1</v>
      </c>
    </row>
    <row r="1324" spans="2:19" ht="20.25" hidden="1" customHeight="1">
      <c r="B1324" s="17"/>
      <c r="Q1324" s="18"/>
      <c r="R1324" s="14"/>
      <c r="S1324" s="14">
        <v>1</v>
      </c>
    </row>
    <row r="1325" spans="2:19" ht="20.25" hidden="1" customHeight="1">
      <c r="B1325" s="17"/>
      <c r="Q1325" s="18"/>
      <c r="R1325" s="14"/>
      <c r="S1325" s="14">
        <v>1</v>
      </c>
    </row>
    <row r="1326" spans="2:19" ht="20.25" hidden="1" customHeight="1">
      <c r="B1326" s="17"/>
      <c r="Q1326" s="18"/>
      <c r="R1326" s="14"/>
      <c r="S1326" s="14">
        <v>1</v>
      </c>
    </row>
    <row r="1327" spans="2:19" ht="20.25" hidden="1" customHeight="1">
      <c r="B1327" s="17"/>
      <c r="Q1327" s="18"/>
      <c r="R1327" s="14"/>
      <c r="S1327" s="14">
        <v>1</v>
      </c>
    </row>
    <row r="1328" spans="2:19" ht="20.25" hidden="1" customHeight="1">
      <c r="B1328" s="17"/>
      <c r="Q1328" s="18"/>
      <c r="R1328" s="14"/>
      <c r="S1328" s="14">
        <v>1</v>
      </c>
    </row>
    <row r="1329" spans="2:19" ht="20.25" hidden="1" customHeight="1">
      <c r="B1329" s="17"/>
      <c r="Q1329" s="18"/>
      <c r="R1329" s="14"/>
      <c r="S1329" s="14">
        <v>1</v>
      </c>
    </row>
    <row r="1330" spans="2:19" ht="20.25" hidden="1" customHeight="1">
      <c r="B1330" s="17"/>
      <c r="Q1330" s="18"/>
      <c r="R1330" s="14"/>
      <c r="S1330" s="14">
        <v>1</v>
      </c>
    </row>
    <row r="1331" spans="2:19" ht="20.25" hidden="1" customHeight="1">
      <c r="B1331" s="17"/>
      <c r="Q1331" s="18"/>
      <c r="R1331" s="14"/>
      <c r="S1331" s="14">
        <v>1</v>
      </c>
    </row>
    <row r="1332" spans="2:19" ht="20.25" hidden="1" customHeight="1">
      <c r="B1332" s="17"/>
      <c r="Q1332" s="18"/>
      <c r="R1332" s="14"/>
      <c r="S1332" s="14">
        <v>1</v>
      </c>
    </row>
    <row r="1333" spans="2:19" ht="20.25" hidden="1" customHeight="1">
      <c r="B1333" s="17"/>
      <c r="Q1333" s="18"/>
      <c r="R1333" s="14"/>
      <c r="S1333" s="14">
        <v>1</v>
      </c>
    </row>
    <row r="1334" spans="2:19" ht="20.25" hidden="1" customHeight="1">
      <c r="B1334" s="17"/>
      <c r="Q1334" s="18"/>
      <c r="R1334" s="14"/>
      <c r="S1334" s="14">
        <v>1</v>
      </c>
    </row>
    <row r="1335" spans="2:19" ht="20.25" hidden="1" customHeight="1">
      <c r="B1335" s="17"/>
      <c r="Q1335" s="18"/>
      <c r="R1335" s="14"/>
      <c r="S1335" s="14">
        <v>1</v>
      </c>
    </row>
    <row r="1336" spans="2:19" ht="20.25" hidden="1" customHeight="1">
      <c r="B1336" s="17"/>
      <c r="Q1336" s="18"/>
      <c r="R1336" s="14"/>
      <c r="S1336" s="14">
        <v>1</v>
      </c>
    </row>
    <row r="1337" spans="2:19" ht="20.25" hidden="1" customHeight="1">
      <c r="B1337" s="17"/>
      <c r="Q1337" s="18"/>
      <c r="R1337" s="14"/>
      <c r="S1337" s="14">
        <v>1</v>
      </c>
    </row>
    <row r="1338" spans="2:19" ht="20.25" hidden="1" customHeight="1">
      <c r="B1338" s="17"/>
      <c r="Q1338" s="18"/>
      <c r="R1338" s="14"/>
      <c r="S1338" s="14">
        <v>1</v>
      </c>
    </row>
    <row r="1339" spans="2:19" ht="20.25" hidden="1" customHeight="1">
      <c r="B1339" s="17"/>
      <c r="Q1339" s="18"/>
      <c r="R1339" s="14"/>
      <c r="S1339" s="14">
        <v>1</v>
      </c>
    </row>
    <row r="1340" spans="2:19" ht="20.25" hidden="1" customHeight="1">
      <c r="B1340" s="17"/>
      <c r="Q1340" s="18"/>
      <c r="R1340" s="14"/>
      <c r="S1340" s="14">
        <v>1</v>
      </c>
    </row>
    <row r="1341" spans="2:19" ht="20.25" hidden="1" customHeight="1">
      <c r="B1341" s="17"/>
      <c r="Q1341" s="18"/>
      <c r="R1341" s="14"/>
      <c r="S1341" s="14">
        <v>1</v>
      </c>
    </row>
    <row r="1342" spans="2:19" ht="20.25" hidden="1" customHeight="1">
      <c r="B1342" s="17"/>
      <c r="Q1342" s="18"/>
      <c r="R1342" s="14"/>
      <c r="S1342" s="14">
        <v>1</v>
      </c>
    </row>
    <row r="1343" spans="2:19" ht="20.25" hidden="1" customHeight="1">
      <c r="B1343" s="17"/>
      <c r="Q1343" s="18"/>
      <c r="R1343" s="14"/>
      <c r="S1343" s="14">
        <v>1</v>
      </c>
    </row>
    <row r="1344" spans="2:19" ht="20.25" hidden="1" customHeight="1">
      <c r="B1344" s="17"/>
      <c r="Q1344" s="18"/>
      <c r="R1344" s="14"/>
      <c r="S1344" s="14">
        <v>1</v>
      </c>
    </row>
    <row r="1345" spans="2:19" ht="20.25" hidden="1" customHeight="1">
      <c r="B1345" s="17"/>
      <c r="Q1345" s="18"/>
      <c r="R1345" s="14"/>
      <c r="S1345" s="14">
        <v>1</v>
      </c>
    </row>
    <row r="1346" spans="2:19" ht="20.25" hidden="1" customHeight="1">
      <c r="B1346" s="17"/>
      <c r="Q1346" s="18"/>
      <c r="R1346" s="14"/>
      <c r="S1346" s="14">
        <v>1</v>
      </c>
    </row>
    <row r="1347" spans="2:19" ht="20.25" hidden="1" customHeight="1">
      <c r="B1347" s="17"/>
      <c r="Q1347" s="18"/>
      <c r="R1347" s="14"/>
      <c r="S1347" s="14">
        <v>1</v>
      </c>
    </row>
    <row r="1348" spans="2:19" ht="20.25" hidden="1" customHeight="1">
      <c r="B1348" s="17"/>
      <c r="Q1348" s="18"/>
      <c r="R1348" s="14"/>
      <c r="S1348" s="14">
        <v>1</v>
      </c>
    </row>
    <row r="1349" spans="2:19" ht="20.25" hidden="1" customHeight="1">
      <c r="B1349" s="17"/>
      <c r="Q1349" s="18"/>
      <c r="R1349" s="14"/>
      <c r="S1349" s="14">
        <v>1</v>
      </c>
    </row>
    <row r="1350" spans="2:19" ht="20.25" hidden="1" customHeight="1">
      <c r="B1350" s="17"/>
      <c r="Q1350" s="18"/>
      <c r="R1350" s="14"/>
      <c r="S1350" s="14">
        <v>1</v>
      </c>
    </row>
    <row r="1351" spans="2:19" ht="20.25" hidden="1" customHeight="1">
      <c r="B1351" s="17"/>
      <c r="Q1351" s="18"/>
      <c r="R1351" s="14"/>
      <c r="S1351" s="14">
        <v>1</v>
      </c>
    </row>
    <row r="1352" spans="2:19" ht="20.25" hidden="1" customHeight="1">
      <c r="B1352" s="17"/>
      <c r="Q1352" s="18"/>
      <c r="R1352" s="14"/>
      <c r="S1352" s="14">
        <v>1</v>
      </c>
    </row>
    <row r="1353" spans="2:19" ht="20.25" hidden="1" customHeight="1">
      <c r="B1353" s="17"/>
      <c r="Q1353" s="18"/>
      <c r="R1353" s="14"/>
      <c r="S1353" s="14">
        <v>1</v>
      </c>
    </row>
    <row r="1354" spans="2:19" ht="20.25" hidden="1" customHeight="1">
      <c r="B1354" s="17"/>
      <c r="Q1354" s="18"/>
      <c r="R1354" s="14"/>
      <c r="S1354" s="14">
        <v>1</v>
      </c>
    </row>
    <row r="1355" spans="2:19" ht="20.25" hidden="1" customHeight="1">
      <c r="B1355" s="17"/>
      <c r="Q1355" s="18"/>
      <c r="R1355" s="14"/>
      <c r="S1355" s="14">
        <v>1</v>
      </c>
    </row>
    <row r="1356" spans="2:19" ht="20.25" hidden="1" customHeight="1">
      <c r="B1356" s="17"/>
      <c r="Q1356" s="18"/>
      <c r="R1356" s="14"/>
      <c r="S1356" s="14">
        <v>1</v>
      </c>
    </row>
    <row r="1357" spans="2:19" ht="20.25" hidden="1" customHeight="1">
      <c r="B1357" s="17"/>
      <c r="Q1357" s="18"/>
      <c r="R1357" s="14"/>
      <c r="S1357" s="14">
        <v>1</v>
      </c>
    </row>
    <row r="1358" spans="2:19" ht="20.25" hidden="1" customHeight="1">
      <c r="B1358" s="17"/>
      <c r="Q1358" s="18"/>
      <c r="R1358" s="14"/>
      <c r="S1358" s="14">
        <v>1</v>
      </c>
    </row>
    <row r="1359" spans="2:19" ht="20.25" hidden="1" customHeight="1">
      <c r="B1359" s="17"/>
      <c r="Q1359" s="18"/>
      <c r="R1359" s="14"/>
      <c r="S1359" s="14">
        <v>1</v>
      </c>
    </row>
    <row r="1360" spans="2:19" ht="20.25" hidden="1" customHeight="1">
      <c r="B1360" s="17"/>
      <c r="Q1360" s="18"/>
      <c r="R1360" s="14"/>
      <c r="S1360" s="14">
        <v>1</v>
      </c>
    </row>
    <row r="1361" spans="2:19" ht="20.25" hidden="1" customHeight="1">
      <c r="B1361" s="17"/>
      <c r="Q1361" s="18"/>
      <c r="R1361" s="14"/>
      <c r="S1361" s="14">
        <v>1</v>
      </c>
    </row>
    <row r="1362" spans="2:19" ht="20.25" hidden="1" customHeight="1">
      <c r="B1362" s="17"/>
      <c r="Q1362" s="18"/>
      <c r="R1362" s="14"/>
      <c r="S1362" s="14">
        <v>1</v>
      </c>
    </row>
    <row r="1363" spans="2:19" ht="20.25" hidden="1" customHeight="1">
      <c r="B1363" s="17"/>
      <c r="Q1363" s="18"/>
      <c r="R1363" s="14"/>
      <c r="S1363" s="14">
        <v>1</v>
      </c>
    </row>
    <row r="1364" spans="2:19" ht="20.25" hidden="1" customHeight="1">
      <c r="B1364" s="17"/>
      <c r="Q1364" s="18"/>
      <c r="R1364" s="14"/>
      <c r="S1364" s="14">
        <v>1</v>
      </c>
    </row>
    <row r="1365" spans="2:19" ht="20.25" hidden="1" customHeight="1">
      <c r="B1365" s="17"/>
      <c r="Q1365" s="18"/>
      <c r="R1365" s="14"/>
      <c r="S1365" s="14">
        <v>1</v>
      </c>
    </row>
    <row r="1366" spans="2:19" ht="20.25" hidden="1" customHeight="1">
      <c r="B1366" s="17"/>
      <c r="Q1366" s="18"/>
      <c r="R1366" s="14"/>
      <c r="S1366" s="14">
        <v>1</v>
      </c>
    </row>
    <row r="1367" spans="2:19" ht="20.25" hidden="1" customHeight="1">
      <c r="B1367" s="17"/>
      <c r="Q1367" s="18"/>
      <c r="R1367" s="14"/>
      <c r="S1367" s="14">
        <v>1</v>
      </c>
    </row>
    <row r="1368" spans="2:19" ht="20.25" hidden="1" customHeight="1">
      <c r="B1368" s="17"/>
      <c r="Q1368" s="18"/>
      <c r="R1368" s="14"/>
      <c r="S1368" s="14">
        <v>1</v>
      </c>
    </row>
    <row r="1369" spans="2:19" ht="20.25" hidden="1" customHeight="1">
      <c r="B1369" s="17"/>
      <c r="Q1369" s="18"/>
      <c r="R1369" s="14"/>
      <c r="S1369" s="14">
        <v>1</v>
      </c>
    </row>
    <row r="1370" spans="2:19" ht="20.25" hidden="1" customHeight="1">
      <c r="B1370" s="17"/>
      <c r="Q1370" s="18"/>
      <c r="R1370" s="14"/>
      <c r="S1370" s="14">
        <v>1</v>
      </c>
    </row>
    <row r="1371" spans="2:19" ht="20.25" hidden="1" customHeight="1">
      <c r="B1371" s="17"/>
      <c r="Q1371" s="18"/>
      <c r="R1371" s="14"/>
      <c r="S1371" s="14">
        <v>1</v>
      </c>
    </row>
    <row r="1372" spans="2:19" ht="20.25" hidden="1" customHeight="1">
      <c r="B1372" s="17"/>
      <c r="Q1372" s="18"/>
      <c r="R1372" s="14"/>
      <c r="S1372" s="14">
        <v>1</v>
      </c>
    </row>
    <row r="1373" spans="2:19" ht="20.25" hidden="1" customHeight="1">
      <c r="B1373" s="17"/>
      <c r="Q1373" s="18"/>
      <c r="R1373" s="14"/>
      <c r="S1373" s="14">
        <v>1</v>
      </c>
    </row>
    <row r="1374" spans="2:19" ht="20.25" hidden="1" customHeight="1">
      <c r="B1374" s="17"/>
      <c r="Q1374" s="18"/>
      <c r="R1374" s="14"/>
      <c r="S1374" s="14">
        <v>1</v>
      </c>
    </row>
    <row r="1375" spans="2:19" ht="20.25" hidden="1" customHeight="1">
      <c r="B1375" s="17"/>
      <c r="Q1375" s="18"/>
      <c r="R1375" s="14"/>
      <c r="S1375" s="14">
        <v>1</v>
      </c>
    </row>
    <row r="1376" spans="2:19" ht="20.25" hidden="1" customHeight="1">
      <c r="B1376" s="17"/>
      <c r="Q1376" s="18"/>
      <c r="R1376" s="14"/>
      <c r="S1376" s="14">
        <v>1</v>
      </c>
    </row>
    <row r="1377" spans="2:19" ht="20.25" hidden="1" customHeight="1">
      <c r="B1377" s="17"/>
      <c r="Q1377" s="18"/>
      <c r="R1377" s="14"/>
      <c r="S1377" s="14">
        <v>1</v>
      </c>
    </row>
    <row r="1378" spans="2:19" ht="20.25" hidden="1" customHeight="1">
      <c r="B1378" s="17"/>
      <c r="Q1378" s="18"/>
      <c r="R1378" s="14"/>
      <c r="S1378" s="14">
        <v>1</v>
      </c>
    </row>
    <row r="1379" spans="2:19" ht="20.25" hidden="1" customHeight="1">
      <c r="B1379" s="17"/>
      <c r="Q1379" s="18"/>
      <c r="R1379" s="14"/>
      <c r="S1379" s="14">
        <v>1</v>
      </c>
    </row>
    <row r="1380" spans="2:19" ht="20.25" hidden="1" customHeight="1">
      <c r="B1380" s="17"/>
      <c r="Q1380" s="18"/>
      <c r="R1380" s="14"/>
      <c r="S1380" s="14">
        <v>1</v>
      </c>
    </row>
    <row r="1381" spans="2:19" ht="20.25" hidden="1" customHeight="1">
      <c r="B1381" s="17"/>
      <c r="Q1381" s="18"/>
      <c r="R1381" s="14"/>
      <c r="S1381" s="14">
        <v>1</v>
      </c>
    </row>
    <row r="1382" spans="2:19" ht="20.25" hidden="1" customHeight="1">
      <c r="B1382" s="17"/>
      <c r="Q1382" s="18"/>
      <c r="R1382" s="14"/>
      <c r="S1382" s="14">
        <v>1</v>
      </c>
    </row>
    <row r="1383" spans="2:19" ht="20.25" hidden="1" customHeight="1">
      <c r="B1383" s="17"/>
      <c r="Q1383" s="18"/>
      <c r="R1383" s="14"/>
      <c r="S1383" s="14">
        <v>1</v>
      </c>
    </row>
    <row r="1384" spans="2:19" ht="20.25" hidden="1" customHeight="1">
      <c r="B1384" s="17"/>
      <c r="Q1384" s="18"/>
      <c r="R1384" s="14"/>
      <c r="S1384" s="14">
        <v>1</v>
      </c>
    </row>
    <row r="1385" spans="2:19" ht="20.25" hidden="1" customHeight="1">
      <c r="B1385" s="17"/>
      <c r="Q1385" s="18"/>
      <c r="R1385" s="14"/>
      <c r="S1385" s="14">
        <v>1</v>
      </c>
    </row>
    <row r="1386" spans="2:19" ht="20.25" hidden="1" customHeight="1">
      <c r="B1386" s="17"/>
      <c r="Q1386" s="18"/>
      <c r="R1386" s="14"/>
      <c r="S1386" s="14">
        <v>1</v>
      </c>
    </row>
    <row r="1387" spans="2:19" ht="20.25" hidden="1" customHeight="1">
      <c r="B1387" s="17"/>
      <c r="Q1387" s="18"/>
      <c r="R1387" s="14"/>
      <c r="S1387" s="14">
        <v>1</v>
      </c>
    </row>
    <row r="1388" spans="2:19" ht="20.25" hidden="1" customHeight="1">
      <c r="B1388" s="17"/>
      <c r="Q1388" s="18"/>
      <c r="R1388" s="14"/>
      <c r="S1388" s="14">
        <v>1</v>
      </c>
    </row>
    <row r="1389" spans="2:19" ht="20.25" hidden="1" customHeight="1">
      <c r="B1389" s="17"/>
      <c r="Q1389" s="18"/>
      <c r="R1389" s="14"/>
      <c r="S1389" s="14">
        <v>1</v>
      </c>
    </row>
    <row r="1390" spans="2:19" ht="20.25" hidden="1" customHeight="1">
      <c r="B1390" s="17"/>
      <c r="Q1390" s="18"/>
      <c r="R1390" s="14"/>
      <c r="S1390" s="14">
        <v>1</v>
      </c>
    </row>
    <row r="1391" spans="2:19" ht="20.25" hidden="1" customHeight="1">
      <c r="B1391" s="17"/>
      <c r="Q1391" s="18"/>
      <c r="R1391" s="14"/>
      <c r="S1391" s="14">
        <v>1</v>
      </c>
    </row>
    <row r="1392" spans="2:19" ht="20.25" hidden="1" customHeight="1">
      <c r="B1392" s="17"/>
      <c r="Q1392" s="18"/>
      <c r="R1392" s="14"/>
      <c r="S1392" s="14">
        <v>1</v>
      </c>
    </row>
    <row r="1393" spans="2:19" ht="20.25" hidden="1" customHeight="1">
      <c r="B1393" s="17"/>
      <c r="Q1393" s="18"/>
      <c r="R1393" s="14"/>
      <c r="S1393" s="14">
        <v>1</v>
      </c>
    </row>
    <row r="1394" spans="2:19" ht="20.25" hidden="1" customHeight="1">
      <c r="B1394" s="17"/>
      <c r="Q1394" s="18"/>
      <c r="R1394" s="14"/>
      <c r="S1394" s="14">
        <v>1</v>
      </c>
    </row>
    <row r="1395" spans="2:19" ht="20.25" hidden="1" customHeight="1">
      <c r="B1395" s="17"/>
      <c r="Q1395" s="18"/>
      <c r="R1395" s="14"/>
      <c r="S1395" s="14">
        <v>1</v>
      </c>
    </row>
    <row r="1396" spans="2:19" ht="20.25" hidden="1" customHeight="1">
      <c r="B1396" s="17"/>
      <c r="Q1396" s="18"/>
      <c r="R1396" s="14"/>
      <c r="S1396" s="14">
        <v>1</v>
      </c>
    </row>
    <row r="1397" spans="2:19" ht="20.25" hidden="1" customHeight="1">
      <c r="B1397" s="17"/>
      <c r="Q1397" s="18"/>
      <c r="R1397" s="14"/>
      <c r="S1397" s="14">
        <v>1</v>
      </c>
    </row>
    <row r="1398" spans="2:19" ht="20.25" hidden="1" customHeight="1">
      <c r="B1398" s="17"/>
      <c r="Q1398" s="18"/>
      <c r="R1398" s="14"/>
      <c r="S1398" s="14">
        <v>1</v>
      </c>
    </row>
    <row r="1399" spans="2:19" ht="20.25" hidden="1" customHeight="1">
      <c r="B1399" s="17"/>
      <c r="Q1399" s="18"/>
      <c r="R1399" s="14"/>
      <c r="S1399" s="14">
        <v>1</v>
      </c>
    </row>
    <row r="1400" spans="2:19" ht="20.25" hidden="1" customHeight="1">
      <c r="B1400" s="17"/>
      <c r="Q1400" s="18"/>
      <c r="R1400" s="14"/>
      <c r="S1400" s="14">
        <v>1</v>
      </c>
    </row>
    <row r="1401" spans="2:19" ht="20.25" hidden="1" customHeight="1">
      <c r="B1401" s="17"/>
      <c r="Q1401" s="18"/>
      <c r="R1401" s="14"/>
      <c r="S1401" s="14">
        <v>1</v>
      </c>
    </row>
    <row r="1402" spans="2:19" ht="20.25" hidden="1" customHeight="1">
      <c r="B1402" s="17"/>
      <c r="Q1402" s="18"/>
      <c r="R1402" s="14"/>
      <c r="S1402" s="14">
        <v>1</v>
      </c>
    </row>
    <row r="1403" spans="2:19" ht="20.25" hidden="1" customHeight="1">
      <c r="B1403" s="17"/>
      <c r="Q1403" s="18"/>
      <c r="R1403" s="14"/>
      <c r="S1403" s="14">
        <v>1</v>
      </c>
    </row>
    <row r="1404" spans="2:19" ht="20.25" hidden="1" customHeight="1">
      <c r="B1404" s="17"/>
      <c r="Q1404" s="18"/>
      <c r="R1404" s="14"/>
      <c r="S1404" s="14">
        <v>1</v>
      </c>
    </row>
    <row r="1405" spans="2:19" ht="20.25" hidden="1" customHeight="1">
      <c r="B1405" s="17"/>
      <c r="Q1405" s="18"/>
      <c r="R1405" s="14"/>
      <c r="S1405" s="14">
        <v>1</v>
      </c>
    </row>
    <row r="1406" spans="2:19" ht="20.25" hidden="1" customHeight="1">
      <c r="B1406" s="17"/>
      <c r="Q1406" s="18"/>
      <c r="R1406" s="14"/>
      <c r="S1406" s="14">
        <v>1</v>
      </c>
    </row>
    <row r="1407" spans="2:19" ht="20.25" hidden="1" customHeight="1">
      <c r="B1407" s="17"/>
      <c r="Q1407" s="18"/>
      <c r="R1407" s="14"/>
      <c r="S1407" s="14">
        <v>1</v>
      </c>
    </row>
    <row r="1408" spans="2:19" ht="20.25" hidden="1" customHeight="1">
      <c r="B1408" s="17"/>
      <c r="Q1408" s="18"/>
      <c r="R1408" s="14"/>
      <c r="S1408" s="14">
        <v>1</v>
      </c>
    </row>
    <row r="1409" spans="2:19" ht="20.25" hidden="1" customHeight="1">
      <c r="B1409" s="17"/>
      <c r="Q1409" s="18"/>
      <c r="R1409" s="14"/>
      <c r="S1409" s="14">
        <v>1</v>
      </c>
    </row>
    <row r="1410" spans="2:19" ht="20.25" hidden="1" customHeight="1">
      <c r="B1410" s="17"/>
      <c r="Q1410" s="18"/>
      <c r="R1410" s="14"/>
      <c r="S1410" s="14">
        <v>1</v>
      </c>
    </row>
    <row r="1411" spans="2:19" ht="20.25" hidden="1" customHeight="1">
      <c r="B1411" s="17"/>
      <c r="Q1411" s="18"/>
      <c r="R1411" s="14"/>
      <c r="S1411" s="14">
        <v>1</v>
      </c>
    </row>
    <row r="1412" spans="2:19" ht="20.25" hidden="1" customHeight="1">
      <c r="B1412" s="17"/>
      <c r="Q1412" s="18"/>
      <c r="R1412" s="14"/>
      <c r="S1412" s="14">
        <v>1</v>
      </c>
    </row>
    <row r="1413" spans="2:19" ht="20.25" hidden="1" customHeight="1">
      <c r="B1413" s="17"/>
      <c r="Q1413" s="18"/>
      <c r="R1413" s="14"/>
      <c r="S1413" s="14">
        <v>1</v>
      </c>
    </row>
    <row r="1414" spans="2:19" ht="20.25" hidden="1" customHeight="1">
      <c r="B1414" s="17"/>
      <c r="Q1414" s="18"/>
      <c r="R1414" s="14"/>
      <c r="S1414" s="14">
        <v>1</v>
      </c>
    </row>
    <row r="1415" spans="2:19" ht="20.25" hidden="1" customHeight="1">
      <c r="B1415" s="17"/>
      <c r="Q1415" s="18"/>
      <c r="R1415" s="14"/>
      <c r="S1415" s="14">
        <v>1</v>
      </c>
    </row>
    <row r="1416" spans="2:19" ht="20.25" hidden="1" customHeight="1">
      <c r="B1416" s="17"/>
      <c r="Q1416" s="18"/>
      <c r="R1416" s="14"/>
      <c r="S1416" s="14">
        <v>1</v>
      </c>
    </row>
    <row r="1417" spans="2:19" ht="20.25" hidden="1" customHeight="1">
      <c r="B1417" s="17"/>
      <c r="Q1417" s="18"/>
      <c r="R1417" s="14"/>
      <c r="S1417" s="14">
        <v>1</v>
      </c>
    </row>
    <row r="1418" spans="2:19" ht="20.25" hidden="1" customHeight="1">
      <c r="B1418" s="17"/>
      <c r="Q1418" s="18"/>
      <c r="R1418" s="14"/>
      <c r="S1418" s="14">
        <v>1</v>
      </c>
    </row>
    <row r="1419" spans="2:19" ht="20.25" hidden="1" customHeight="1">
      <c r="B1419" s="17"/>
      <c r="Q1419" s="18"/>
      <c r="R1419" s="14"/>
      <c r="S1419" s="14">
        <v>1</v>
      </c>
    </row>
    <row r="1420" spans="2:19" ht="20.25" hidden="1" customHeight="1">
      <c r="B1420" s="17"/>
      <c r="Q1420" s="18"/>
      <c r="R1420" s="14"/>
      <c r="S1420" s="14">
        <v>1</v>
      </c>
    </row>
    <row r="1421" spans="2:19" ht="20.25" hidden="1" customHeight="1">
      <c r="B1421" s="17"/>
      <c r="Q1421" s="18"/>
      <c r="R1421" s="14"/>
      <c r="S1421" s="14">
        <v>1</v>
      </c>
    </row>
    <row r="1422" spans="2:19" ht="20.25" hidden="1" customHeight="1">
      <c r="B1422" s="17"/>
      <c r="Q1422" s="18"/>
      <c r="R1422" s="14"/>
      <c r="S1422" s="14">
        <v>1</v>
      </c>
    </row>
    <row r="1423" spans="2:19" ht="20.25" hidden="1" customHeight="1">
      <c r="B1423" s="17"/>
      <c r="Q1423" s="18"/>
      <c r="R1423" s="14"/>
      <c r="S1423" s="14">
        <v>1</v>
      </c>
    </row>
    <row r="1424" spans="2:19" ht="20.25" hidden="1" customHeight="1">
      <c r="B1424" s="17"/>
      <c r="Q1424" s="18"/>
      <c r="R1424" s="14"/>
      <c r="S1424" s="14">
        <v>1</v>
      </c>
    </row>
    <row r="1425" spans="2:19" ht="20.25" hidden="1" customHeight="1">
      <c r="B1425" s="17"/>
      <c r="Q1425" s="18"/>
      <c r="R1425" s="14"/>
      <c r="S1425" s="14">
        <v>1</v>
      </c>
    </row>
    <row r="1426" spans="2:19" ht="20.25" hidden="1" customHeight="1">
      <c r="B1426" s="17"/>
      <c r="Q1426" s="18"/>
      <c r="R1426" s="14"/>
      <c r="S1426" s="14">
        <v>1</v>
      </c>
    </row>
    <row r="1427" spans="2:19" ht="20.25" hidden="1" customHeight="1">
      <c r="B1427" s="17"/>
      <c r="Q1427" s="18"/>
      <c r="R1427" s="14"/>
      <c r="S1427" s="14">
        <v>1</v>
      </c>
    </row>
    <row r="1428" spans="2:19" ht="20.25" hidden="1" customHeight="1">
      <c r="B1428" s="17"/>
      <c r="Q1428" s="18"/>
      <c r="R1428" s="14"/>
      <c r="S1428" s="14">
        <v>1</v>
      </c>
    </row>
    <row r="1429" spans="2:19" ht="20.25" hidden="1" customHeight="1">
      <c r="B1429" s="17"/>
      <c r="Q1429" s="18"/>
      <c r="R1429" s="14"/>
      <c r="S1429" s="14">
        <v>1</v>
      </c>
    </row>
    <row r="1430" spans="2:19" ht="20.25" hidden="1" customHeight="1">
      <c r="B1430" s="17"/>
      <c r="Q1430" s="18"/>
      <c r="R1430" s="14"/>
      <c r="S1430" s="14">
        <v>1</v>
      </c>
    </row>
    <row r="1431" spans="2:19" ht="20.25" hidden="1" customHeight="1">
      <c r="B1431" s="17"/>
      <c r="Q1431" s="18"/>
      <c r="R1431" s="14"/>
      <c r="S1431" s="14">
        <v>1</v>
      </c>
    </row>
    <row r="1432" spans="2:19" ht="20.25" hidden="1" customHeight="1">
      <c r="B1432" s="17"/>
      <c r="Q1432" s="18"/>
      <c r="R1432" s="14"/>
      <c r="S1432" s="14">
        <v>1</v>
      </c>
    </row>
    <row r="1433" spans="2:19" ht="20.25" hidden="1" customHeight="1">
      <c r="B1433" s="17"/>
      <c r="Q1433" s="18"/>
      <c r="R1433" s="14"/>
      <c r="S1433" s="14">
        <v>1</v>
      </c>
    </row>
    <row r="1434" spans="2:19" ht="20.25" hidden="1" customHeight="1">
      <c r="B1434" s="17"/>
      <c r="Q1434" s="18"/>
      <c r="R1434" s="14"/>
      <c r="S1434" s="14">
        <v>1</v>
      </c>
    </row>
    <row r="1435" spans="2:19" ht="20.25" hidden="1" customHeight="1">
      <c r="B1435" s="17"/>
      <c r="Q1435" s="18"/>
      <c r="R1435" s="14"/>
      <c r="S1435" s="14">
        <v>1</v>
      </c>
    </row>
    <row r="1436" spans="2:19" ht="20.25" hidden="1" customHeight="1">
      <c r="B1436" s="17"/>
      <c r="Q1436" s="18"/>
      <c r="R1436" s="14"/>
      <c r="S1436" s="14">
        <v>1</v>
      </c>
    </row>
    <row r="1437" spans="2:19" ht="20.25" hidden="1" customHeight="1">
      <c r="B1437" s="17"/>
      <c r="Q1437" s="18"/>
      <c r="R1437" s="14"/>
      <c r="S1437" s="14">
        <v>1</v>
      </c>
    </row>
    <row r="1438" spans="2:19" ht="20.25" hidden="1" customHeight="1">
      <c r="B1438" s="17"/>
      <c r="Q1438" s="18"/>
      <c r="R1438" s="14"/>
      <c r="S1438" s="14">
        <v>1</v>
      </c>
    </row>
    <row r="1439" spans="2:19" ht="20.25" hidden="1" customHeight="1">
      <c r="B1439" s="17"/>
      <c r="Q1439" s="18"/>
      <c r="R1439" s="14"/>
      <c r="S1439" s="14">
        <v>1</v>
      </c>
    </row>
    <row r="1440" spans="2:19" ht="20.25" hidden="1" customHeight="1">
      <c r="B1440" s="17"/>
      <c r="Q1440" s="18"/>
      <c r="R1440" s="14"/>
      <c r="S1440" s="14">
        <v>1</v>
      </c>
    </row>
    <row r="1441" spans="2:19" ht="20.25" hidden="1" customHeight="1">
      <c r="B1441" s="17"/>
      <c r="Q1441" s="18"/>
      <c r="R1441" s="14"/>
      <c r="S1441" s="14">
        <v>1</v>
      </c>
    </row>
    <row r="1442" spans="2:19" ht="20.25" hidden="1" customHeight="1">
      <c r="B1442" s="17"/>
      <c r="Q1442" s="18"/>
      <c r="R1442" s="14"/>
      <c r="S1442" s="14">
        <v>1</v>
      </c>
    </row>
    <row r="1443" spans="2:19" ht="20.25" hidden="1" customHeight="1">
      <c r="B1443" s="17"/>
      <c r="Q1443" s="18"/>
      <c r="R1443" s="14"/>
      <c r="S1443" s="14">
        <v>1</v>
      </c>
    </row>
    <row r="1444" spans="2:19" ht="20.25" hidden="1" customHeight="1">
      <c r="B1444" s="17"/>
      <c r="Q1444" s="18"/>
      <c r="R1444" s="14"/>
      <c r="S1444" s="14">
        <v>1</v>
      </c>
    </row>
    <row r="1445" spans="2:19" ht="20.25" hidden="1" customHeight="1">
      <c r="B1445" s="17"/>
      <c r="Q1445" s="18"/>
      <c r="R1445" s="14"/>
      <c r="S1445" s="14">
        <v>1</v>
      </c>
    </row>
    <row r="1446" spans="2:19" ht="20.25" hidden="1" customHeight="1">
      <c r="B1446" s="17"/>
      <c r="Q1446" s="18"/>
      <c r="R1446" s="14"/>
      <c r="S1446" s="14">
        <v>1</v>
      </c>
    </row>
    <row r="1447" spans="2:19" ht="20.25" hidden="1" customHeight="1">
      <c r="B1447" s="17"/>
      <c r="Q1447" s="18"/>
      <c r="R1447" s="14"/>
      <c r="S1447" s="14">
        <v>1</v>
      </c>
    </row>
    <row r="1448" spans="2:19" ht="20.25" hidden="1" customHeight="1">
      <c r="B1448" s="17"/>
      <c r="Q1448" s="18"/>
      <c r="R1448" s="14"/>
      <c r="S1448" s="14">
        <v>1</v>
      </c>
    </row>
    <row r="1449" spans="2:19" ht="20.25" hidden="1" customHeight="1">
      <c r="B1449" s="17"/>
      <c r="Q1449" s="18"/>
      <c r="R1449" s="14"/>
      <c r="S1449" s="14">
        <v>1</v>
      </c>
    </row>
    <row r="1450" spans="2:19" ht="20.25" hidden="1" customHeight="1">
      <c r="B1450" s="17"/>
      <c r="Q1450" s="18"/>
      <c r="R1450" s="14"/>
      <c r="S1450" s="14">
        <v>1</v>
      </c>
    </row>
    <row r="1451" spans="2:19" ht="20.25" hidden="1" customHeight="1">
      <c r="B1451" s="17"/>
      <c r="Q1451" s="18"/>
      <c r="R1451" s="14"/>
      <c r="S1451" s="14">
        <v>1</v>
      </c>
    </row>
    <row r="1452" spans="2:19" ht="20.25" hidden="1" customHeight="1">
      <c r="B1452" s="17"/>
      <c r="Q1452" s="18"/>
      <c r="R1452" s="14"/>
      <c r="S1452" s="14">
        <v>1</v>
      </c>
    </row>
    <row r="1453" spans="2:19" ht="20.25" hidden="1" customHeight="1">
      <c r="B1453" s="17"/>
      <c r="Q1453" s="18"/>
      <c r="R1453" s="14"/>
      <c r="S1453" s="14">
        <v>1</v>
      </c>
    </row>
    <row r="1454" spans="2:19" ht="20.25" hidden="1" customHeight="1">
      <c r="B1454" s="17"/>
      <c r="Q1454" s="18"/>
      <c r="R1454" s="14"/>
      <c r="S1454" s="14">
        <v>1</v>
      </c>
    </row>
    <row r="1455" spans="2:19" ht="20.25" hidden="1" customHeight="1">
      <c r="B1455" s="17"/>
      <c r="Q1455" s="18"/>
      <c r="R1455" s="14"/>
      <c r="S1455" s="14">
        <v>1</v>
      </c>
    </row>
    <row r="1456" spans="2:19" ht="20.25" hidden="1" customHeight="1">
      <c r="B1456" s="17"/>
      <c r="Q1456" s="18"/>
      <c r="R1456" s="14"/>
      <c r="S1456" s="14">
        <v>1</v>
      </c>
    </row>
    <row r="1457" spans="2:19" ht="20.25" hidden="1" customHeight="1">
      <c r="B1457" s="17"/>
      <c r="Q1457" s="18"/>
      <c r="R1457" s="14"/>
      <c r="S1457" s="14">
        <v>1</v>
      </c>
    </row>
    <row r="1458" spans="2:19" ht="20.25" hidden="1" customHeight="1">
      <c r="B1458" s="17"/>
      <c r="Q1458" s="18"/>
      <c r="R1458" s="14"/>
      <c r="S1458" s="14">
        <v>1</v>
      </c>
    </row>
    <row r="1459" spans="2:19" ht="20.25" hidden="1" customHeight="1">
      <c r="B1459" s="17"/>
      <c r="Q1459" s="18"/>
      <c r="R1459" s="14"/>
      <c r="S1459" s="14">
        <v>1</v>
      </c>
    </row>
    <row r="1460" spans="2:19" ht="20.25" hidden="1" customHeight="1">
      <c r="B1460" s="17"/>
      <c r="Q1460" s="18"/>
      <c r="R1460" s="14"/>
      <c r="S1460" s="14">
        <v>1</v>
      </c>
    </row>
    <row r="1461" spans="2:19" ht="20.25" hidden="1" customHeight="1">
      <c r="B1461" s="17"/>
      <c r="Q1461" s="18"/>
      <c r="R1461" s="14"/>
      <c r="S1461" s="14">
        <v>1</v>
      </c>
    </row>
    <row r="1462" spans="2:19" ht="20.25" hidden="1" customHeight="1">
      <c r="B1462" s="17"/>
      <c r="Q1462" s="18"/>
      <c r="R1462" s="14"/>
      <c r="S1462" s="14">
        <v>1</v>
      </c>
    </row>
    <row r="1463" spans="2:19" ht="20.25" hidden="1" customHeight="1">
      <c r="B1463" s="17"/>
      <c r="Q1463" s="18"/>
      <c r="R1463" s="14"/>
      <c r="S1463" s="14">
        <v>1</v>
      </c>
    </row>
    <row r="1464" spans="2:19" ht="20.25" hidden="1" customHeight="1">
      <c r="B1464" s="17"/>
      <c r="Q1464" s="18"/>
      <c r="R1464" s="14"/>
      <c r="S1464" s="14">
        <v>1</v>
      </c>
    </row>
    <row r="1465" spans="2:19" ht="20.25" hidden="1" customHeight="1">
      <c r="B1465" s="17"/>
      <c r="Q1465" s="18"/>
      <c r="R1465" s="14"/>
      <c r="S1465" s="14">
        <v>1</v>
      </c>
    </row>
    <row r="1466" spans="2:19" ht="20.25" hidden="1" customHeight="1">
      <c r="B1466" s="17"/>
      <c r="Q1466" s="18"/>
      <c r="R1466" s="14"/>
      <c r="S1466" s="14">
        <v>1</v>
      </c>
    </row>
    <row r="1467" spans="2:19" ht="20.25" hidden="1" customHeight="1">
      <c r="B1467" s="17"/>
      <c r="Q1467" s="18"/>
      <c r="R1467" s="14"/>
      <c r="S1467" s="14">
        <v>1</v>
      </c>
    </row>
    <row r="1468" spans="2:19" ht="20.25" hidden="1" customHeight="1">
      <c r="B1468" s="17"/>
      <c r="Q1468" s="18"/>
      <c r="R1468" s="14"/>
      <c r="S1468" s="14">
        <v>1</v>
      </c>
    </row>
    <row r="1469" spans="2:19" ht="20.25" hidden="1" customHeight="1">
      <c r="B1469" s="17"/>
      <c r="Q1469" s="18"/>
      <c r="R1469" s="14"/>
      <c r="S1469" s="14">
        <v>1</v>
      </c>
    </row>
    <row r="1470" spans="2:19" ht="20.25" hidden="1" customHeight="1">
      <c r="B1470" s="17"/>
      <c r="Q1470" s="18"/>
      <c r="R1470" s="14"/>
      <c r="S1470" s="14">
        <v>1</v>
      </c>
    </row>
    <row r="1471" spans="2:19" ht="20.25" hidden="1" customHeight="1">
      <c r="B1471" s="17"/>
      <c r="Q1471" s="18"/>
      <c r="R1471" s="14"/>
      <c r="S1471" s="14">
        <v>1</v>
      </c>
    </row>
    <row r="1472" spans="2:19" ht="20.25" hidden="1" customHeight="1">
      <c r="B1472" s="17"/>
      <c r="Q1472" s="18"/>
      <c r="R1472" s="14"/>
      <c r="S1472" s="14">
        <v>1</v>
      </c>
    </row>
    <row r="1473" spans="2:19" ht="20.25" hidden="1" customHeight="1">
      <c r="B1473" s="17"/>
      <c r="Q1473" s="18"/>
      <c r="R1473" s="14"/>
      <c r="S1473" s="14">
        <v>1</v>
      </c>
    </row>
    <row r="1474" spans="2:19" ht="20.25" hidden="1" customHeight="1">
      <c r="B1474" s="17"/>
      <c r="Q1474" s="18"/>
      <c r="R1474" s="14"/>
      <c r="S1474" s="14">
        <v>1</v>
      </c>
    </row>
    <row r="1475" spans="2:19" ht="20.25" hidden="1" customHeight="1">
      <c r="B1475" s="17"/>
      <c r="Q1475" s="18"/>
      <c r="R1475" s="14"/>
      <c r="S1475" s="14">
        <v>1</v>
      </c>
    </row>
    <row r="1476" spans="2:19" ht="20.25" hidden="1" customHeight="1">
      <c r="B1476" s="17"/>
      <c r="Q1476" s="18"/>
      <c r="R1476" s="14"/>
      <c r="S1476" s="14">
        <v>1</v>
      </c>
    </row>
    <row r="1477" spans="2:19" ht="20.25" hidden="1" customHeight="1">
      <c r="B1477" s="17"/>
      <c r="Q1477" s="18"/>
      <c r="R1477" s="14"/>
      <c r="S1477" s="14">
        <v>1</v>
      </c>
    </row>
    <row r="1478" spans="2:19" ht="20.25" hidden="1" customHeight="1">
      <c r="B1478" s="17"/>
      <c r="Q1478" s="18"/>
      <c r="R1478" s="14"/>
      <c r="S1478" s="14">
        <v>1</v>
      </c>
    </row>
    <row r="1479" spans="2:19" ht="20.25" hidden="1" customHeight="1">
      <c r="B1479" s="17"/>
      <c r="Q1479" s="18"/>
      <c r="R1479" s="14"/>
      <c r="S1479" s="14">
        <v>1</v>
      </c>
    </row>
    <row r="1480" spans="2:19" ht="20.25" hidden="1" customHeight="1">
      <c r="B1480" s="17"/>
      <c r="Q1480" s="18"/>
      <c r="R1480" s="14"/>
      <c r="S1480" s="14">
        <v>1</v>
      </c>
    </row>
    <row r="1481" spans="2:19" ht="20.25" hidden="1" customHeight="1">
      <c r="B1481" s="17"/>
      <c r="Q1481" s="18"/>
      <c r="R1481" s="14"/>
      <c r="S1481" s="14">
        <v>1</v>
      </c>
    </row>
    <row r="1482" spans="2:19" ht="20.25" hidden="1" customHeight="1">
      <c r="B1482" s="17"/>
      <c r="Q1482" s="18"/>
      <c r="R1482" s="14"/>
      <c r="S1482" s="14">
        <v>1</v>
      </c>
    </row>
    <row r="1483" spans="2:19" ht="20.25" hidden="1" customHeight="1">
      <c r="B1483" s="17"/>
      <c r="Q1483" s="18"/>
      <c r="R1483" s="14"/>
      <c r="S1483" s="14">
        <v>1</v>
      </c>
    </row>
    <row r="1484" spans="2:19" ht="20.25" hidden="1" customHeight="1">
      <c r="B1484" s="17"/>
      <c r="Q1484" s="18"/>
      <c r="R1484" s="14"/>
      <c r="S1484" s="14">
        <v>1</v>
      </c>
    </row>
    <row r="1485" spans="2:19" ht="20.25" hidden="1" customHeight="1">
      <c r="B1485" s="17"/>
      <c r="Q1485" s="18"/>
      <c r="R1485" s="14"/>
      <c r="S1485" s="14">
        <v>1</v>
      </c>
    </row>
    <row r="1486" spans="2:19" ht="20.25" hidden="1" customHeight="1">
      <c r="B1486" s="17"/>
      <c r="Q1486" s="18"/>
      <c r="R1486" s="14"/>
      <c r="S1486" s="14">
        <v>1</v>
      </c>
    </row>
    <row r="1487" spans="2:19" ht="20.25" hidden="1" customHeight="1">
      <c r="B1487" s="17"/>
      <c r="Q1487" s="18"/>
      <c r="R1487" s="14"/>
      <c r="S1487" s="14">
        <v>1</v>
      </c>
    </row>
    <row r="1488" spans="2:19" ht="20.25" hidden="1" customHeight="1">
      <c r="B1488" s="17"/>
      <c r="Q1488" s="18"/>
      <c r="R1488" s="14"/>
      <c r="S1488" s="14">
        <v>1</v>
      </c>
    </row>
    <row r="1489" spans="2:19" ht="20.25" hidden="1" customHeight="1">
      <c r="B1489" s="17"/>
      <c r="Q1489" s="18"/>
      <c r="R1489" s="14"/>
      <c r="S1489" s="14">
        <v>1</v>
      </c>
    </row>
    <row r="1490" spans="2:19" ht="20.25" hidden="1" customHeight="1">
      <c r="B1490" s="17"/>
      <c r="Q1490" s="18"/>
      <c r="R1490" s="14"/>
      <c r="S1490" s="14">
        <v>1</v>
      </c>
    </row>
    <row r="1491" spans="2:19" ht="20.25" hidden="1" customHeight="1">
      <c r="B1491" s="17"/>
      <c r="Q1491" s="18"/>
      <c r="R1491" s="14"/>
      <c r="S1491" s="14">
        <v>1</v>
      </c>
    </row>
    <row r="1492" spans="2:19" ht="20.25" hidden="1" customHeight="1">
      <c r="B1492" s="17"/>
      <c r="Q1492" s="18"/>
      <c r="R1492" s="14"/>
      <c r="S1492" s="14">
        <v>1</v>
      </c>
    </row>
    <row r="1493" spans="2:19" ht="20.25" hidden="1" customHeight="1">
      <c r="B1493" s="17"/>
      <c r="Q1493" s="18"/>
      <c r="R1493" s="14"/>
      <c r="S1493" s="14">
        <v>1</v>
      </c>
    </row>
    <row r="1494" spans="2:19" ht="20.25" hidden="1" customHeight="1">
      <c r="B1494" s="17"/>
      <c r="Q1494" s="18"/>
      <c r="R1494" s="14"/>
      <c r="S1494" s="14">
        <v>1</v>
      </c>
    </row>
    <row r="1495" spans="2:19" ht="20.25" hidden="1" customHeight="1">
      <c r="B1495" s="17"/>
      <c r="Q1495" s="18"/>
      <c r="R1495" s="14"/>
      <c r="S1495" s="14">
        <v>1</v>
      </c>
    </row>
    <row r="1496" spans="2:19" ht="20.25" hidden="1" customHeight="1">
      <c r="B1496" s="17"/>
      <c r="Q1496" s="18"/>
      <c r="R1496" s="14"/>
      <c r="S1496" s="14">
        <v>1</v>
      </c>
    </row>
    <row r="1497" spans="2:19" ht="20.25" hidden="1" customHeight="1">
      <c r="B1497" s="17"/>
      <c r="Q1497" s="18"/>
      <c r="R1497" s="14"/>
      <c r="S1497" s="14">
        <v>1</v>
      </c>
    </row>
    <row r="1498" spans="2:19" ht="20.25" hidden="1" customHeight="1">
      <c r="B1498" s="17"/>
      <c r="Q1498" s="18"/>
      <c r="R1498" s="14"/>
      <c r="S1498" s="14">
        <v>1</v>
      </c>
    </row>
    <row r="1499" spans="2:19" ht="20.25" hidden="1" customHeight="1">
      <c r="B1499" s="17"/>
      <c r="Q1499" s="18"/>
      <c r="R1499" s="14"/>
      <c r="S1499" s="14">
        <v>1</v>
      </c>
    </row>
    <row r="1500" spans="2:19" ht="20.25" hidden="1" customHeight="1">
      <c r="B1500" s="17"/>
      <c r="Q1500" s="18"/>
      <c r="R1500" s="14"/>
      <c r="S1500" s="14">
        <v>1</v>
      </c>
    </row>
    <row r="1501" spans="2:19" ht="20.25" hidden="1" customHeight="1">
      <c r="B1501" s="17"/>
      <c r="Q1501" s="18"/>
      <c r="R1501" s="14"/>
      <c r="S1501" s="14">
        <v>1</v>
      </c>
    </row>
    <row r="1502" spans="2:19" ht="20.25" hidden="1" customHeight="1">
      <c r="B1502" s="17"/>
      <c r="Q1502" s="18"/>
      <c r="R1502" s="14"/>
      <c r="S1502" s="14">
        <v>1</v>
      </c>
    </row>
    <row r="1503" spans="2:19" ht="20.25" hidden="1" customHeight="1">
      <c r="B1503" s="17"/>
      <c r="Q1503" s="18"/>
      <c r="R1503" s="14"/>
      <c r="S1503" s="14">
        <v>1</v>
      </c>
    </row>
    <row r="1504" spans="2:19" ht="20.25" hidden="1" customHeight="1">
      <c r="B1504" s="17"/>
      <c r="Q1504" s="18"/>
      <c r="R1504" s="14"/>
      <c r="S1504" s="14">
        <v>1</v>
      </c>
    </row>
    <row r="1505" spans="2:19" ht="20.25" hidden="1" customHeight="1">
      <c r="B1505" s="17"/>
      <c r="Q1505" s="18"/>
      <c r="R1505" s="14"/>
      <c r="S1505" s="14">
        <v>1</v>
      </c>
    </row>
    <row r="1506" spans="2:19" ht="20.25" hidden="1" customHeight="1">
      <c r="B1506" s="17"/>
      <c r="Q1506" s="18"/>
      <c r="R1506" s="14"/>
      <c r="S1506" s="14">
        <v>1</v>
      </c>
    </row>
    <row r="1507" spans="2:19" ht="20.25" hidden="1" customHeight="1">
      <c r="B1507" s="17"/>
      <c r="Q1507" s="18"/>
      <c r="R1507" s="14"/>
      <c r="S1507" s="14">
        <v>1</v>
      </c>
    </row>
    <row r="1508" spans="2:19" ht="20.25" hidden="1" customHeight="1">
      <c r="B1508" s="17"/>
      <c r="Q1508" s="18"/>
      <c r="R1508" s="14"/>
      <c r="S1508" s="14">
        <v>1</v>
      </c>
    </row>
    <row r="1509" spans="2:19" ht="20.25" hidden="1" customHeight="1">
      <c r="B1509" s="17"/>
      <c r="Q1509" s="18"/>
      <c r="R1509" s="14"/>
      <c r="S1509" s="14">
        <v>1</v>
      </c>
    </row>
    <row r="1510" spans="2:19" ht="20.25" hidden="1" customHeight="1">
      <c r="B1510" s="17"/>
      <c r="Q1510" s="18"/>
      <c r="R1510" s="14"/>
      <c r="S1510" s="14">
        <v>1</v>
      </c>
    </row>
    <row r="1511" spans="2:19" ht="20.25" hidden="1" customHeight="1">
      <c r="B1511" s="17"/>
      <c r="Q1511" s="18"/>
      <c r="R1511" s="14"/>
      <c r="S1511" s="14">
        <v>1</v>
      </c>
    </row>
    <row r="1512" spans="2:19" ht="20.25" hidden="1" customHeight="1">
      <c r="B1512" s="17"/>
      <c r="Q1512" s="18"/>
      <c r="R1512" s="14"/>
      <c r="S1512" s="14">
        <v>1</v>
      </c>
    </row>
    <row r="1513" spans="2:19" ht="20.25" hidden="1" customHeight="1">
      <c r="B1513" s="17"/>
      <c r="Q1513" s="18"/>
      <c r="R1513" s="14"/>
      <c r="S1513" s="14">
        <v>1</v>
      </c>
    </row>
    <row r="1514" spans="2:19" ht="20.25" hidden="1" customHeight="1">
      <c r="B1514" s="17"/>
      <c r="Q1514" s="18"/>
      <c r="R1514" s="14"/>
      <c r="S1514" s="14">
        <v>1</v>
      </c>
    </row>
    <row r="1515" spans="2:19" ht="20.25" hidden="1" customHeight="1">
      <c r="B1515" s="17"/>
      <c r="Q1515" s="18"/>
      <c r="R1515" s="14"/>
      <c r="S1515" s="14">
        <v>1</v>
      </c>
    </row>
    <row r="1516" spans="2:19" ht="20.25" hidden="1" customHeight="1">
      <c r="B1516" s="17"/>
      <c r="Q1516" s="18"/>
      <c r="R1516" s="14"/>
      <c r="S1516" s="14">
        <v>1</v>
      </c>
    </row>
    <row r="1517" spans="2:19" ht="20.25" hidden="1" customHeight="1">
      <c r="B1517" s="17"/>
      <c r="Q1517" s="18"/>
      <c r="R1517" s="14"/>
      <c r="S1517" s="14">
        <v>1</v>
      </c>
    </row>
    <row r="1518" spans="2:19" ht="20.25" hidden="1" customHeight="1">
      <c r="B1518" s="17"/>
      <c r="Q1518" s="18"/>
      <c r="R1518" s="14"/>
      <c r="S1518" s="14">
        <v>1</v>
      </c>
    </row>
    <row r="1519" spans="2:19" ht="20.25" hidden="1" customHeight="1">
      <c r="B1519" s="17"/>
      <c r="Q1519" s="18"/>
      <c r="R1519" s="14"/>
      <c r="S1519" s="14">
        <v>1</v>
      </c>
    </row>
    <row r="1520" spans="2:19" ht="20.25" hidden="1" customHeight="1">
      <c r="B1520" s="17"/>
      <c r="Q1520" s="18"/>
      <c r="R1520" s="14"/>
      <c r="S1520" s="14">
        <v>1</v>
      </c>
    </row>
    <row r="1521" spans="2:19" ht="20.25" hidden="1" customHeight="1">
      <c r="B1521" s="17"/>
      <c r="Q1521" s="18"/>
      <c r="R1521" s="14"/>
      <c r="S1521" s="14">
        <v>1</v>
      </c>
    </row>
    <row r="1522" spans="2:19" ht="20.25" hidden="1" customHeight="1">
      <c r="B1522" s="17"/>
      <c r="Q1522" s="18"/>
      <c r="R1522" s="14"/>
      <c r="S1522" s="14">
        <v>1</v>
      </c>
    </row>
    <row r="1523" spans="2:19" ht="20.25" hidden="1" customHeight="1">
      <c r="B1523" s="17"/>
      <c r="Q1523" s="18"/>
      <c r="R1523" s="14"/>
      <c r="S1523" s="14">
        <v>1</v>
      </c>
    </row>
    <row r="1524" spans="2:19" ht="20.25" hidden="1" customHeight="1">
      <c r="B1524" s="17"/>
      <c r="Q1524" s="18"/>
      <c r="R1524" s="14"/>
      <c r="S1524" s="14">
        <v>1</v>
      </c>
    </row>
    <row r="1525" spans="2:19" ht="20.25" hidden="1" customHeight="1">
      <c r="B1525" s="17"/>
      <c r="Q1525" s="18"/>
      <c r="R1525" s="14"/>
      <c r="S1525" s="14">
        <v>1</v>
      </c>
    </row>
    <row r="1526" spans="2:19" ht="20.25" hidden="1" customHeight="1">
      <c r="B1526" s="17"/>
      <c r="Q1526" s="18"/>
      <c r="R1526" s="14"/>
      <c r="S1526" s="14">
        <v>1</v>
      </c>
    </row>
    <row r="1527" spans="2:19" ht="20.25" hidden="1" customHeight="1">
      <c r="B1527" s="17"/>
      <c r="Q1527" s="18"/>
      <c r="R1527" s="14"/>
      <c r="S1527" s="14">
        <v>1</v>
      </c>
    </row>
    <row r="1528" spans="2:19" ht="20.25" hidden="1" customHeight="1">
      <c r="B1528" s="17"/>
      <c r="Q1528" s="18"/>
      <c r="R1528" s="14"/>
      <c r="S1528" s="14">
        <v>1</v>
      </c>
    </row>
    <row r="1529" spans="2:19" ht="20.25" hidden="1" customHeight="1">
      <c r="B1529" s="17"/>
      <c r="Q1529" s="18"/>
      <c r="R1529" s="14"/>
      <c r="S1529" s="14">
        <v>1</v>
      </c>
    </row>
    <row r="1530" spans="2:19" ht="20.25" hidden="1" customHeight="1">
      <c r="B1530" s="17"/>
      <c r="Q1530" s="18"/>
      <c r="R1530" s="14"/>
      <c r="S1530" s="14">
        <v>1</v>
      </c>
    </row>
    <row r="1531" spans="2:19" ht="20.25" hidden="1" customHeight="1">
      <c r="B1531" s="17"/>
      <c r="Q1531" s="18"/>
      <c r="R1531" s="14"/>
      <c r="S1531" s="14">
        <v>1</v>
      </c>
    </row>
    <row r="1532" spans="2:19" ht="20.25" hidden="1" customHeight="1">
      <c r="B1532" s="17"/>
      <c r="Q1532" s="18"/>
      <c r="R1532" s="14"/>
      <c r="S1532" s="14">
        <v>1</v>
      </c>
    </row>
    <row r="1533" spans="2:19" ht="20.25" hidden="1" customHeight="1">
      <c r="B1533" s="17"/>
      <c r="Q1533" s="18"/>
      <c r="R1533" s="14"/>
      <c r="S1533" s="14">
        <v>1</v>
      </c>
    </row>
    <row r="1534" spans="2:19" ht="20.25" hidden="1" customHeight="1">
      <c r="B1534" s="17"/>
      <c r="Q1534" s="18"/>
      <c r="R1534" s="14"/>
      <c r="S1534" s="14">
        <v>1</v>
      </c>
    </row>
    <row r="1535" spans="2:19" ht="20.25" hidden="1" customHeight="1">
      <c r="B1535" s="17"/>
      <c r="Q1535" s="18"/>
      <c r="R1535" s="14"/>
      <c r="S1535" s="14">
        <v>1</v>
      </c>
    </row>
    <row r="1536" spans="2:19" ht="20.25" hidden="1" customHeight="1">
      <c r="B1536" s="17"/>
      <c r="Q1536" s="18"/>
      <c r="R1536" s="14"/>
      <c r="S1536" s="14">
        <v>1</v>
      </c>
    </row>
    <row r="1537" spans="2:19" ht="20.25" hidden="1" customHeight="1">
      <c r="B1537" s="17"/>
      <c r="Q1537" s="18"/>
      <c r="R1537" s="14"/>
      <c r="S1537" s="14">
        <v>1</v>
      </c>
    </row>
    <row r="1538" spans="2:19" ht="20.25" hidden="1" customHeight="1">
      <c r="B1538" s="17"/>
      <c r="Q1538" s="18"/>
      <c r="R1538" s="14"/>
      <c r="S1538" s="14">
        <v>1</v>
      </c>
    </row>
    <row r="1539" spans="2:19" ht="20.25" hidden="1" customHeight="1">
      <c r="B1539" s="17"/>
      <c r="Q1539" s="18"/>
      <c r="R1539" s="14"/>
      <c r="S1539" s="14">
        <v>1</v>
      </c>
    </row>
    <row r="1540" spans="2:19" ht="20.25" hidden="1" customHeight="1">
      <c r="B1540" s="17"/>
      <c r="Q1540" s="18"/>
      <c r="R1540" s="14"/>
      <c r="S1540" s="14">
        <v>1</v>
      </c>
    </row>
    <row r="1541" spans="2:19" ht="20.25" hidden="1" customHeight="1">
      <c r="B1541" s="17"/>
      <c r="Q1541" s="18"/>
      <c r="R1541" s="14"/>
      <c r="S1541" s="14">
        <v>1</v>
      </c>
    </row>
    <row r="1542" spans="2:19" ht="20.25" hidden="1" customHeight="1">
      <c r="B1542" s="17"/>
      <c r="Q1542" s="18"/>
      <c r="R1542" s="14"/>
      <c r="S1542" s="14">
        <v>1</v>
      </c>
    </row>
    <row r="1543" spans="2:19" ht="20.25" hidden="1" customHeight="1">
      <c r="B1543" s="17"/>
      <c r="Q1543" s="18"/>
      <c r="R1543" s="14"/>
      <c r="S1543" s="14">
        <v>1</v>
      </c>
    </row>
    <row r="1544" spans="2:19" ht="20.25" hidden="1" customHeight="1">
      <c r="B1544" s="17"/>
      <c r="Q1544" s="18"/>
      <c r="R1544" s="14"/>
      <c r="S1544" s="14">
        <v>1</v>
      </c>
    </row>
    <row r="1545" spans="2:19" ht="20.25" hidden="1" customHeight="1">
      <c r="B1545" s="17"/>
      <c r="Q1545" s="18"/>
      <c r="R1545" s="14"/>
      <c r="S1545" s="14">
        <v>1</v>
      </c>
    </row>
    <row r="1546" spans="2:19" ht="20.25" hidden="1" customHeight="1">
      <c r="B1546" s="17"/>
      <c r="Q1546" s="18"/>
      <c r="R1546" s="14"/>
      <c r="S1546" s="14">
        <v>1</v>
      </c>
    </row>
    <row r="1547" spans="2:19" ht="20.25" hidden="1" customHeight="1">
      <c r="B1547" s="17"/>
      <c r="Q1547" s="18"/>
      <c r="R1547" s="14"/>
      <c r="S1547" s="14">
        <v>1</v>
      </c>
    </row>
    <row r="1548" spans="2:19" ht="20.25" hidden="1" customHeight="1">
      <c r="B1548" s="17"/>
      <c r="Q1548" s="18"/>
      <c r="R1548" s="14"/>
      <c r="S1548" s="14">
        <v>1</v>
      </c>
    </row>
    <row r="1549" spans="2:19" ht="20.25" hidden="1" customHeight="1">
      <c r="B1549" s="17"/>
      <c r="Q1549" s="18"/>
      <c r="R1549" s="14"/>
      <c r="S1549" s="14">
        <v>1</v>
      </c>
    </row>
    <row r="1550" spans="2:19" ht="20.25" hidden="1" customHeight="1">
      <c r="B1550" s="17"/>
      <c r="Q1550" s="18"/>
      <c r="R1550" s="14"/>
      <c r="S1550" s="14">
        <v>1</v>
      </c>
    </row>
    <row r="1551" spans="2:19" ht="20.25" hidden="1" customHeight="1">
      <c r="B1551" s="17"/>
      <c r="Q1551" s="18"/>
      <c r="R1551" s="14"/>
      <c r="S1551" s="14">
        <v>1</v>
      </c>
    </row>
    <row r="1552" spans="2:19" ht="20.25" hidden="1" customHeight="1">
      <c r="B1552" s="17"/>
      <c r="Q1552" s="18"/>
      <c r="R1552" s="14"/>
      <c r="S1552" s="14">
        <v>1</v>
      </c>
    </row>
    <row r="1553" spans="2:19" ht="20.25" hidden="1" customHeight="1">
      <c r="B1553" s="17"/>
      <c r="Q1553" s="18"/>
      <c r="R1553" s="14"/>
      <c r="S1553" s="14">
        <v>1</v>
      </c>
    </row>
    <row r="1554" spans="2:19" ht="20.25" hidden="1" customHeight="1">
      <c r="B1554" s="17"/>
      <c r="Q1554" s="18"/>
      <c r="R1554" s="14"/>
      <c r="S1554" s="14">
        <v>1</v>
      </c>
    </row>
    <row r="1555" spans="2:19" ht="20.25" hidden="1" customHeight="1">
      <c r="B1555" s="17"/>
      <c r="Q1555" s="18"/>
      <c r="R1555" s="14"/>
      <c r="S1555" s="14">
        <v>1</v>
      </c>
    </row>
    <row r="1556" spans="2:19" ht="20.25" hidden="1" customHeight="1">
      <c r="B1556" s="17"/>
      <c r="Q1556" s="18"/>
      <c r="R1556" s="14"/>
      <c r="S1556" s="14">
        <v>1</v>
      </c>
    </row>
    <row r="1557" spans="2:19" ht="20.25" hidden="1" customHeight="1">
      <c r="B1557" s="17"/>
      <c r="Q1557" s="18"/>
      <c r="R1557" s="14"/>
      <c r="S1557" s="14">
        <v>1</v>
      </c>
    </row>
    <row r="1558" spans="2:19" ht="20.25" hidden="1" customHeight="1">
      <c r="B1558" s="17"/>
      <c r="Q1558" s="18"/>
      <c r="R1558" s="14"/>
      <c r="S1558" s="14">
        <v>1</v>
      </c>
    </row>
    <row r="1559" spans="2:19" ht="20.25" hidden="1" customHeight="1">
      <c r="B1559" s="17"/>
      <c r="Q1559" s="18"/>
      <c r="R1559" s="14"/>
      <c r="S1559" s="14">
        <v>1</v>
      </c>
    </row>
    <row r="1560" spans="2:19" ht="20.25" hidden="1" customHeight="1">
      <c r="B1560" s="17"/>
      <c r="Q1560" s="18"/>
      <c r="R1560" s="14"/>
      <c r="S1560" s="14">
        <v>1</v>
      </c>
    </row>
    <row r="1561" spans="2:19" ht="20.25" hidden="1" customHeight="1">
      <c r="B1561" s="17"/>
      <c r="Q1561" s="18"/>
      <c r="R1561" s="14"/>
      <c r="S1561" s="14">
        <v>1</v>
      </c>
    </row>
    <row r="1562" spans="2:19" ht="20.25" hidden="1" customHeight="1">
      <c r="B1562" s="17"/>
      <c r="Q1562" s="18"/>
      <c r="R1562" s="14"/>
      <c r="S1562" s="14">
        <v>1</v>
      </c>
    </row>
    <row r="1563" spans="2:19" ht="20.25" hidden="1" customHeight="1">
      <c r="B1563" s="17"/>
      <c r="Q1563" s="18"/>
      <c r="R1563" s="14"/>
      <c r="S1563" s="14">
        <v>1</v>
      </c>
    </row>
    <row r="1564" spans="2:19" ht="20.25" hidden="1" customHeight="1">
      <c r="B1564" s="17"/>
      <c r="Q1564" s="18"/>
      <c r="R1564" s="14"/>
      <c r="S1564" s="14">
        <v>1</v>
      </c>
    </row>
    <row r="1565" spans="2:19" ht="20.25" hidden="1" customHeight="1">
      <c r="B1565" s="17"/>
      <c r="Q1565" s="18"/>
      <c r="R1565" s="14"/>
      <c r="S1565" s="14">
        <v>1</v>
      </c>
    </row>
    <row r="1566" spans="2:19" ht="20.25" hidden="1" customHeight="1">
      <c r="B1566" s="17"/>
      <c r="Q1566" s="18"/>
      <c r="R1566" s="14"/>
      <c r="S1566" s="14">
        <v>1</v>
      </c>
    </row>
    <row r="1567" spans="2:19" ht="20.25" hidden="1" customHeight="1">
      <c r="B1567" s="17"/>
      <c r="Q1567" s="18"/>
      <c r="R1567" s="14"/>
      <c r="S1567" s="14">
        <v>1</v>
      </c>
    </row>
    <row r="1568" spans="2:19" ht="20.25" hidden="1" customHeight="1">
      <c r="B1568" s="17"/>
      <c r="Q1568" s="18"/>
      <c r="R1568" s="14"/>
      <c r="S1568" s="14">
        <v>1</v>
      </c>
    </row>
    <row r="1569" spans="2:19" ht="20.25" hidden="1" customHeight="1">
      <c r="B1569" s="17"/>
      <c r="Q1569" s="18"/>
      <c r="R1569" s="14"/>
      <c r="S1569" s="14">
        <v>1</v>
      </c>
    </row>
    <row r="1570" spans="2:19" ht="20.25" hidden="1" customHeight="1">
      <c r="B1570" s="17"/>
      <c r="Q1570" s="18"/>
      <c r="R1570" s="14"/>
      <c r="S1570" s="14">
        <v>1</v>
      </c>
    </row>
    <row r="1571" spans="2:19" ht="20.25" hidden="1" customHeight="1">
      <c r="B1571" s="17"/>
      <c r="Q1571" s="18"/>
      <c r="R1571" s="14"/>
      <c r="S1571" s="14">
        <v>1</v>
      </c>
    </row>
    <row r="1572" spans="2:19" ht="20.25" hidden="1" customHeight="1">
      <c r="B1572" s="17"/>
      <c r="Q1572" s="18"/>
      <c r="R1572" s="14"/>
      <c r="S1572" s="14">
        <v>1</v>
      </c>
    </row>
    <row r="1573" spans="2:19" ht="20.25" hidden="1" customHeight="1">
      <c r="B1573" s="17"/>
      <c r="Q1573" s="18"/>
      <c r="R1573" s="14"/>
      <c r="S1573" s="14">
        <v>1</v>
      </c>
    </row>
    <row r="1574" spans="2:19" ht="20.25" hidden="1" customHeight="1">
      <c r="B1574" s="17"/>
      <c r="Q1574" s="18"/>
      <c r="R1574" s="14"/>
      <c r="S1574" s="14">
        <v>1</v>
      </c>
    </row>
    <row r="1575" spans="2:19" ht="20.25" hidden="1" customHeight="1">
      <c r="B1575" s="17"/>
      <c r="Q1575" s="18"/>
      <c r="R1575" s="14"/>
      <c r="S1575" s="14">
        <v>1</v>
      </c>
    </row>
    <row r="1576" spans="2:19" ht="20.25" hidden="1" customHeight="1">
      <c r="B1576" s="17"/>
      <c r="Q1576" s="18"/>
      <c r="R1576" s="14"/>
      <c r="S1576" s="14">
        <v>1</v>
      </c>
    </row>
    <row r="1577" spans="2:19" ht="20.25" hidden="1" customHeight="1">
      <c r="B1577" s="17"/>
      <c r="Q1577" s="18"/>
      <c r="R1577" s="14"/>
      <c r="S1577" s="14">
        <v>1</v>
      </c>
    </row>
    <row r="1578" spans="2:19" ht="20.25" hidden="1" customHeight="1">
      <c r="B1578" s="17"/>
      <c r="Q1578" s="18"/>
      <c r="R1578" s="14"/>
      <c r="S1578" s="14">
        <v>1</v>
      </c>
    </row>
    <row r="1579" spans="2:19" ht="20.25" hidden="1" customHeight="1">
      <c r="B1579" s="17"/>
      <c r="Q1579" s="18"/>
      <c r="R1579" s="14"/>
      <c r="S1579" s="14">
        <v>1</v>
      </c>
    </row>
    <row r="1580" spans="2:19" ht="20.25" hidden="1" customHeight="1">
      <c r="B1580" s="17"/>
      <c r="Q1580" s="18"/>
      <c r="R1580" s="14"/>
      <c r="S1580" s="14">
        <v>1</v>
      </c>
    </row>
    <row r="1581" spans="2:19" ht="20.25" hidden="1" customHeight="1">
      <c r="B1581" s="17"/>
      <c r="Q1581" s="18"/>
      <c r="R1581" s="14"/>
      <c r="S1581" s="14">
        <v>1</v>
      </c>
    </row>
    <row r="1582" spans="2:19" ht="20.25" hidden="1" customHeight="1">
      <c r="B1582" s="17"/>
      <c r="Q1582" s="18"/>
      <c r="R1582" s="14"/>
      <c r="S1582" s="14">
        <v>1</v>
      </c>
    </row>
    <row r="1583" spans="2:19" ht="20.25" hidden="1" customHeight="1">
      <c r="B1583" s="17"/>
      <c r="Q1583" s="18"/>
      <c r="R1583" s="14"/>
      <c r="S1583" s="14">
        <v>1</v>
      </c>
    </row>
    <row r="1584" spans="2:19" ht="20.25" hidden="1" customHeight="1">
      <c r="B1584" s="17"/>
      <c r="Q1584" s="18"/>
      <c r="R1584" s="14"/>
      <c r="S1584" s="14">
        <v>1</v>
      </c>
    </row>
    <row r="1585" spans="2:19" ht="20.25" hidden="1" customHeight="1">
      <c r="B1585" s="17"/>
      <c r="Q1585" s="18"/>
      <c r="R1585" s="14"/>
      <c r="S1585" s="14">
        <v>1</v>
      </c>
    </row>
    <row r="1586" spans="2:19" ht="20.25" hidden="1" customHeight="1">
      <c r="B1586" s="17"/>
      <c r="Q1586" s="18"/>
      <c r="R1586" s="14"/>
      <c r="S1586" s="14">
        <v>1</v>
      </c>
    </row>
    <row r="1587" spans="2:19" ht="20.25" hidden="1" customHeight="1">
      <c r="B1587" s="17"/>
      <c r="Q1587" s="18"/>
      <c r="R1587" s="14"/>
      <c r="S1587" s="14">
        <v>1</v>
      </c>
    </row>
    <row r="1588" spans="2:19" ht="20.25" hidden="1" customHeight="1">
      <c r="B1588" s="17"/>
      <c r="Q1588" s="18"/>
      <c r="R1588" s="14"/>
      <c r="S1588" s="14">
        <v>1</v>
      </c>
    </row>
    <row r="1589" spans="2:19" ht="20.25" hidden="1" customHeight="1">
      <c r="B1589" s="17"/>
      <c r="Q1589" s="18"/>
      <c r="R1589" s="14"/>
      <c r="S1589" s="14">
        <v>1</v>
      </c>
    </row>
    <row r="1590" spans="2:19" ht="20.25" hidden="1" customHeight="1">
      <c r="B1590" s="17"/>
      <c r="Q1590" s="18"/>
      <c r="R1590" s="14"/>
      <c r="S1590" s="14">
        <v>1</v>
      </c>
    </row>
    <row r="1591" spans="2:19" ht="20.25" hidden="1" customHeight="1">
      <c r="B1591" s="17"/>
      <c r="Q1591" s="18"/>
      <c r="R1591" s="14"/>
      <c r="S1591" s="14">
        <v>1</v>
      </c>
    </row>
    <row r="1592" spans="2:19" ht="20.25" hidden="1" customHeight="1">
      <c r="B1592" s="17"/>
      <c r="Q1592" s="18"/>
      <c r="R1592" s="14"/>
      <c r="S1592" s="14">
        <v>1</v>
      </c>
    </row>
    <row r="1593" spans="2:19" ht="20.25" hidden="1" customHeight="1">
      <c r="B1593" s="17"/>
      <c r="Q1593" s="18"/>
      <c r="R1593" s="14"/>
      <c r="S1593" s="14">
        <v>1</v>
      </c>
    </row>
    <row r="1594" spans="2:19" ht="20.25" hidden="1" customHeight="1">
      <c r="B1594" s="17"/>
      <c r="Q1594" s="18"/>
      <c r="R1594" s="14"/>
      <c r="S1594" s="14">
        <v>1</v>
      </c>
    </row>
    <row r="1595" spans="2:19" ht="20.25" hidden="1" customHeight="1">
      <c r="B1595" s="17"/>
      <c r="Q1595" s="18"/>
      <c r="R1595" s="14"/>
      <c r="S1595" s="14">
        <v>1</v>
      </c>
    </row>
    <row r="1596" spans="2:19" ht="20.25" hidden="1" customHeight="1">
      <c r="B1596" s="17"/>
      <c r="Q1596" s="18"/>
      <c r="R1596" s="14"/>
      <c r="S1596" s="14">
        <v>1</v>
      </c>
    </row>
    <row r="1597" spans="2:19" ht="20.25" hidden="1" customHeight="1">
      <c r="B1597" s="17"/>
      <c r="Q1597" s="18"/>
      <c r="R1597" s="14"/>
      <c r="S1597" s="14">
        <v>1</v>
      </c>
    </row>
    <row r="1598" spans="2:19" ht="20.25" hidden="1" customHeight="1">
      <c r="B1598" s="17"/>
      <c r="Q1598" s="18"/>
      <c r="R1598" s="14"/>
      <c r="S1598" s="14">
        <v>1</v>
      </c>
    </row>
    <row r="1599" spans="2:19" ht="20.25" hidden="1" customHeight="1">
      <c r="B1599" s="17"/>
      <c r="Q1599" s="18"/>
      <c r="R1599" s="14"/>
      <c r="S1599" s="14">
        <v>1</v>
      </c>
    </row>
    <row r="1600" spans="2:19" ht="20.25" hidden="1" customHeight="1">
      <c r="B1600" s="17"/>
      <c r="Q1600" s="18"/>
      <c r="R1600" s="14"/>
      <c r="S1600" s="14">
        <v>1</v>
      </c>
    </row>
    <row r="1601" spans="2:19" ht="20.25" hidden="1" customHeight="1">
      <c r="B1601" s="17"/>
      <c r="Q1601" s="18"/>
      <c r="R1601" s="14"/>
      <c r="S1601" s="14">
        <v>1</v>
      </c>
    </row>
    <row r="1602" spans="2:19" ht="20.25" hidden="1" customHeight="1">
      <c r="B1602" s="17"/>
      <c r="Q1602" s="18"/>
      <c r="R1602" s="14"/>
      <c r="S1602" s="14">
        <v>1</v>
      </c>
    </row>
    <row r="1603" spans="2:19" ht="20.25" hidden="1" customHeight="1">
      <c r="B1603" s="17"/>
      <c r="Q1603" s="18"/>
      <c r="R1603" s="14"/>
      <c r="S1603" s="14">
        <v>1</v>
      </c>
    </row>
    <row r="1604" spans="2:19" ht="20.25" hidden="1" customHeight="1">
      <c r="B1604" s="17"/>
      <c r="Q1604" s="18"/>
      <c r="R1604" s="14"/>
      <c r="S1604" s="14">
        <v>1</v>
      </c>
    </row>
    <row r="1605" spans="2:19" ht="20.25" hidden="1" customHeight="1">
      <c r="B1605" s="17"/>
      <c r="Q1605" s="18"/>
      <c r="R1605" s="14"/>
      <c r="S1605" s="14">
        <v>1</v>
      </c>
    </row>
    <row r="1606" spans="2:19" ht="20.25" hidden="1" customHeight="1">
      <c r="B1606" s="17"/>
      <c r="Q1606" s="18"/>
      <c r="R1606" s="14"/>
      <c r="S1606" s="14">
        <v>1</v>
      </c>
    </row>
    <row r="1607" spans="2:19" ht="20.25" hidden="1" customHeight="1">
      <c r="B1607" s="17"/>
      <c r="Q1607" s="18"/>
      <c r="R1607" s="14"/>
      <c r="S1607" s="14">
        <v>1</v>
      </c>
    </row>
    <row r="1608" spans="2:19" ht="20.25" hidden="1" customHeight="1">
      <c r="B1608" s="17"/>
      <c r="Q1608" s="18"/>
      <c r="R1608" s="14"/>
      <c r="S1608" s="14">
        <v>1</v>
      </c>
    </row>
    <row r="1609" spans="2:19" ht="20.25" hidden="1" customHeight="1">
      <c r="B1609" s="17"/>
      <c r="Q1609" s="18"/>
      <c r="R1609" s="14"/>
      <c r="S1609" s="14">
        <v>1</v>
      </c>
    </row>
    <row r="1610" spans="2:19" ht="20.25" hidden="1" customHeight="1">
      <c r="B1610" s="17"/>
      <c r="Q1610" s="18"/>
      <c r="R1610" s="14"/>
      <c r="S1610" s="14">
        <v>1</v>
      </c>
    </row>
    <row r="1611" spans="2:19" ht="20.25" hidden="1" customHeight="1">
      <c r="B1611" s="17"/>
      <c r="Q1611" s="18"/>
      <c r="R1611" s="14"/>
      <c r="S1611" s="14">
        <v>1</v>
      </c>
    </row>
    <row r="1612" spans="2:19" ht="20.25" hidden="1" customHeight="1">
      <c r="B1612" s="17"/>
      <c r="Q1612" s="18"/>
      <c r="R1612" s="14"/>
      <c r="S1612" s="14">
        <v>1</v>
      </c>
    </row>
    <row r="1613" spans="2:19" ht="20.25" hidden="1" customHeight="1">
      <c r="B1613" s="17"/>
      <c r="Q1613" s="18"/>
      <c r="R1613" s="14"/>
      <c r="S1613" s="14">
        <v>1</v>
      </c>
    </row>
    <row r="1614" spans="2:19" ht="20.25" hidden="1" customHeight="1">
      <c r="B1614" s="17"/>
      <c r="Q1614" s="18"/>
      <c r="R1614" s="14"/>
      <c r="S1614" s="14">
        <v>1</v>
      </c>
    </row>
    <row r="1615" spans="2:19" ht="20.25" hidden="1" customHeight="1">
      <c r="B1615" s="17"/>
      <c r="Q1615" s="18"/>
      <c r="R1615" s="14"/>
      <c r="S1615" s="14">
        <v>1</v>
      </c>
    </row>
    <row r="1616" spans="2:19" ht="20.25" hidden="1" customHeight="1">
      <c r="B1616" s="17"/>
      <c r="Q1616" s="18"/>
      <c r="R1616" s="14"/>
      <c r="S1616" s="14">
        <v>1</v>
      </c>
    </row>
    <row r="1617" spans="2:19" ht="20.25" hidden="1" customHeight="1">
      <c r="B1617" s="17"/>
      <c r="Q1617" s="18"/>
      <c r="R1617" s="14"/>
      <c r="S1617" s="14">
        <v>1</v>
      </c>
    </row>
    <row r="1618" spans="2:19" ht="20.25" hidden="1" customHeight="1">
      <c r="B1618" s="17"/>
      <c r="Q1618" s="18"/>
      <c r="R1618" s="14"/>
      <c r="S1618" s="14">
        <v>1</v>
      </c>
    </row>
    <row r="1619" spans="2:19" ht="20.25" hidden="1" customHeight="1">
      <c r="B1619" s="17"/>
      <c r="Q1619" s="18"/>
      <c r="R1619" s="14"/>
      <c r="S1619" s="14">
        <v>1</v>
      </c>
    </row>
    <row r="1620" spans="2:19" ht="20.25" hidden="1" customHeight="1">
      <c r="B1620" s="17"/>
      <c r="Q1620" s="18"/>
      <c r="R1620" s="14"/>
      <c r="S1620" s="14">
        <v>1</v>
      </c>
    </row>
    <row r="1621" spans="2:19" ht="20.25" hidden="1" customHeight="1">
      <c r="B1621" s="17"/>
      <c r="Q1621" s="18"/>
      <c r="R1621" s="14"/>
      <c r="S1621" s="14">
        <v>1</v>
      </c>
    </row>
    <row r="1622" spans="2:19" ht="20.25" hidden="1" customHeight="1">
      <c r="B1622" s="17"/>
      <c r="Q1622" s="18"/>
      <c r="R1622" s="14"/>
      <c r="S1622" s="14">
        <v>1</v>
      </c>
    </row>
    <row r="1623" spans="2:19" ht="20.25" hidden="1" customHeight="1">
      <c r="B1623" s="17"/>
      <c r="Q1623" s="18"/>
      <c r="R1623" s="14"/>
      <c r="S1623" s="14">
        <v>1</v>
      </c>
    </row>
    <row r="1624" spans="2:19" ht="20.25" hidden="1" customHeight="1">
      <c r="B1624" s="17"/>
      <c r="Q1624" s="18"/>
      <c r="R1624" s="14"/>
      <c r="S1624" s="14">
        <v>1</v>
      </c>
    </row>
    <row r="1625" spans="2:19" ht="20.25" hidden="1" customHeight="1">
      <c r="B1625" s="17"/>
      <c r="Q1625" s="18"/>
      <c r="R1625" s="14"/>
      <c r="S1625" s="14">
        <v>1</v>
      </c>
    </row>
    <row r="1626" spans="2:19" ht="20.25" hidden="1" customHeight="1">
      <c r="B1626" s="17"/>
      <c r="Q1626" s="18"/>
      <c r="R1626" s="14"/>
      <c r="S1626" s="14">
        <v>1</v>
      </c>
    </row>
    <row r="1627" spans="2:19" ht="20.25" hidden="1" customHeight="1">
      <c r="B1627" s="17"/>
      <c r="Q1627" s="18"/>
      <c r="R1627" s="14"/>
      <c r="S1627" s="14">
        <v>1</v>
      </c>
    </row>
    <row r="1628" spans="2:19" ht="20.25" hidden="1" customHeight="1">
      <c r="B1628" s="17"/>
      <c r="Q1628" s="18"/>
      <c r="R1628" s="14"/>
      <c r="S1628" s="14">
        <v>1</v>
      </c>
    </row>
    <row r="1629" spans="2:19" ht="20.25" hidden="1" customHeight="1">
      <c r="B1629" s="17"/>
      <c r="Q1629" s="18"/>
      <c r="R1629" s="14"/>
      <c r="S1629" s="14">
        <v>1</v>
      </c>
    </row>
    <row r="1630" spans="2:19" ht="20.25" hidden="1" customHeight="1">
      <c r="B1630" s="17"/>
      <c r="Q1630" s="18"/>
      <c r="R1630" s="14"/>
      <c r="S1630" s="14">
        <v>1</v>
      </c>
    </row>
    <row r="1631" spans="2:19" ht="20.25" hidden="1" customHeight="1">
      <c r="B1631" s="17"/>
      <c r="Q1631" s="18"/>
      <c r="R1631" s="14"/>
      <c r="S1631" s="14">
        <v>1</v>
      </c>
    </row>
    <row r="1632" spans="2:19" ht="20.25" hidden="1" customHeight="1">
      <c r="B1632" s="17"/>
      <c r="Q1632" s="18"/>
      <c r="R1632" s="14"/>
      <c r="S1632" s="14">
        <v>1</v>
      </c>
    </row>
    <row r="1633" spans="2:19" ht="20.25" hidden="1" customHeight="1">
      <c r="B1633" s="17"/>
      <c r="Q1633" s="18"/>
      <c r="R1633" s="14"/>
      <c r="S1633" s="14">
        <v>1</v>
      </c>
    </row>
    <row r="1634" spans="2:19" ht="20.25" hidden="1" customHeight="1">
      <c r="B1634" s="17"/>
      <c r="Q1634" s="18"/>
      <c r="R1634" s="14"/>
      <c r="S1634" s="14">
        <v>1</v>
      </c>
    </row>
    <row r="1635" spans="2:19" ht="20.25" hidden="1" customHeight="1">
      <c r="B1635" s="17"/>
      <c r="Q1635" s="18"/>
      <c r="R1635" s="14"/>
      <c r="S1635" s="14">
        <v>1</v>
      </c>
    </row>
    <row r="1636" spans="2:19" ht="20.25" hidden="1" customHeight="1">
      <c r="B1636" s="17"/>
      <c r="Q1636" s="18"/>
      <c r="R1636" s="14"/>
      <c r="S1636" s="14">
        <v>1</v>
      </c>
    </row>
    <row r="1637" spans="2:19" ht="20.25" hidden="1" customHeight="1">
      <c r="B1637" s="17"/>
      <c r="Q1637" s="18"/>
      <c r="R1637" s="14"/>
      <c r="S1637" s="14">
        <v>1</v>
      </c>
    </row>
    <row r="1638" spans="2:19" ht="20.25" hidden="1" customHeight="1">
      <c r="B1638" s="17"/>
      <c r="Q1638" s="18"/>
      <c r="R1638" s="14"/>
      <c r="S1638" s="14">
        <v>1</v>
      </c>
    </row>
    <row r="1639" spans="2:19" ht="20.25" hidden="1" customHeight="1">
      <c r="B1639" s="17"/>
      <c r="Q1639" s="18"/>
      <c r="R1639" s="14"/>
      <c r="S1639" s="14">
        <v>1</v>
      </c>
    </row>
    <row r="1640" spans="2:19" ht="20.25" hidden="1" customHeight="1">
      <c r="B1640" s="17"/>
      <c r="Q1640" s="18"/>
      <c r="R1640" s="14"/>
      <c r="S1640" s="14">
        <v>1</v>
      </c>
    </row>
    <row r="1641" spans="2:19" ht="20.25" hidden="1" customHeight="1">
      <c r="B1641" s="17"/>
      <c r="Q1641" s="18"/>
      <c r="R1641" s="14"/>
      <c r="S1641" s="14">
        <v>1</v>
      </c>
    </row>
    <row r="1642" spans="2:19" ht="20.25" hidden="1" customHeight="1">
      <c r="B1642" s="17"/>
      <c r="Q1642" s="18"/>
      <c r="R1642" s="14"/>
      <c r="S1642" s="14">
        <v>1</v>
      </c>
    </row>
    <row r="1643" spans="2:19" ht="20.25" hidden="1" customHeight="1">
      <c r="B1643" s="17"/>
      <c r="Q1643" s="18"/>
      <c r="R1643" s="14"/>
      <c r="S1643" s="14">
        <v>1</v>
      </c>
    </row>
    <row r="1644" spans="2:19" ht="20.25" hidden="1" customHeight="1">
      <c r="B1644" s="17"/>
      <c r="Q1644" s="18"/>
      <c r="R1644" s="14"/>
      <c r="S1644" s="14">
        <v>1</v>
      </c>
    </row>
    <row r="1645" spans="2:19" ht="20.25" hidden="1" customHeight="1">
      <c r="B1645" s="17"/>
      <c r="Q1645" s="18"/>
      <c r="R1645" s="14"/>
      <c r="S1645" s="14">
        <v>1</v>
      </c>
    </row>
    <row r="1646" spans="2:19" ht="20.25" hidden="1" customHeight="1">
      <c r="B1646" s="17"/>
      <c r="Q1646" s="18"/>
      <c r="R1646" s="14"/>
      <c r="S1646" s="14">
        <v>1</v>
      </c>
    </row>
    <row r="1647" spans="2:19" ht="20.25" hidden="1" customHeight="1">
      <c r="B1647" s="17"/>
      <c r="Q1647" s="18"/>
      <c r="R1647" s="14"/>
      <c r="S1647" s="14">
        <v>1</v>
      </c>
    </row>
    <row r="1648" spans="2:19" ht="20.25" hidden="1" customHeight="1">
      <c r="B1648" s="17"/>
      <c r="Q1648" s="18"/>
      <c r="R1648" s="14"/>
      <c r="S1648" s="14">
        <v>1</v>
      </c>
    </row>
    <row r="1649" spans="2:19" ht="20.25" hidden="1" customHeight="1">
      <c r="B1649" s="17"/>
      <c r="Q1649" s="18"/>
      <c r="R1649" s="14"/>
      <c r="S1649" s="14">
        <v>1</v>
      </c>
    </row>
    <row r="1650" spans="2:19" ht="20.25" hidden="1" customHeight="1">
      <c r="B1650" s="17"/>
      <c r="Q1650" s="18"/>
      <c r="R1650" s="14"/>
      <c r="S1650" s="14">
        <v>1</v>
      </c>
    </row>
    <row r="1651" spans="2:19" ht="20.25" hidden="1" customHeight="1">
      <c r="B1651" s="17"/>
      <c r="Q1651" s="18"/>
      <c r="R1651" s="14"/>
      <c r="S1651" s="14">
        <v>1</v>
      </c>
    </row>
    <row r="1652" spans="2:19" ht="20.25" hidden="1" customHeight="1">
      <c r="B1652" s="17"/>
      <c r="Q1652" s="18"/>
      <c r="R1652" s="14"/>
      <c r="S1652" s="14">
        <v>1</v>
      </c>
    </row>
    <row r="1653" spans="2:19" ht="20.25" hidden="1" customHeight="1">
      <c r="B1653" s="17"/>
      <c r="Q1653" s="18"/>
      <c r="R1653" s="14"/>
      <c r="S1653" s="14">
        <v>1</v>
      </c>
    </row>
    <row r="1654" spans="2:19" ht="20.25" hidden="1" customHeight="1">
      <c r="B1654" s="17"/>
      <c r="Q1654" s="18"/>
      <c r="R1654" s="14"/>
      <c r="S1654" s="14">
        <v>1</v>
      </c>
    </row>
    <row r="1655" spans="2:19" ht="20.25" hidden="1" customHeight="1">
      <c r="B1655" s="17"/>
      <c r="Q1655" s="18"/>
      <c r="R1655" s="14"/>
      <c r="S1655" s="14">
        <v>1</v>
      </c>
    </row>
    <row r="1656" spans="2:19" ht="20.25" hidden="1" customHeight="1">
      <c r="B1656" s="17"/>
      <c r="Q1656" s="18"/>
      <c r="R1656" s="14"/>
      <c r="S1656" s="14">
        <v>1</v>
      </c>
    </row>
    <row r="1657" spans="2:19" ht="20.25" hidden="1" customHeight="1">
      <c r="B1657" s="17"/>
      <c r="Q1657" s="18"/>
      <c r="R1657" s="14"/>
      <c r="S1657" s="14">
        <v>1</v>
      </c>
    </row>
    <row r="1658" spans="2:19" ht="20.25" hidden="1" customHeight="1">
      <c r="B1658" s="17"/>
      <c r="Q1658" s="18"/>
      <c r="R1658" s="14"/>
      <c r="S1658" s="14">
        <v>1</v>
      </c>
    </row>
    <row r="1659" spans="2:19" ht="20.25" hidden="1" customHeight="1">
      <c r="B1659" s="17"/>
      <c r="Q1659" s="18"/>
      <c r="R1659" s="14"/>
      <c r="S1659" s="14">
        <v>1</v>
      </c>
    </row>
    <row r="1660" spans="2:19" ht="20.25" hidden="1" customHeight="1">
      <c r="B1660" s="17"/>
      <c r="Q1660" s="18"/>
      <c r="R1660" s="14"/>
      <c r="S1660" s="14">
        <v>1</v>
      </c>
    </row>
    <row r="1661" spans="2:19" ht="20.25" hidden="1" customHeight="1">
      <c r="B1661" s="17"/>
      <c r="Q1661" s="18"/>
      <c r="R1661" s="14"/>
      <c r="S1661" s="14">
        <v>1</v>
      </c>
    </row>
    <row r="1662" spans="2:19" ht="20.25" hidden="1" customHeight="1">
      <c r="B1662" s="17"/>
      <c r="Q1662" s="18"/>
      <c r="R1662" s="14"/>
      <c r="S1662" s="14">
        <v>1</v>
      </c>
    </row>
    <row r="1663" spans="2:19" ht="20.25" hidden="1" customHeight="1">
      <c r="B1663" s="17"/>
      <c r="Q1663" s="18"/>
      <c r="R1663" s="14"/>
      <c r="S1663" s="14">
        <v>1</v>
      </c>
    </row>
    <row r="1664" spans="2:19" ht="20.25" hidden="1" customHeight="1">
      <c r="B1664" s="17"/>
      <c r="Q1664" s="18"/>
      <c r="R1664" s="14"/>
      <c r="S1664" s="14">
        <v>1</v>
      </c>
    </row>
    <row r="1665" spans="2:19" ht="20.25" hidden="1" customHeight="1">
      <c r="B1665" s="17"/>
      <c r="Q1665" s="18"/>
      <c r="R1665" s="14"/>
      <c r="S1665" s="14">
        <v>1</v>
      </c>
    </row>
    <row r="1666" spans="2:19" ht="20.25" hidden="1" customHeight="1">
      <c r="B1666" s="17"/>
      <c r="Q1666" s="18"/>
      <c r="R1666" s="14"/>
      <c r="S1666" s="14">
        <v>1</v>
      </c>
    </row>
    <row r="1667" spans="2:19" ht="20.25" hidden="1" customHeight="1">
      <c r="B1667" s="17"/>
      <c r="Q1667" s="18"/>
      <c r="R1667" s="14"/>
      <c r="S1667" s="14">
        <v>1</v>
      </c>
    </row>
    <row r="1668" spans="2:19" ht="20.25" hidden="1" customHeight="1">
      <c r="B1668" s="17"/>
      <c r="Q1668" s="18"/>
      <c r="R1668" s="14"/>
      <c r="S1668" s="14">
        <v>1</v>
      </c>
    </row>
    <row r="1669" spans="2:19" ht="20.25" hidden="1" customHeight="1">
      <c r="B1669" s="17"/>
      <c r="Q1669" s="18"/>
      <c r="R1669" s="14"/>
      <c r="S1669" s="14">
        <v>1</v>
      </c>
    </row>
    <row r="1670" spans="2:19" ht="20.25" hidden="1" customHeight="1">
      <c r="B1670" s="17"/>
      <c r="Q1670" s="18"/>
      <c r="R1670" s="14"/>
      <c r="S1670" s="14">
        <v>1</v>
      </c>
    </row>
    <row r="1671" spans="2:19" ht="20.25" hidden="1" customHeight="1">
      <c r="B1671" s="17"/>
      <c r="Q1671" s="18"/>
      <c r="R1671" s="14"/>
      <c r="S1671" s="14">
        <v>1</v>
      </c>
    </row>
    <row r="1672" spans="2:19" ht="20.25" hidden="1" customHeight="1">
      <c r="B1672" s="17"/>
      <c r="Q1672" s="18"/>
      <c r="R1672" s="14"/>
      <c r="S1672" s="14">
        <v>1</v>
      </c>
    </row>
    <row r="1673" spans="2:19" ht="20.25" hidden="1" customHeight="1">
      <c r="B1673" s="17"/>
      <c r="Q1673" s="18"/>
      <c r="R1673" s="14"/>
      <c r="S1673" s="14">
        <v>1</v>
      </c>
    </row>
    <row r="1674" spans="2:19" ht="20.25" hidden="1" customHeight="1">
      <c r="B1674" s="17"/>
      <c r="Q1674" s="18"/>
      <c r="R1674" s="14"/>
      <c r="S1674" s="14">
        <v>1</v>
      </c>
    </row>
    <row r="1675" spans="2:19" ht="20.25" hidden="1" customHeight="1">
      <c r="B1675" s="17"/>
      <c r="Q1675" s="18"/>
      <c r="R1675" s="14"/>
      <c r="S1675" s="14">
        <v>1</v>
      </c>
    </row>
    <row r="1676" spans="2:19" ht="20.25" hidden="1" customHeight="1">
      <c r="B1676" s="17"/>
      <c r="Q1676" s="18"/>
      <c r="R1676" s="14"/>
      <c r="S1676" s="14">
        <v>1</v>
      </c>
    </row>
    <row r="1677" spans="2:19" ht="20.25" hidden="1" customHeight="1">
      <c r="B1677" s="17"/>
      <c r="Q1677" s="18"/>
      <c r="R1677" s="14"/>
      <c r="S1677" s="14">
        <v>1</v>
      </c>
    </row>
    <row r="1678" spans="2:19" ht="20.25" hidden="1" customHeight="1">
      <c r="B1678" s="17"/>
      <c r="Q1678" s="18"/>
      <c r="R1678" s="14"/>
      <c r="S1678" s="14">
        <v>1</v>
      </c>
    </row>
    <row r="1679" spans="2:19" ht="20.25" hidden="1" customHeight="1">
      <c r="B1679" s="17"/>
      <c r="Q1679" s="18"/>
      <c r="R1679" s="14"/>
      <c r="S1679" s="14">
        <v>1</v>
      </c>
    </row>
    <row r="1680" spans="2:19" ht="20.25" hidden="1" customHeight="1">
      <c r="B1680" s="17"/>
      <c r="Q1680" s="18"/>
      <c r="R1680" s="14"/>
      <c r="S1680" s="14">
        <v>1</v>
      </c>
    </row>
    <row r="1681" spans="2:19" ht="20.25" hidden="1" customHeight="1">
      <c r="B1681" s="17"/>
      <c r="Q1681" s="18"/>
      <c r="R1681" s="14"/>
      <c r="S1681" s="14">
        <v>1</v>
      </c>
    </row>
    <row r="1682" spans="2:19" ht="20.25" hidden="1" customHeight="1">
      <c r="B1682" s="17"/>
      <c r="Q1682" s="18"/>
      <c r="R1682" s="14"/>
      <c r="S1682" s="14">
        <v>1</v>
      </c>
    </row>
    <row r="1683" spans="2:19" ht="20.25" hidden="1" customHeight="1">
      <c r="B1683" s="17"/>
      <c r="Q1683" s="18"/>
      <c r="R1683" s="14"/>
      <c r="S1683" s="14">
        <v>1</v>
      </c>
    </row>
    <row r="1684" spans="2:19" ht="20.25" hidden="1" customHeight="1">
      <c r="B1684" s="17"/>
      <c r="Q1684" s="18"/>
      <c r="R1684" s="14"/>
      <c r="S1684" s="14">
        <v>1</v>
      </c>
    </row>
    <row r="1685" spans="2:19" ht="20.25" hidden="1" customHeight="1">
      <c r="B1685" s="17"/>
      <c r="Q1685" s="18"/>
      <c r="R1685" s="14"/>
      <c r="S1685" s="14">
        <v>1</v>
      </c>
    </row>
    <row r="1686" spans="2:19" ht="20.25" hidden="1" customHeight="1">
      <c r="B1686" s="17"/>
      <c r="Q1686" s="18"/>
      <c r="R1686" s="14"/>
      <c r="S1686" s="14">
        <v>1</v>
      </c>
    </row>
    <row r="1687" spans="2:19" ht="20.25" hidden="1" customHeight="1">
      <c r="B1687" s="17"/>
      <c r="Q1687" s="18"/>
      <c r="R1687" s="14"/>
      <c r="S1687" s="14">
        <v>1</v>
      </c>
    </row>
    <row r="1688" spans="2:19" ht="20.25" hidden="1" customHeight="1">
      <c r="B1688" s="17"/>
      <c r="Q1688" s="18"/>
      <c r="R1688" s="14"/>
      <c r="S1688" s="14">
        <v>1</v>
      </c>
    </row>
    <row r="1689" spans="2:19" ht="20.25" hidden="1" customHeight="1">
      <c r="B1689" s="17"/>
      <c r="Q1689" s="18"/>
      <c r="R1689" s="14"/>
      <c r="S1689" s="14">
        <v>1</v>
      </c>
    </row>
    <row r="1690" spans="2:19" ht="20.25" hidden="1" customHeight="1">
      <c r="B1690" s="17"/>
      <c r="Q1690" s="18"/>
      <c r="R1690" s="14"/>
      <c r="S1690" s="14">
        <v>1</v>
      </c>
    </row>
    <row r="1691" spans="2:19" ht="20.25" hidden="1" customHeight="1">
      <c r="B1691" s="17"/>
      <c r="Q1691" s="18"/>
      <c r="R1691" s="14"/>
      <c r="S1691" s="14">
        <v>1</v>
      </c>
    </row>
    <row r="1692" spans="2:19" ht="20.25" hidden="1" customHeight="1">
      <c r="B1692" s="17"/>
      <c r="Q1692" s="18"/>
      <c r="R1692" s="14"/>
      <c r="S1692" s="14">
        <v>1</v>
      </c>
    </row>
    <row r="1693" spans="2:19" ht="20.25" hidden="1" customHeight="1">
      <c r="B1693" s="17"/>
      <c r="Q1693" s="18"/>
      <c r="R1693" s="14"/>
      <c r="S1693" s="14">
        <v>1</v>
      </c>
    </row>
    <row r="1694" spans="2:19" ht="20.25" hidden="1" customHeight="1">
      <c r="B1694" s="17"/>
      <c r="Q1694" s="18"/>
      <c r="R1694" s="14"/>
      <c r="S1694" s="14">
        <v>1</v>
      </c>
    </row>
    <row r="1695" spans="2:19" ht="20.25" hidden="1" customHeight="1">
      <c r="B1695" s="17"/>
      <c r="Q1695" s="18"/>
      <c r="R1695" s="14"/>
      <c r="S1695" s="14">
        <v>1</v>
      </c>
    </row>
    <row r="1696" spans="2:19" ht="20.25" hidden="1" customHeight="1">
      <c r="B1696" s="17"/>
      <c r="Q1696" s="18"/>
      <c r="R1696" s="14"/>
      <c r="S1696" s="14">
        <v>1</v>
      </c>
    </row>
    <row r="1697" spans="2:19" ht="20.25" hidden="1" customHeight="1">
      <c r="B1697" s="17"/>
      <c r="Q1697" s="18"/>
      <c r="R1697" s="14"/>
      <c r="S1697" s="14">
        <v>1</v>
      </c>
    </row>
    <row r="1698" spans="2:19" ht="20.25" hidden="1" customHeight="1">
      <c r="B1698" s="17"/>
      <c r="Q1698" s="18"/>
      <c r="R1698" s="14"/>
      <c r="S1698" s="14">
        <v>1</v>
      </c>
    </row>
    <row r="1699" spans="2:19" ht="20.25" hidden="1" customHeight="1">
      <c r="B1699" s="17"/>
      <c r="Q1699" s="18"/>
      <c r="R1699" s="14"/>
      <c r="S1699" s="14">
        <v>1</v>
      </c>
    </row>
    <row r="1700" spans="2:19" ht="20.25" hidden="1" customHeight="1">
      <c r="B1700" s="17"/>
      <c r="Q1700" s="18"/>
      <c r="R1700" s="14"/>
      <c r="S1700" s="14">
        <v>1</v>
      </c>
    </row>
    <row r="1701" spans="2:19" ht="20.25" hidden="1" customHeight="1">
      <c r="B1701" s="17"/>
      <c r="Q1701" s="18"/>
      <c r="R1701" s="14"/>
      <c r="S1701" s="14">
        <v>1</v>
      </c>
    </row>
    <row r="1702" spans="2:19" ht="20.25" hidden="1" customHeight="1">
      <c r="B1702" s="17"/>
      <c r="Q1702" s="18"/>
      <c r="R1702" s="14"/>
      <c r="S1702" s="14">
        <v>1</v>
      </c>
    </row>
    <row r="1703" spans="2:19" ht="20.25" hidden="1" customHeight="1">
      <c r="B1703" s="17"/>
      <c r="Q1703" s="18"/>
      <c r="R1703" s="14"/>
      <c r="S1703" s="14">
        <v>1</v>
      </c>
    </row>
    <row r="1704" spans="2:19" ht="20.25" hidden="1" customHeight="1">
      <c r="B1704" s="17"/>
      <c r="Q1704" s="18"/>
      <c r="R1704" s="14"/>
      <c r="S1704" s="14">
        <v>1</v>
      </c>
    </row>
    <row r="1705" spans="2:19" ht="20.25" hidden="1" customHeight="1">
      <c r="B1705" s="17"/>
      <c r="Q1705" s="18"/>
      <c r="R1705" s="14"/>
      <c r="S1705" s="14">
        <v>1</v>
      </c>
    </row>
    <row r="1706" spans="2:19" ht="20.25" hidden="1" customHeight="1">
      <c r="B1706" s="17"/>
      <c r="Q1706" s="18"/>
      <c r="R1706" s="14"/>
      <c r="S1706" s="14">
        <v>1</v>
      </c>
    </row>
    <row r="1707" spans="2:19" ht="20.25" hidden="1" customHeight="1">
      <c r="B1707" s="17"/>
      <c r="Q1707" s="18"/>
      <c r="R1707" s="14"/>
      <c r="S1707" s="14">
        <v>1</v>
      </c>
    </row>
    <row r="1708" spans="2:19" ht="20.25" hidden="1" customHeight="1">
      <c r="B1708" s="17"/>
      <c r="Q1708" s="18"/>
      <c r="R1708" s="14"/>
      <c r="S1708" s="14">
        <v>1</v>
      </c>
    </row>
    <row r="1709" spans="2:19" ht="20.25" hidden="1" customHeight="1">
      <c r="B1709" s="17"/>
      <c r="Q1709" s="18"/>
      <c r="R1709" s="14"/>
      <c r="S1709" s="14">
        <v>1</v>
      </c>
    </row>
    <row r="1710" spans="2:19" ht="20.25" hidden="1" customHeight="1">
      <c r="B1710" s="17"/>
      <c r="Q1710" s="18"/>
      <c r="R1710" s="14"/>
      <c r="S1710" s="14">
        <v>1</v>
      </c>
    </row>
    <row r="1711" spans="2:19" ht="20.25" hidden="1" customHeight="1">
      <c r="B1711" s="17"/>
      <c r="Q1711" s="18"/>
      <c r="R1711" s="14"/>
      <c r="S1711" s="14">
        <v>1</v>
      </c>
    </row>
    <row r="1712" spans="2:19" ht="20.25" hidden="1" customHeight="1">
      <c r="B1712" s="17"/>
      <c r="Q1712" s="18"/>
      <c r="R1712" s="14"/>
      <c r="S1712" s="14">
        <v>1</v>
      </c>
    </row>
    <row r="1713" spans="2:19" ht="20.25" hidden="1" customHeight="1">
      <c r="B1713" s="17"/>
      <c r="Q1713" s="18"/>
      <c r="R1713" s="14"/>
      <c r="S1713" s="14">
        <v>1</v>
      </c>
    </row>
    <row r="1714" spans="2:19" ht="20.25" hidden="1" customHeight="1">
      <c r="B1714" s="17"/>
      <c r="Q1714" s="18"/>
      <c r="R1714" s="14"/>
      <c r="S1714" s="14">
        <v>1</v>
      </c>
    </row>
    <row r="1715" spans="2:19" ht="20.25" hidden="1" customHeight="1">
      <c r="B1715" s="17"/>
      <c r="Q1715" s="18"/>
      <c r="R1715" s="14"/>
      <c r="S1715" s="14">
        <v>1</v>
      </c>
    </row>
    <row r="1716" spans="2:19" ht="20.25" hidden="1" customHeight="1">
      <c r="B1716" s="17"/>
      <c r="Q1716" s="18"/>
      <c r="R1716" s="14"/>
      <c r="S1716" s="14">
        <v>1</v>
      </c>
    </row>
    <row r="1717" spans="2:19" ht="20.25" hidden="1" customHeight="1">
      <c r="B1717" s="17"/>
      <c r="Q1717" s="18"/>
      <c r="R1717" s="14"/>
      <c r="S1717" s="14">
        <v>1</v>
      </c>
    </row>
    <row r="1718" spans="2:19" ht="20.25" hidden="1" customHeight="1">
      <c r="B1718" s="17"/>
      <c r="Q1718" s="18"/>
      <c r="R1718" s="14"/>
      <c r="S1718" s="14">
        <v>1</v>
      </c>
    </row>
    <row r="1719" spans="2:19" ht="20.25" hidden="1" customHeight="1">
      <c r="B1719" s="17"/>
      <c r="Q1719" s="18"/>
      <c r="R1719" s="14"/>
      <c r="S1719" s="14">
        <v>1</v>
      </c>
    </row>
    <row r="1720" spans="2:19" ht="20.25" hidden="1" customHeight="1">
      <c r="B1720" s="17"/>
      <c r="Q1720" s="18"/>
      <c r="R1720" s="14"/>
      <c r="S1720" s="14">
        <v>1</v>
      </c>
    </row>
    <row r="1721" spans="2:19" ht="20.25" hidden="1" customHeight="1">
      <c r="B1721" s="17"/>
      <c r="Q1721" s="18"/>
      <c r="R1721" s="14"/>
      <c r="S1721" s="14">
        <v>1</v>
      </c>
    </row>
    <row r="1722" spans="2:19" ht="20.25" hidden="1" customHeight="1">
      <c r="B1722" s="17"/>
      <c r="Q1722" s="18"/>
      <c r="R1722" s="14"/>
      <c r="S1722" s="14">
        <v>1</v>
      </c>
    </row>
    <row r="1723" spans="2:19" ht="20.25" hidden="1" customHeight="1">
      <c r="B1723" s="17"/>
      <c r="Q1723" s="18"/>
      <c r="R1723" s="14"/>
      <c r="S1723" s="14">
        <v>1</v>
      </c>
    </row>
    <row r="1724" spans="2:19" ht="20.25" hidden="1" customHeight="1">
      <c r="B1724" s="17"/>
      <c r="Q1724" s="18"/>
      <c r="R1724" s="14"/>
      <c r="S1724" s="14">
        <v>1</v>
      </c>
    </row>
    <row r="1725" spans="2:19" ht="20.25" hidden="1" customHeight="1">
      <c r="B1725" s="17"/>
      <c r="Q1725" s="18"/>
      <c r="R1725" s="14"/>
      <c r="S1725" s="14">
        <v>1</v>
      </c>
    </row>
    <row r="1726" spans="2:19" ht="20.25" hidden="1" customHeight="1">
      <c r="B1726" s="17"/>
      <c r="Q1726" s="18"/>
      <c r="R1726" s="14"/>
      <c r="S1726" s="14">
        <v>1</v>
      </c>
    </row>
    <row r="1727" spans="2:19" ht="20.25" hidden="1" customHeight="1">
      <c r="B1727" s="17"/>
      <c r="Q1727" s="18"/>
      <c r="R1727" s="14"/>
      <c r="S1727" s="14">
        <v>1</v>
      </c>
    </row>
    <row r="1728" spans="2:19" ht="20.25" hidden="1" customHeight="1">
      <c r="B1728" s="17"/>
      <c r="Q1728" s="18"/>
      <c r="R1728" s="14"/>
      <c r="S1728" s="14">
        <v>1</v>
      </c>
    </row>
    <row r="1729" spans="2:19" ht="20.25" hidden="1" customHeight="1">
      <c r="B1729" s="17"/>
      <c r="Q1729" s="18"/>
      <c r="R1729" s="14"/>
      <c r="S1729" s="14">
        <v>1</v>
      </c>
    </row>
    <row r="1730" spans="2:19" ht="20.25" hidden="1" customHeight="1">
      <c r="B1730" s="17"/>
      <c r="Q1730" s="18"/>
      <c r="R1730" s="14"/>
      <c r="S1730" s="14">
        <v>1</v>
      </c>
    </row>
    <row r="1731" spans="2:19" ht="20.25" hidden="1" customHeight="1">
      <c r="B1731" s="17"/>
      <c r="Q1731" s="18"/>
      <c r="R1731" s="14"/>
      <c r="S1731" s="14">
        <v>1</v>
      </c>
    </row>
    <row r="1732" spans="2:19" ht="20.25" hidden="1" customHeight="1">
      <c r="B1732" s="17"/>
      <c r="Q1732" s="18"/>
      <c r="R1732" s="14"/>
      <c r="S1732" s="14">
        <v>1</v>
      </c>
    </row>
    <row r="1733" spans="2:19" ht="20.25" hidden="1" customHeight="1">
      <c r="B1733" s="17"/>
      <c r="Q1733" s="18"/>
      <c r="R1733" s="14"/>
      <c r="S1733" s="14">
        <v>1</v>
      </c>
    </row>
    <row r="1734" spans="2:19" ht="20.25" hidden="1" customHeight="1">
      <c r="B1734" s="17"/>
      <c r="Q1734" s="18"/>
      <c r="R1734" s="14"/>
      <c r="S1734" s="14">
        <v>1</v>
      </c>
    </row>
    <row r="1735" spans="2:19" ht="20.25" hidden="1" customHeight="1">
      <c r="B1735" s="17"/>
      <c r="Q1735" s="18"/>
      <c r="R1735" s="14"/>
      <c r="S1735" s="14">
        <v>1</v>
      </c>
    </row>
    <row r="1736" spans="2:19" ht="20.25" hidden="1" customHeight="1">
      <c r="B1736" s="17"/>
      <c r="Q1736" s="18"/>
      <c r="R1736" s="14"/>
      <c r="S1736" s="14">
        <v>1</v>
      </c>
    </row>
    <row r="1737" spans="2:19" ht="20.25" hidden="1" customHeight="1">
      <c r="B1737" s="17"/>
      <c r="Q1737" s="18"/>
      <c r="R1737" s="14"/>
      <c r="S1737" s="14">
        <v>1</v>
      </c>
    </row>
    <row r="1738" spans="2:19" ht="20.25" hidden="1" customHeight="1">
      <c r="B1738" s="17"/>
      <c r="Q1738" s="18"/>
      <c r="R1738" s="14"/>
      <c r="S1738" s="14">
        <v>1</v>
      </c>
    </row>
    <row r="1739" spans="2:19" ht="20.25" hidden="1" customHeight="1">
      <c r="B1739" s="17"/>
      <c r="Q1739" s="18"/>
      <c r="R1739" s="14"/>
      <c r="S1739" s="14">
        <v>1</v>
      </c>
    </row>
    <row r="1740" spans="2:19" ht="20.25" hidden="1" customHeight="1">
      <c r="B1740" s="17"/>
      <c r="Q1740" s="18"/>
      <c r="R1740" s="14"/>
      <c r="S1740" s="14">
        <v>1</v>
      </c>
    </row>
    <row r="1741" spans="2:19" ht="20.25" hidden="1" customHeight="1">
      <c r="B1741" s="17"/>
      <c r="Q1741" s="18"/>
      <c r="R1741" s="14"/>
      <c r="S1741" s="14">
        <v>1</v>
      </c>
    </row>
    <row r="1742" spans="2:19" ht="20.25" hidden="1" customHeight="1">
      <c r="B1742" s="17"/>
      <c r="Q1742" s="18"/>
      <c r="R1742" s="14"/>
      <c r="S1742" s="14">
        <v>1</v>
      </c>
    </row>
    <row r="1743" spans="2:19" ht="20.25" hidden="1" customHeight="1">
      <c r="B1743" s="17"/>
      <c r="Q1743" s="18"/>
      <c r="R1743" s="14"/>
      <c r="S1743" s="14">
        <v>1</v>
      </c>
    </row>
    <row r="1744" spans="2:19" ht="20.25" hidden="1" customHeight="1">
      <c r="B1744" s="17"/>
      <c r="Q1744" s="18"/>
      <c r="R1744" s="14"/>
      <c r="S1744" s="14">
        <v>1</v>
      </c>
    </row>
    <row r="1745" spans="2:19" ht="20.25" hidden="1" customHeight="1">
      <c r="B1745" s="17"/>
      <c r="Q1745" s="18"/>
      <c r="R1745" s="14"/>
      <c r="S1745" s="14">
        <v>1</v>
      </c>
    </row>
    <row r="1746" spans="2:19" ht="20.25" hidden="1" customHeight="1">
      <c r="B1746" s="17"/>
      <c r="Q1746" s="18"/>
      <c r="R1746" s="14"/>
      <c r="S1746" s="14">
        <v>1</v>
      </c>
    </row>
    <row r="1747" spans="2:19" ht="20.25" hidden="1" customHeight="1">
      <c r="B1747" s="17"/>
      <c r="Q1747" s="18"/>
      <c r="R1747" s="14"/>
      <c r="S1747" s="14">
        <v>1</v>
      </c>
    </row>
    <row r="1748" spans="2:19" ht="20.25" hidden="1" customHeight="1">
      <c r="B1748" s="17"/>
      <c r="Q1748" s="18"/>
      <c r="R1748" s="14"/>
      <c r="S1748" s="14">
        <v>1</v>
      </c>
    </row>
    <row r="1749" spans="2:19" ht="20.25" hidden="1" customHeight="1">
      <c r="B1749" s="17"/>
      <c r="Q1749" s="18"/>
      <c r="R1749" s="14"/>
      <c r="S1749" s="14">
        <v>1</v>
      </c>
    </row>
    <row r="1750" spans="2:19" ht="20.25" hidden="1" customHeight="1">
      <c r="B1750" s="17"/>
      <c r="Q1750" s="18"/>
      <c r="R1750" s="14"/>
      <c r="S1750" s="14">
        <v>1</v>
      </c>
    </row>
    <row r="1751" spans="2:19" ht="20.25" hidden="1" customHeight="1">
      <c r="B1751" s="17"/>
      <c r="Q1751" s="18"/>
      <c r="R1751" s="14"/>
      <c r="S1751" s="14">
        <v>1</v>
      </c>
    </row>
    <row r="1752" spans="2:19" ht="20.25" hidden="1" customHeight="1">
      <c r="B1752" s="17"/>
      <c r="Q1752" s="18"/>
      <c r="R1752" s="14"/>
      <c r="S1752" s="14">
        <v>1</v>
      </c>
    </row>
    <row r="1753" spans="2:19" ht="20.25" hidden="1" customHeight="1">
      <c r="B1753" s="17"/>
      <c r="Q1753" s="18"/>
      <c r="R1753" s="14"/>
      <c r="S1753" s="14">
        <v>1</v>
      </c>
    </row>
    <row r="1754" spans="2:19" ht="20.25" hidden="1" customHeight="1">
      <c r="B1754" s="17"/>
      <c r="Q1754" s="18"/>
      <c r="R1754" s="14"/>
      <c r="S1754" s="14">
        <v>1</v>
      </c>
    </row>
    <row r="1755" spans="2:19" ht="20.25" hidden="1" customHeight="1">
      <c r="B1755" s="17"/>
      <c r="Q1755" s="18"/>
      <c r="R1755" s="14"/>
      <c r="S1755" s="14">
        <v>1</v>
      </c>
    </row>
    <row r="1756" spans="2:19" ht="20.25" hidden="1" customHeight="1">
      <c r="B1756" s="17"/>
      <c r="Q1756" s="18"/>
      <c r="R1756" s="14"/>
      <c r="S1756" s="14">
        <v>1</v>
      </c>
    </row>
    <row r="1757" spans="2:19" ht="20.25" hidden="1" customHeight="1">
      <c r="B1757" s="17"/>
      <c r="Q1757" s="18"/>
      <c r="R1757" s="14"/>
      <c r="S1757" s="14">
        <v>1</v>
      </c>
    </row>
    <row r="1758" spans="2:19" ht="20.25" hidden="1" customHeight="1">
      <c r="B1758" s="17"/>
      <c r="Q1758" s="18"/>
      <c r="R1758" s="14"/>
      <c r="S1758" s="14">
        <v>1</v>
      </c>
    </row>
    <row r="1759" spans="2:19" ht="20.25" hidden="1" customHeight="1">
      <c r="B1759" s="17"/>
      <c r="Q1759" s="18"/>
      <c r="R1759" s="14"/>
      <c r="S1759" s="14">
        <v>1</v>
      </c>
    </row>
    <row r="1760" spans="2:19" ht="20.25" hidden="1" customHeight="1">
      <c r="B1760" s="17"/>
      <c r="Q1760" s="18"/>
      <c r="R1760" s="14"/>
      <c r="S1760" s="14">
        <v>1</v>
      </c>
    </row>
    <row r="1761" spans="2:19" ht="20.25" hidden="1" customHeight="1">
      <c r="B1761" s="17"/>
      <c r="Q1761" s="18"/>
      <c r="R1761" s="14"/>
      <c r="S1761" s="14">
        <v>1</v>
      </c>
    </row>
    <row r="1762" spans="2:19" ht="20.25" hidden="1" customHeight="1">
      <c r="B1762" s="17"/>
      <c r="Q1762" s="18"/>
      <c r="R1762" s="14"/>
      <c r="S1762" s="14">
        <v>1</v>
      </c>
    </row>
    <row r="1763" spans="2:19" ht="20.25" hidden="1" customHeight="1">
      <c r="B1763" s="17"/>
      <c r="Q1763" s="18"/>
      <c r="R1763" s="14"/>
      <c r="S1763" s="14">
        <v>1</v>
      </c>
    </row>
    <row r="1764" spans="2:19" ht="20.25" hidden="1" customHeight="1">
      <c r="B1764" s="17"/>
      <c r="Q1764" s="18"/>
      <c r="R1764" s="14"/>
      <c r="S1764" s="14">
        <v>1</v>
      </c>
    </row>
    <row r="1765" spans="2:19" ht="20.25" hidden="1" customHeight="1">
      <c r="B1765" s="17"/>
      <c r="Q1765" s="18"/>
      <c r="R1765" s="14"/>
      <c r="S1765" s="14">
        <v>1</v>
      </c>
    </row>
    <row r="1766" spans="2:19" ht="20.25" hidden="1" customHeight="1">
      <c r="B1766" s="17"/>
      <c r="Q1766" s="18"/>
      <c r="R1766" s="14"/>
      <c r="S1766" s="14">
        <v>1</v>
      </c>
    </row>
    <row r="1767" spans="2:19" ht="20.25" hidden="1" customHeight="1">
      <c r="B1767" s="17"/>
      <c r="Q1767" s="18"/>
      <c r="R1767" s="14"/>
      <c r="S1767" s="14">
        <v>1</v>
      </c>
    </row>
    <row r="1768" spans="2:19" ht="20.25" hidden="1" customHeight="1">
      <c r="B1768" s="17"/>
      <c r="Q1768" s="18"/>
      <c r="R1768" s="14"/>
      <c r="S1768" s="14">
        <v>1</v>
      </c>
    </row>
    <row r="1769" spans="2:19" ht="20.25" hidden="1" customHeight="1">
      <c r="B1769" s="17"/>
      <c r="Q1769" s="18"/>
      <c r="R1769" s="14"/>
      <c r="S1769" s="14">
        <v>1</v>
      </c>
    </row>
    <row r="1770" spans="2:19" ht="20.25" hidden="1" customHeight="1">
      <c r="B1770" s="17"/>
      <c r="Q1770" s="18"/>
      <c r="R1770" s="14"/>
      <c r="S1770" s="14">
        <v>1</v>
      </c>
    </row>
    <row r="1771" spans="2:19" ht="20.25" hidden="1" customHeight="1">
      <c r="B1771" s="17"/>
      <c r="Q1771" s="18"/>
      <c r="R1771" s="14"/>
      <c r="S1771" s="14">
        <v>1</v>
      </c>
    </row>
    <row r="1772" spans="2:19" ht="20.25" hidden="1" customHeight="1">
      <c r="B1772" s="17"/>
      <c r="Q1772" s="18"/>
      <c r="R1772" s="14"/>
      <c r="S1772" s="14">
        <v>1</v>
      </c>
    </row>
    <row r="1773" spans="2:19" ht="20.25" hidden="1" customHeight="1">
      <c r="B1773" s="17"/>
      <c r="Q1773" s="18"/>
      <c r="R1773" s="14"/>
      <c r="S1773" s="14">
        <v>1</v>
      </c>
    </row>
    <row r="1774" spans="2:19" ht="20.25" hidden="1" customHeight="1">
      <c r="B1774" s="17"/>
      <c r="Q1774" s="18"/>
      <c r="R1774" s="14"/>
      <c r="S1774" s="14">
        <v>1</v>
      </c>
    </row>
    <row r="1775" spans="2:19" ht="20.25" hidden="1" customHeight="1">
      <c r="B1775" s="17"/>
      <c r="Q1775" s="18"/>
      <c r="R1775" s="14"/>
      <c r="S1775" s="14">
        <v>1</v>
      </c>
    </row>
    <row r="1776" spans="2:19" ht="20.25" hidden="1" customHeight="1">
      <c r="B1776" s="17"/>
      <c r="Q1776" s="18"/>
      <c r="R1776" s="14"/>
      <c r="S1776" s="14">
        <v>1</v>
      </c>
    </row>
    <row r="1777" spans="2:19" ht="20.25" hidden="1" customHeight="1">
      <c r="B1777" s="17"/>
      <c r="Q1777" s="18"/>
      <c r="R1777" s="14"/>
      <c r="S1777" s="14">
        <v>1</v>
      </c>
    </row>
    <row r="1778" spans="2:19" ht="20.25" hidden="1" customHeight="1">
      <c r="B1778" s="17"/>
      <c r="Q1778" s="18"/>
      <c r="R1778" s="14"/>
      <c r="S1778" s="14">
        <v>1</v>
      </c>
    </row>
    <row r="1779" spans="2:19" ht="20.25" hidden="1" customHeight="1">
      <c r="B1779" s="17"/>
      <c r="Q1779" s="18"/>
      <c r="R1779" s="14"/>
      <c r="S1779" s="14">
        <v>1</v>
      </c>
    </row>
    <row r="1780" spans="2:19" ht="20.25" hidden="1" customHeight="1">
      <c r="B1780" s="17"/>
      <c r="Q1780" s="18"/>
      <c r="R1780" s="14"/>
      <c r="S1780" s="14">
        <v>1</v>
      </c>
    </row>
    <row r="1781" spans="2:19" ht="20.25" hidden="1" customHeight="1">
      <c r="B1781" s="17"/>
      <c r="Q1781" s="18"/>
      <c r="R1781" s="14"/>
      <c r="S1781" s="14">
        <v>1</v>
      </c>
    </row>
    <row r="1782" spans="2:19" ht="20.25" hidden="1" customHeight="1">
      <c r="B1782" s="17"/>
      <c r="Q1782" s="18"/>
      <c r="R1782" s="14"/>
      <c r="S1782" s="14">
        <v>1</v>
      </c>
    </row>
    <row r="1783" spans="2:19" ht="20.25" hidden="1" customHeight="1">
      <c r="B1783" s="17"/>
      <c r="Q1783" s="18"/>
      <c r="R1783" s="14"/>
      <c r="S1783" s="14">
        <v>1</v>
      </c>
    </row>
    <row r="1784" spans="2:19" ht="20.25" hidden="1" customHeight="1">
      <c r="B1784" s="17"/>
      <c r="Q1784" s="18"/>
      <c r="R1784" s="14"/>
      <c r="S1784" s="14">
        <v>1</v>
      </c>
    </row>
    <row r="1785" spans="2:19" ht="20.25" hidden="1" customHeight="1">
      <c r="B1785" s="17"/>
      <c r="Q1785" s="18"/>
      <c r="R1785" s="14"/>
      <c r="S1785" s="14">
        <v>1</v>
      </c>
    </row>
    <row r="1786" spans="2:19" ht="20.25" hidden="1" customHeight="1">
      <c r="B1786" s="17"/>
      <c r="Q1786" s="18"/>
      <c r="R1786" s="14"/>
      <c r="S1786" s="14">
        <v>1</v>
      </c>
    </row>
    <row r="1787" spans="2:19" ht="20.25" hidden="1" customHeight="1">
      <c r="B1787" s="17"/>
      <c r="Q1787" s="18"/>
      <c r="R1787" s="14"/>
      <c r="S1787" s="14">
        <v>1</v>
      </c>
    </row>
    <row r="1788" spans="2:19" ht="20.25" hidden="1" customHeight="1">
      <c r="B1788" s="17"/>
      <c r="Q1788" s="18"/>
      <c r="R1788" s="14"/>
      <c r="S1788" s="14">
        <v>1</v>
      </c>
    </row>
    <row r="1789" spans="2:19" ht="20.25" hidden="1" customHeight="1">
      <c r="B1789" s="17"/>
      <c r="Q1789" s="18"/>
      <c r="R1789" s="14"/>
      <c r="S1789" s="14">
        <v>1</v>
      </c>
    </row>
    <row r="1790" spans="2:19" ht="20.25" hidden="1" customHeight="1">
      <c r="B1790" s="17"/>
      <c r="Q1790" s="18"/>
      <c r="R1790" s="14"/>
      <c r="S1790" s="14">
        <v>1</v>
      </c>
    </row>
    <row r="1791" spans="2:19" ht="20.25" hidden="1" customHeight="1">
      <c r="B1791" s="17"/>
      <c r="Q1791" s="18"/>
      <c r="R1791" s="14"/>
      <c r="S1791" s="14">
        <v>1</v>
      </c>
    </row>
    <row r="1792" spans="2:19" ht="20.25" hidden="1" customHeight="1">
      <c r="B1792" s="17"/>
      <c r="Q1792" s="18"/>
      <c r="R1792" s="14"/>
      <c r="S1792" s="14">
        <v>1</v>
      </c>
    </row>
    <row r="1793" spans="2:19" ht="20.25" hidden="1" customHeight="1">
      <c r="B1793" s="17"/>
      <c r="Q1793" s="18"/>
      <c r="R1793" s="14"/>
      <c r="S1793" s="14">
        <v>1</v>
      </c>
    </row>
    <row r="1794" spans="2:19" ht="20.25" hidden="1" customHeight="1">
      <c r="B1794" s="17"/>
      <c r="Q1794" s="18"/>
      <c r="R1794" s="14"/>
      <c r="S1794" s="14">
        <v>1</v>
      </c>
    </row>
    <row r="1795" spans="2:19" ht="20.25" hidden="1" customHeight="1">
      <c r="B1795" s="17"/>
      <c r="Q1795" s="18"/>
      <c r="R1795" s="14"/>
      <c r="S1795" s="14">
        <v>1</v>
      </c>
    </row>
    <row r="1796" spans="2:19" ht="20.25" hidden="1" customHeight="1">
      <c r="B1796" s="17"/>
      <c r="Q1796" s="18"/>
      <c r="R1796" s="14"/>
      <c r="S1796" s="14">
        <v>1</v>
      </c>
    </row>
    <row r="1797" spans="2:19" ht="20.25" hidden="1" customHeight="1">
      <c r="B1797" s="17"/>
      <c r="Q1797" s="18"/>
      <c r="R1797" s="14"/>
      <c r="S1797" s="14">
        <v>1</v>
      </c>
    </row>
    <row r="1798" spans="2:19" ht="20.25" hidden="1" customHeight="1">
      <c r="B1798" s="17"/>
      <c r="Q1798" s="18"/>
      <c r="R1798" s="14"/>
      <c r="S1798" s="14">
        <v>1</v>
      </c>
    </row>
    <row r="1799" spans="2:19" ht="20.25" hidden="1" customHeight="1">
      <c r="B1799" s="17"/>
      <c r="Q1799" s="18"/>
      <c r="R1799" s="14"/>
      <c r="S1799" s="14">
        <v>1</v>
      </c>
    </row>
    <row r="1800" spans="2:19" ht="20.25" hidden="1" customHeight="1">
      <c r="B1800" s="17"/>
      <c r="Q1800" s="18"/>
      <c r="R1800" s="14"/>
      <c r="S1800" s="14">
        <v>1</v>
      </c>
    </row>
    <row r="1801" spans="2:19" ht="20.25" hidden="1" customHeight="1">
      <c r="B1801" s="17"/>
      <c r="Q1801" s="18"/>
      <c r="R1801" s="14"/>
      <c r="S1801" s="14">
        <v>1</v>
      </c>
    </row>
    <row r="1802" spans="2:19" ht="20.25" hidden="1" customHeight="1">
      <c r="B1802" s="17"/>
      <c r="Q1802" s="18"/>
      <c r="R1802" s="14"/>
      <c r="S1802" s="14">
        <v>1</v>
      </c>
    </row>
    <row r="1803" spans="2:19" ht="20.25" hidden="1" customHeight="1">
      <c r="B1803" s="17"/>
      <c r="Q1803" s="18"/>
      <c r="R1803" s="14"/>
      <c r="S1803" s="14">
        <v>1</v>
      </c>
    </row>
    <row r="1804" spans="2:19" ht="20.25" hidden="1" customHeight="1">
      <c r="B1804" s="17"/>
      <c r="Q1804" s="18"/>
      <c r="R1804" s="14"/>
      <c r="S1804" s="14">
        <v>1</v>
      </c>
    </row>
    <row r="1805" spans="2:19" ht="20.25" hidden="1" customHeight="1">
      <c r="B1805" s="17"/>
      <c r="Q1805" s="18"/>
      <c r="R1805" s="14"/>
      <c r="S1805" s="14">
        <v>1</v>
      </c>
    </row>
    <row r="1806" spans="2:19" ht="20.25" hidden="1" customHeight="1">
      <c r="B1806" s="17"/>
      <c r="Q1806" s="18"/>
      <c r="R1806" s="14"/>
      <c r="S1806" s="14">
        <v>1</v>
      </c>
    </row>
    <row r="1807" spans="2:19" ht="20.25" hidden="1" customHeight="1">
      <c r="B1807" s="17"/>
      <c r="Q1807" s="18"/>
      <c r="R1807" s="14"/>
      <c r="S1807" s="14">
        <v>1</v>
      </c>
    </row>
    <row r="1808" spans="2:19" ht="20.25" hidden="1" customHeight="1">
      <c r="B1808" s="17"/>
      <c r="Q1808" s="18"/>
      <c r="R1808" s="14"/>
      <c r="S1808" s="14">
        <v>1</v>
      </c>
    </row>
    <row r="1809" spans="2:19" ht="20.25" hidden="1" customHeight="1">
      <c r="B1809" s="17"/>
      <c r="Q1809" s="18"/>
      <c r="R1809" s="14"/>
      <c r="S1809" s="14">
        <v>1</v>
      </c>
    </row>
    <row r="1810" spans="2:19" ht="20.25" hidden="1" customHeight="1">
      <c r="B1810" s="17"/>
      <c r="Q1810" s="18"/>
      <c r="R1810" s="14"/>
      <c r="S1810" s="14">
        <v>1</v>
      </c>
    </row>
    <row r="1811" spans="2:19" ht="20.25" hidden="1" customHeight="1">
      <c r="B1811" s="17"/>
      <c r="Q1811" s="18"/>
      <c r="R1811" s="14"/>
      <c r="S1811" s="14">
        <v>1</v>
      </c>
    </row>
    <row r="1812" spans="2:19" ht="20.25" hidden="1" customHeight="1">
      <c r="B1812" s="17"/>
      <c r="Q1812" s="18"/>
      <c r="R1812" s="14"/>
      <c r="S1812" s="14">
        <v>1</v>
      </c>
    </row>
    <row r="1813" spans="2:19" ht="20.25" hidden="1" customHeight="1">
      <c r="B1813" s="17"/>
      <c r="Q1813" s="18"/>
      <c r="R1813" s="14"/>
      <c r="S1813" s="14">
        <v>1</v>
      </c>
    </row>
    <row r="1814" spans="2:19" ht="20.25" hidden="1" customHeight="1">
      <c r="B1814" s="17"/>
      <c r="Q1814" s="18"/>
      <c r="R1814" s="14"/>
      <c r="S1814" s="14">
        <v>1</v>
      </c>
    </row>
    <row r="1815" spans="2:19" ht="20.25" hidden="1" customHeight="1">
      <c r="B1815" s="17"/>
      <c r="Q1815" s="18"/>
      <c r="R1815" s="14"/>
      <c r="S1815" s="14">
        <v>1</v>
      </c>
    </row>
    <row r="1816" spans="2:19" ht="20.25" hidden="1" customHeight="1">
      <c r="B1816" s="17"/>
      <c r="Q1816" s="18"/>
      <c r="R1816" s="14"/>
      <c r="S1816" s="14">
        <v>1</v>
      </c>
    </row>
    <row r="1817" spans="2:19" ht="20.25" hidden="1" customHeight="1">
      <c r="B1817" s="17"/>
      <c r="Q1817" s="18"/>
      <c r="R1817" s="14"/>
      <c r="S1817" s="14">
        <v>1</v>
      </c>
    </row>
    <row r="1818" spans="2:19" ht="20.25" hidden="1" customHeight="1">
      <c r="B1818" s="17"/>
      <c r="Q1818" s="18"/>
      <c r="R1818" s="14"/>
      <c r="S1818" s="14">
        <v>1</v>
      </c>
    </row>
    <row r="1819" spans="2:19" ht="20.25" hidden="1" customHeight="1">
      <c r="B1819" s="17"/>
      <c r="Q1819" s="18"/>
      <c r="R1819" s="14"/>
      <c r="S1819" s="14">
        <v>1</v>
      </c>
    </row>
    <row r="1820" spans="2:19" ht="20.25" hidden="1" customHeight="1">
      <c r="B1820" s="17"/>
      <c r="Q1820" s="18"/>
      <c r="R1820" s="14"/>
      <c r="S1820" s="14">
        <v>1</v>
      </c>
    </row>
    <row r="1821" spans="2:19" ht="20.25" hidden="1" customHeight="1">
      <c r="B1821" s="17"/>
      <c r="Q1821" s="18"/>
      <c r="R1821" s="14"/>
      <c r="S1821" s="14">
        <v>1</v>
      </c>
    </row>
    <row r="1822" spans="2:19" ht="20.25" hidden="1" customHeight="1">
      <c r="B1822" s="17"/>
      <c r="Q1822" s="18"/>
      <c r="R1822" s="14"/>
      <c r="S1822" s="14">
        <v>1</v>
      </c>
    </row>
    <row r="1823" spans="2:19" ht="20.25" hidden="1" customHeight="1">
      <c r="B1823" s="17"/>
      <c r="Q1823" s="18"/>
      <c r="R1823" s="14"/>
      <c r="S1823" s="14">
        <v>1</v>
      </c>
    </row>
    <row r="1824" spans="2:19" ht="20.25" hidden="1" customHeight="1">
      <c r="B1824" s="17"/>
      <c r="Q1824" s="18"/>
      <c r="R1824" s="14"/>
      <c r="S1824" s="14">
        <v>1</v>
      </c>
    </row>
    <row r="1825" spans="2:19" ht="20.25" hidden="1" customHeight="1">
      <c r="B1825" s="17"/>
      <c r="Q1825" s="18"/>
      <c r="R1825" s="14"/>
      <c r="S1825" s="14">
        <v>1</v>
      </c>
    </row>
    <row r="1826" spans="2:19" ht="20.25" hidden="1" customHeight="1">
      <c r="B1826" s="17"/>
      <c r="Q1826" s="18"/>
      <c r="R1826" s="14"/>
      <c r="S1826" s="14">
        <v>1</v>
      </c>
    </row>
    <row r="1827" spans="2:19" ht="20.25" hidden="1" customHeight="1">
      <c r="B1827" s="17"/>
      <c r="Q1827" s="18"/>
      <c r="R1827" s="14"/>
      <c r="S1827" s="14">
        <v>1</v>
      </c>
    </row>
    <row r="1828" spans="2:19" ht="20.25" hidden="1" customHeight="1">
      <c r="B1828" s="17"/>
      <c r="Q1828" s="18"/>
      <c r="R1828" s="14"/>
      <c r="S1828" s="14">
        <v>1</v>
      </c>
    </row>
    <row r="1829" spans="2:19" ht="20.25" hidden="1" customHeight="1">
      <c r="B1829" s="17"/>
      <c r="Q1829" s="18"/>
      <c r="R1829" s="14"/>
      <c r="S1829" s="14">
        <v>1</v>
      </c>
    </row>
    <row r="1830" spans="2:19" ht="20.25" hidden="1" customHeight="1">
      <c r="B1830" s="17"/>
      <c r="Q1830" s="18"/>
      <c r="R1830" s="14"/>
      <c r="S1830" s="14">
        <v>1</v>
      </c>
    </row>
    <row r="1831" spans="2:19" ht="20.25" hidden="1" customHeight="1">
      <c r="B1831" s="17"/>
      <c r="Q1831" s="18"/>
      <c r="R1831" s="14"/>
      <c r="S1831" s="14">
        <v>1</v>
      </c>
    </row>
    <row r="1832" spans="2:19" ht="20.25" hidden="1" customHeight="1">
      <c r="B1832" s="17"/>
      <c r="Q1832" s="18"/>
      <c r="R1832" s="14"/>
      <c r="S1832" s="14">
        <v>1</v>
      </c>
    </row>
    <row r="1833" spans="2:19" ht="20.25" hidden="1" customHeight="1">
      <c r="B1833" s="17"/>
      <c r="Q1833" s="18"/>
      <c r="R1833" s="14"/>
      <c r="S1833" s="14">
        <v>1</v>
      </c>
    </row>
    <row r="1834" spans="2:19" ht="20.25" hidden="1" customHeight="1">
      <c r="B1834" s="17"/>
      <c r="Q1834" s="18"/>
      <c r="R1834" s="14"/>
      <c r="S1834" s="14">
        <v>1</v>
      </c>
    </row>
    <row r="1835" spans="2:19" ht="20.25" hidden="1" customHeight="1">
      <c r="B1835" s="17"/>
      <c r="Q1835" s="18"/>
      <c r="R1835" s="14"/>
      <c r="S1835" s="14">
        <v>1</v>
      </c>
    </row>
    <row r="1836" spans="2:19" ht="20.25" hidden="1" customHeight="1">
      <c r="B1836" s="17"/>
      <c r="Q1836" s="18"/>
      <c r="R1836" s="14"/>
      <c r="S1836" s="14">
        <v>1</v>
      </c>
    </row>
    <row r="1837" spans="2:19" ht="20.25" hidden="1" customHeight="1">
      <c r="B1837" s="17"/>
      <c r="Q1837" s="18"/>
      <c r="R1837" s="14"/>
      <c r="S1837" s="14">
        <v>1</v>
      </c>
    </row>
    <row r="1838" spans="2:19" ht="20.25" hidden="1" customHeight="1">
      <c r="B1838" s="17"/>
      <c r="Q1838" s="18"/>
      <c r="R1838" s="14"/>
      <c r="S1838" s="14">
        <v>1</v>
      </c>
    </row>
    <row r="1839" spans="2:19" ht="20.25" hidden="1" customHeight="1">
      <c r="B1839" s="17"/>
      <c r="Q1839" s="18"/>
      <c r="R1839" s="14"/>
      <c r="S1839" s="14">
        <v>1</v>
      </c>
    </row>
    <row r="1840" spans="2:19" ht="20.25" hidden="1" customHeight="1">
      <c r="B1840" s="17"/>
      <c r="Q1840" s="18"/>
      <c r="R1840" s="14"/>
      <c r="S1840" s="14">
        <v>1</v>
      </c>
    </row>
    <row r="1841" spans="2:19" ht="20.25" hidden="1" customHeight="1">
      <c r="B1841" s="17"/>
      <c r="Q1841" s="18"/>
      <c r="R1841" s="14"/>
      <c r="S1841" s="14">
        <v>1</v>
      </c>
    </row>
    <row r="1842" spans="2:19" ht="20.25" hidden="1" customHeight="1">
      <c r="B1842" s="17"/>
      <c r="Q1842" s="18"/>
      <c r="R1842" s="14"/>
      <c r="S1842" s="14">
        <v>1</v>
      </c>
    </row>
    <row r="1843" spans="2:19" ht="20.25" hidden="1" customHeight="1">
      <c r="B1843" s="17"/>
      <c r="Q1843" s="18"/>
      <c r="R1843" s="14"/>
      <c r="S1843" s="14">
        <v>1</v>
      </c>
    </row>
    <row r="1844" spans="2:19" ht="20.25" hidden="1" customHeight="1">
      <c r="B1844" s="17"/>
      <c r="Q1844" s="18"/>
      <c r="R1844" s="14"/>
      <c r="S1844" s="14">
        <v>1</v>
      </c>
    </row>
    <row r="1845" spans="2:19" ht="20.25" hidden="1" customHeight="1">
      <c r="B1845" s="17"/>
      <c r="Q1845" s="18"/>
      <c r="R1845" s="14"/>
      <c r="S1845" s="14">
        <v>1</v>
      </c>
    </row>
    <row r="1846" spans="2:19" ht="20.25" hidden="1" customHeight="1">
      <c r="B1846" s="17"/>
      <c r="Q1846" s="18"/>
      <c r="R1846" s="14"/>
      <c r="S1846" s="14">
        <v>1</v>
      </c>
    </row>
    <row r="1847" spans="2:19" ht="20.25" hidden="1" customHeight="1">
      <c r="B1847" s="17"/>
      <c r="Q1847" s="18"/>
      <c r="R1847" s="14"/>
      <c r="S1847" s="14">
        <v>1</v>
      </c>
    </row>
    <row r="1848" spans="2:19" ht="20.25" hidden="1" customHeight="1">
      <c r="B1848" s="17"/>
      <c r="Q1848" s="18"/>
      <c r="R1848" s="14"/>
      <c r="S1848" s="14">
        <v>1</v>
      </c>
    </row>
    <row r="1849" spans="2:19" ht="20.25" hidden="1" customHeight="1">
      <c r="B1849" s="17"/>
      <c r="Q1849" s="18"/>
      <c r="R1849" s="14"/>
      <c r="S1849" s="14">
        <v>1</v>
      </c>
    </row>
    <row r="1850" spans="2:19" ht="20.25" hidden="1" customHeight="1">
      <c r="B1850" s="17"/>
      <c r="Q1850" s="18"/>
      <c r="R1850" s="14"/>
      <c r="S1850" s="14">
        <v>1</v>
      </c>
    </row>
    <row r="1851" spans="2:19" ht="20.25" hidden="1" customHeight="1">
      <c r="B1851" s="17"/>
      <c r="Q1851" s="18"/>
      <c r="R1851" s="14"/>
      <c r="S1851" s="14">
        <v>1</v>
      </c>
    </row>
    <row r="1852" spans="2:19" ht="20.25" hidden="1" customHeight="1">
      <c r="B1852" s="17"/>
      <c r="Q1852" s="18"/>
      <c r="R1852" s="14"/>
      <c r="S1852" s="14">
        <v>1</v>
      </c>
    </row>
    <row r="1853" spans="2:19" ht="20.25" hidden="1" customHeight="1">
      <c r="B1853" s="17"/>
      <c r="Q1853" s="18"/>
      <c r="R1853" s="14"/>
      <c r="S1853" s="14">
        <v>1</v>
      </c>
    </row>
    <row r="1854" spans="2:19" ht="20.25" hidden="1" customHeight="1">
      <c r="B1854" s="17"/>
      <c r="Q1854" s="18"/>
      <c r="R1854" s="14"/>
      <c r="S1854" s="14">
        <v>1</v>
      </c>
    </row>
    <row r="1855" spans="2:19" ht="20.25" hidden="1" customHeight="1">
      <c r="B1855" s="17"/>
      <c r="Q1855" s="18"/>
      <c r="R1855" s="14"/>
      <c r="S1855" s="14">
        <v>1</v>
      </c>
    </row>
    <row r="1856" spans="2:19" ht="20.25" hidden="1" customHeight="1">
      <c r="B1856" s="17"/>
      <c r="Q1856" s="18"/>
      <c r="R1856" s="14"/>
      <c r="S1856" s="14">
        <v>1</v>
      </c>
    </row>
    <row r="1857" spans="2:19" ht="20.25" hidden="1" customHeight="1">
      <c r="B1857" s="17"/>
      <c r="Q1857" s="18"/>
      <c r="R1857" s="14"/>
      <c r="S1857" s="14">
        <v>1</v>
      </c>
    </row>
    <row r="1858" spans="2:19" ht="20.25" hidden="1" customHeight="1">
      <c r="B1858" s="17"/>
      <c r="Q1858" s="18"/>
      <c r="R1858" s="14"/>
      <c r="S1858" s="14">
        <v>1</v>
      </c>
    </row>
    <row r="1859" spans="2:19" ht="20.25" hidden="1" customHeight="1">
      <c r="B1859" s="17"/>
      <c r="Q1859" s="18"/>
      <c r="R1859" s="14"/>
      <c r="S1859" s="14">
        <v>1</v>
      </c>
    </row>
    <row r="1860" spans="2:19" ht="20.25" hidden="1" customHeight="1">
      <c r="B1860" s="17"/>
      <c r="Q1860" s="18"/>
      <c r="R1860" s="14"/>
      <c r="S1860" s="14">
        <v>1</v>
      </c>
    </row>
    <row r="1861" spans="2:19" ht="20.25" hidden="1" customHeight="1">
      <c r="B1861" s="17"/>
      <c r="Q1861" s="18"/>
      <c r="R1861" s="14"/>
      <c r="S1861" s="14">
        <v>1</v>
      </c>
    </row>
    <row r="1862" spans="2:19" ht="20.25" hidden="1" customHeight="1">
      <c r="B1862" s="17"/>
      <c r="Q1862" s="18"/>
      <c r="R1862" s="14"/>
      <c r="S1862" s="14">
        <v>1</v>
      </c>
    </row>
    <row r="1863" spans="2:19" ht="20.25" hidden="1" customHeight="1">
      <c r="B1863" s="17"/>
      <c r="Q1863" s="18"/>
      <c r="R1863" s="14"/>
      <c r="S1863" s="14">
        <v>1</v>
      </c>
    </row>
    <row r="1864" spans="2:19" ht="20.25" hidden="1" customHeight="1">
      <c r="B1864" s="17"/>
      <c r="Q1864" s="18"/>
      <c r="R1864" s="14"/>
      <c r="S1864" s="14">
        <v>1</v>
      </c>
    </row>
    <row r="1865" spans="2:19" ht="20.25" hidden="1" customHeight="1">
      <c r="B1865" s="17"/>
      <c r="Q1865" s="18"/>
      <c r="R1865" s="14"/>
      <c r="S1865" s="14">
        <v>1</v>
      </c>
    </row>
    <row r="1866" spans="2:19" ht="20.25" hidden="1" customHeight="1">
      <c r="B1866" s="17"/>
      <c r="Q1866" s="18"/>
      <c r="R1866" s="14"/>
      <c r="S1866" s="14">
        <v>1</v>
      </c>
    </row>
    <row r="1867" spans="2:19" ht="20.25" hidden="1" customHeight="1">
      <c r="B1867" s="17"/>
      <c r="Q1867" s="18"/>
      <c r="R1867" s="14"/>
      <c r="S1867" s="14">
        <v>1</v>
      </c>
    </row>
    <row r="1868" spans="2:19" ht="20.25" hidden="1" customHeight="1">
      <c r="B1868" s="17"/>
      <c r="Q1868" s="18"/>
      <c r="R1868" s="14"/>
      <c r="S1868" s="14">
        <v>1</v>
      </c>
    </row>
    <row r="1869" spans="2:19" ht="20.25" hidden="1" customHeight="1">
      <c r="B1869" s="17"/>
      <c r="Q1869" s="18"/>
      <c r="R1869" s="14"/>
      <c r="S1869" s="14">
        <v>1</v>
      </c>
    </row>
    <row r="1870" spans="2:19" ht="20.25" hidden="1" customHeight="1">
      <c r="B1870" s="17"/>
      <c r="Q1870" s="18"/>
      <c r="R1870" s="14"/>
      <c r="S1870" s="14">
        <v>1</v>
      </c>
    </row>
    <row r="1871" spans="2:19" ht="20.25" hidden="1" customHeight="1">
      <c r="B1871" s="17"/>
      <c r="Q1871" s="18"/>
      <c r="R1871" s="14"/>
      <c r="S1871" s="14">
        <v>1</v>
      </c>
    </row>
    <row r="1872" spans="2:19" ht="20.25" hidden="1" customHeight="1">
      <c r="B1872" s="17"/>
      <c r="Q1872" s="18"/>
      <c r="R1872" s="14"/>
      <c r="S1872" s="14">
        <v>1</v>
      </c>
    </row>
    <row r="1873" spans="2:19" ht="20.25" hidden="1" customHeight="1">
      <c r="B1873" s="17"/>
      <c r="Q1873" s="18"/>
      <c r="R1873" s="14"/>
      <c r="S1873" s="14">
        <v>1</v>
      </c>
    </row>
    <row r="1874" spans="2:19" ht="20.25" hidden="1" customHeight="1">
      <c r="B1874" s="17"/>
      <c r="Q1874" s="18"/>
      <c r="R1874" s="14"/>
      <c r="S1874" s="14">
        <v>1</v>
      </c>
    </row>
    <row r="1875" spans="2:19" ht="20.25" hidden="1" customHeight="1">
      <c r="B1875" s="17"/>
      <c r="Q1875" s="18"/>
      <c r="R1875" s="14"/>
      <c r="S1875" s="14">
        <v>1</v>
      </c>
    </row>
    <row r="1876" spans="2:19" ht="20.25" hidden="1" customHeight="1">
      <c r="B1876" s="17"/>
      <c r="Q1876" s="18"/>
      <c r="R1876" s="14"/>
      <c r="S1876" s="14">
        <v>1</v>
      </c>
    </row>
    <row r="1877" spans="2:19" ht="20.25" hidden="1" customHeight="1">
      <c r="B1877" s="17"/>
      <c r="Q1877" s="18"/>
      <c r="R1877" s="14"/>
      <c r="S1877" s="14">
        <v>1</v>
      </c>
    </row>
    <row r="1878" spans="2:19" ht="20.25" hidden="1" customHeight="1">
      <c r="B1878" s="17"/>
      <c r="Q1878" s="18"/>
      <c r="R1878" s="14"/>
      <c r="S1878" s="14">
        <v>1</v>
      </c>
    </row>
    <row r="1879" spans="2:19" ht="20.25" hidden="1" customHeight="1">
      <c r="B1879" s="17"/>
      <c r="Q1879" s="18"/>
      <c r="R1879" s="14"/>
      <c r="S1879" s="14">
        <v>1</v>
      </c>
    </row>
    <row r="1880" spans="2:19" ht="20.25" hidden="1" customHeight="1">
      <c r="B1880" s="17"/>
      <c r="Q1880" s="18"/>
      <c r="R1880" s="14"/>
      <c r="S1880" s="14">
        <v>1</v>
      </c>
    </row>
    <row r="1881" spans="2:19" ht="20.25" hidden="1" customHeight="1">
      <c r="B1881" s="17"/>
      <c r="Q1881" s="18"/>
      <c r="R1881" s="14"/>
      <c r="S1881" s="14">
        <v>1</v>
      </c>
    </row>
    <row r="1882" spans="2:19" ht="20.25" hidden="1" customHeight="1">
      <c r="B1882" s="17"/>
      <c r="Q1882" s="18"/>
      <c r="R1882" s="14"/>
      <c r="S1882" s="14">
        <v>1</v>
      </c>
    </row>
    <row r="1883" spans="2:19" ht="20.25" hidden="1" customHeight="1">
      <c r="B1883" s="17"/>
      <c r="Q1883" s="18"/>
      <c r="R1883" s="14"/>
      <c r="S1883" s="14">
        <v>1</v>
      </c>
    </row>
    <row r="1884" spans="2:19" ht="20.25" hidden="1" customHeight="1">
      <c r="B1884" s="17"/>
      <c r="Q1884" s="18"/>
      <c r="R1884" s="14"/>
      <c r="S1884" s="14">
        <v>1</v>
      </c>
    </row>
    <row r="1885" spans="2:19" ht="20.25" hidden="1" customHeight="1">
      <c r="B1885" s="17"/>
      <c r="Q1885" s="18"/>
      <c r="R1885" s="14"/>
      <c r="S1885" s="14">
        <v>1</v>
      </c>
    </row>
    <row r="1886" spans="2:19" ht="20.25" hidden="1" customHeight="1">
      <c r="B1886" s="17"/>
      <c r="Q1886" s="18"/>
      <c r="R1886" s="14"/>
      <c r="S1886" s="14">
        <v>1</v>
      </c>
    </row>
    <row r="1887" spans="2:19" ht="20.25" hidden="1" customHeight="1">
      <c r="B1887" s="17"/>
      <c r="Q1887" s="18"/>
      <c r="R1887" s="14"/>
      <c r="S1887" s="14">
        <v>1</v>
      </c>
    </row>
    <row r="1888" spans="2:19" ht="20.25" hidden="1" customHeight="1">
      <c r="B1888" s="17"/>
      <c r="Q1888" s="18"/>
      <c r="R1888" s="14"/>
      <c r="S1888" s="14">
        <v>1</v>
      </c>
    </row>
    <row r="1889" spans="2:19" ht="20.25" hidden="1" customHeight="1">
      <c r="B1889" s="17"/>
      <c r="Q1889" s="18"/>
      <c r="R1889" s="14"/>
      <c r="S1889" s="14">
        <v>1</v>
      </c>
    </row>
    <row r="1890" spans="2:19" ht="20.25" hidden="1" customHeight="1">
      <c r="B1890" s="17"/>
      <c r="Q1890" s="18"/>
      <c r="R1890" s="14"/>
      <c r="S1890" s="14">
        <v>1</v>
      </c>
    </row>
    <row r="1891" spans="2:19" ht="20.25" hidden="1" customHeight="1">
      <c r="B1891" s="17"/>
      <c r="Q1891" s="18"/>
      <c r="R1891" s="14"/>
      <c r="S1891" s="14">
        <v>1</v>
      </c>
    </row>
    <row r="1892" spans="2:19" ht="20.25" hidden="1" customHeight="1">
      <c r="B1892" s="17"/>
      <c r="Q1892" s="18"/>
      <c r="R1892" s="14"/>
      <c r="S1892" s="14">
        <v>1</v>
      </c>
    </row>
    <row r="1893" spans="2:19" ht="20.25" hidden="1" customHeight="1">
      <c r="B1893" s="17"/>
      <c r="Q1893" s="18"/>
      <c r="R1893" s="14"/>
      <c r="S1893" s="14">
        <v>1</v>
      </c>
    </row>
    <row r="1894" spans="2:19" ht="20.25" hidden="1" customHeight="1">
      <c r="B1894" s="17"/>
      <c r="Q1894" s="18"/>
      <c r="R1894" s="14"/>
      <c r="S1894" s="14">
        <v>1</v>
      </c>
    </row>
    <row r="1895" spans="2:19" ht="20.25" hidden="1" customHeight="1">
      <c r="B1895" s="17"/>
      <c r="Q1895" s="18"/>
      <c r="R1895" s="14"/>
      <c r="S1895" s="14">
        <v>1</v>
      </c>
    </row>
    <row r="1896" spans="2:19" ht="20.25" hidden="1" customHeight="1">
      <c r="B1896" s="17"/>
      <c r="Q1896" s="18"/>
      <c r="R1896" s="14"/>
      <c r="S1896" s="14">
        <v>1</v>
      </c>
    </row>
    <row r="1897" spans="2:19" ht="20.25" hidden="1" customHeight="1">
      <c r="B1897" s="17"/>
      <c r="Q1897" s="18"/>
      <c r="R1897" s="14"/>
      <c r="S1897" s="14">
        <v>1</v>
      </c>
    </row>
    <row r="1898" spans="2:19" ht="20.25" hidden="1" customHeight="1">
      <c r="B1898" s="17"/>
      <c r="Q1898" s="18"/>
      <c r="R1898" s="14"/>
      <c r="S1898" s="14">
        <v>1</v>
      </c>
    </row>
    <row r="1899" spans="2:19" ht="20.25" hidden="1" customHeight="1">
      <c r="B1899" s="17"/>
      <c r="Q1899" s="18"/>
      <c r="R1899" s="14"/>
      <c r="S1899" s="14">
        <v>1</v>
      </c>
    </row>
    <row r="1900" spans="2:19" ht="20.25" hidden="1" customHeight="1">
      <c r="B1900" s="17"/>
      <c r="Q1900" s="18"/>
      <c r="R1900" s="14"/>
      <c r="S1900" s="14">
        <v>1</v>
      </c>
    </row>
    <row r="1901" spans="2:19" ht="20.25" hidden="1" customHeight="1">
      <c r="B1901" s="17"/>
      <c r="Q1901" s="18"/>
      <c r="R1901" s="14"/>
      <c r="S1901" s="14">
        <v>1</v>
      </c>
    </row>
    <row r="1902" spans="2:19" ht="20.25" hidden="1" customHeight="1">
      <c r="B1902" s="17"/>
      <c r="Q1902" s="18"/>
      <c r="R1902" s="14"/>
      <c r="S1902" s="14">
        <v>1</v>
      </c>
    </row>
    <row r="1903" spans="2:19" ht="20.25" hidden="1" customHeight="1">
      <c r="B1903" s="17"/>
      <c r="Q1903" s="18"/>
      <c r="R1903" s="14"/>
      <c r="S1903" s="14">
        <v>1</v>
      </c>
    </row>
    <row r="1904" spans="2:19" ht="20.25" hidden="1" customHeight="1">
      <c r="B1904" s="17"/>
      <c r="Q1904" s="18"/>
      <c r="R1904" s="14"/>
      <c r="S1904" s="14">
        <v>1</v>
      </c>
    </row>
    <row r="1905" spans="2:19" ht="20.25" hidden="1" customHeight="1">
      <c r="B1905" s="17"/>
      <c r="Q1905" s="18"/>
      <c r="R1905" s="14"/>
      <c r="S1905" s="14">
        <v>1</v>
      </c>
    </row>
    <row r="1906" spans="2:19" ht="20.25" hidden="1" customHeight="1">
      <c r="B1906" s="17"/>
      <c r="Q1906" s="18"/>
      <c r="R1906" s="14"/>
      <c r="S1906" s="14">
        <v>1</v>
      </c>
    </row>
    <row r="1907" spans="2:19" ht="20.25" hidden="1" customHeight="1">
      <c r="B1907" s="17"/>
      <c r="Q1907" s="18"/>
      <c r="R1907" s="14"/>
      <c r="S1907" s="14">
        <v>1</v>
      </c>
    </row>
    <row r="1908" spans="2:19" ht="20.25" hidden="1" customHeight="1">
      <c r="B1908" s="17"/>
      <c r="Q1908" s="18"/>
      <c r="R1908" s="14"/>
      <c r="S1908" s="14">
        <v>1</v>
      </c>
    </row>
    <row r="1909" spans="2:19" ht="20.25" hidden="1" customHeight="1">
      <c r="B1909" s="17"/>
      <c r="Q1909" s="18"/>
      <c r="R1909" s="14"/>
      <c r="S1909" s="14">
        <v>1</v>
      </c>
    </row>
    <row r="1910" spans="2:19" ht="20.25" hidden="1" customHeight="1">
      <c r="B1910" s="17"/>
      <c r="Q1910" s="18"/>
      <c r="R1910" s="14"/>
      <c r="S1910" s="14">
        <v>1</v>
      </c>
    </row>
    <row r="1911" spans="2:19" ht="20.25" hidden="1" customHeight="1">
      <c r="B1911" s="17"/>
      <c r="Q1911" s="18"/>
      <c r="R1911" s="14"/>
      <c r="S1911" s="14">
        <v>1</v>
      </c>
    </row>
    <row r="1912" spans="2:19" ht="20.25" hidden="1" customHeight="1">
      <c r="B1912" s="17"/>
      <c r="Q1912" s="18"/>
      <c r="R1912" s="14"/>
      <c r="S1912" s="14">
        <v>1</v>
      </c>
    </row>
    <row r="1913" spans="2:19" ht="20.25" hidden="1" customHeight="1">
      <c r="B1913" s="17"/>
      <c r="Q1913" s="18"/>
      <c r="R1913" s="14"/>
      <c r="S1913" s="14">
        <v>1</v>
      </c>
    </row>
    <row r="1914" spans="2:19" ht="20.25" hidden="1" customHeight="1">
      <c r="B1914" s="17"/>
      <c r="Q1914" s="18"/>
      <c r="R1914" s="14"/>
      <c r="S1914" s="14">
        <v>1</v>
      </c>
    </row>
    <row r="1915" spans="2:19" ht="20.25" hidden="1" customHeight="1">
      <c r="B1915" s="17"/>
      <c r="Q1915" s="18"/>
      <c r="R1915" s="14"/>
      <c r="S1915" s="14">
        <v>1</v>
      </c>
    </row>
    <row r="1916" spans="2:19" ht="20.25" hidden="1" customHeight="1">
      <c r="B1916" s="17"/>
      <c r="Q1916" s="18"/>
      <c r="R1916" s="14"/>
      <c r="S1916" s="14">
        <v>1</v>
      </c>
    </row>
    <row r="1917" spans="2:19" ht="20.25" hidden="1" customHeight="1">
      <c r="B1917" s="17"/>
      <c r="Q1917" s="18"/>
      <c r="R1917" s="14"/>
      <c r="S1917" s="14">
        <v>1</v>
      </c>
    </row>
    <row r="1918" spans="2:19" ht="20.25" hidden="1" customHeight="1">
      <c r="B1918" s="17"/>
      <c r="Q1918" s="18"/>
      <c r="R1918" s="14"/>
      <c r="S1918" s="14">
        <v>1</v>
      </c>
    </row>
    <row r="1919" spans="2:19" ht="20.25" hidden="1" customHeight="1">
      <c r="B1919" s="17"/>
      <c r="Q1919" s="18"/>
      <c r="R1919" s="14"/>
      <c r="S1919" s="14">
        <v>1</v>
      </c>
    </row>
    <row r="1920" spans="2:19" ht="20.25" hidden="1" customHeight="1">
      <c r="B1920" s="17"/>
      <c r="Q1920" s="18"/>
      <c r="R1920" s="14"/>
      <c r="S1920" s="14">
        <v>1</v>
      </c>
    </row>
    <row r="1921" spans="2:19" ht="20.25" hidden="1" customHeight="1">
      <c r="B1921" s="17"/>
      <c r="Q1921" s="18"/>
      <c r="R1921" s="14"/>
      <c r="S1921" s="14">
        <v>1</v>
      </c>
    </row>
    <row r="1922" spans="2:19" ht="20.25" hidden="1" customHeight="1">
      <c r="B1922" s="17"/>
      <c r="Q1922" s="18"/>
      <c r="R1922" s="14"/>
      <c r="S1922" s="14">
        <v>1</v>
      </c>
    </row>
    <row r="1923" spans="2:19" ht="20.25" hidden="1" customHeight="1">
      <c r="B1923" s="17"/>
      <c r="Q1923" s="18"/>
      <c r="R1923" s="14"/>
      <c r="S1923" s="14">
        <v>1</v>
      </c>
    </row>
    <row r="1924" spans="2:19" ht="20.25" hidden="1" customHeight="1">
      <c r="B1924" s="17"/>
      <c r="Q1924" s="18"/>
      <c r="R1924" s="14"/>
      <c r="S1924" s="14">
        <v>1</v>
      </c>
    </row>
    <row r="1925" spans="2:19" ht="20.25" hidden="1" customHeight="1">
      <c r="B1925" s="17"/>
      <c r="Q1925" s="18"/>
      <c r="R1925" s="14"/>
      <c r="S1925" s="14">
        <v>1</v>
      </c>
    </row>
    <row r="1926" spans="2:19" ht="20.25" hidden="1" customHeight="1">
      <c r="B1926" s="17"/>
      <c r="Q1926" s="18"/>
      <c r="R1926" s="14"/>
      <c r="S1926" s="14">
        <v>1</v>
      </c>
    </row>
    <row r="1927" spans="2:19" ht="20.25" hidden="1" customHeight="1">
      <c r="B1927" s="17"/>
      <c r="Q1927" s="18"/>
      <c r="R1927" s="14"/>
      <c r="S1927" s="14">
        <v>1</v>
      </c>
    </row>
    <row r="1928" spans="2:19" ht="20.25" hidden="1" customHeight="1">
      <c r="B1928" s="17"/>
      <c r="Q1928" s="18"/>
      <c r="R1928" s="14"/>
      <c r="S1928" s="14">
        <v>1</v>
      </c>
    </row>
    <row r="1929" spans="2:19" ht="20.25" hidden="1" customHeight="1">
      <c r="B1929" s="17"/>
      <c r="Q1929" s="18"/>
      <c r="R1929" s="14"/>
      <c r="S1929" s="14">
        <v>1</v>
      </c>
    </row>
    <row r="1930" spans="2:19" ht="20.25" hidden="1" customHeight="1">
      <c r="B1930" s="17"/>
      <c r="Q1930" s="18"/>
      <c r="R1930" s="14"/>
      <c r="S1930" s="14">
        <v>1</v>
      </c>
    </row>
    <row r="1931" spans="2:19" ht="20.25" hidden="1" customHeight="1">
      <c r="B1931" s="17"/>
      <c r="Q1931" s="18"/>
      <c r="R1931" s="14"/>
      <c r="S1931" s="14">
        <v>1</v>
      </c>
    </row>
    <row r="1932" spans="2:19" ht="20.25" hidden="1" customHeight="1">
      <c r="B1932" s="17"/>
      <c r="Q1932" s="18"/>
      <c r="R1932" s="14"/>
      <c r="S1932" s="14">
        <v>1</v>
      </c>
    </row>
    <row r="1933" spans="2:19" ht="20.25" hidden="1" customHeight="1">
      <c r="B1933" s="17"/>
      <c r="Q1933" s="18"/>
      <c r="R1933" s="14"/>
      <c r="S1933" s="14">
        <v>1</v>
      </c>
    </row>
    <row r="1934" spans="2:19" ht="20.25" hidden="1" customHeight="1">
      <c r="B1934" s="17"/>
      <c r="Q1934" s="18"/>
      <c r="R1934" s="14"/>
      <c r="S1934" s="14">
        <v>1</v>
      </c>
    </row>
    <row r="1935" spans="2:19" ht="20.25" hidden="1" customHeight="1">
      <c r="B1935" s="17"/>
      <c r="Q1935" s="18"/>
      <c r="R1935" s="14"/>
      <c r="S1935" s="14">
        <v>1</v>
      </c>
    </row>
    <row r="1936" spans="2:19" ht="20.25" hidden="1" customHeight="1">
      <c r="B1936" s="17"/>
      <c r="Q1936" s="18"/>
      <c r="R1936" s="14"/>
      <c r="S1936" s="14">
        <v>1</v>
      </c>
    </row>
    <row r="1937" spans="2:19" ht="20.25" hidden="1" customHeight="1">
      <c r="B1937" s="17"/>
      <c r="Q1937" s="18"/>
      <c r="R1937" s="14"/>
      <c r="S1937" s="14">
        <v>1</v>
      </c>
    </row>
    <row r="1938" spans="2:19" ht="20.25" hidden="1" customHeight="1">
      <c r="B1938" s="17"/>
      <c r="Q1938" s="18"/>
      <c r="R1938" s="14"/>
      <c r="S1938" s="14">
        <v>1</v>
      </c>
    </row>
    <row r="1939" spans="2:19" ht="20.25" hidden="1" customHeight="1">
      <c r="B1939" s="17"/>
      <c r="Q1939" s="18"/>
      <c r="R1939" s="14"/>
      <c r="S1939" s="14">
        <v>1</v>
      </c>
    </row>
    <row r="1940" spans="2:19" ht="20.25" hidden="1" customHeight="1">
      <c r="B1940" s="17"/>
      <c r="Q1940" s="18"/>
      <c r="R1940" s="14"/>
      <c r="S1940" s="14">
        <v>1</v>
      </c>
    </row>
    <row r="1941" spans="2:19" ht="20.25" hidden="1" customHeight="1">
      <c r="B1941" s="17"/>
      <c r="Q1941" s="18"/>
      <c r="R1941" s="14"/>
      <c r="S1941" s="14">
        <v>1</v>
      </c>
    </row>
    <row r="1942" spans="2:19" ht="20.25" hidden="1" customHeight="1">
      <c r="B1942" s="17"/>
      <c r="Q1942" s="18"/>
      <c r="R1942" s="14"/>
      <c r="S1942" s="14">
        <v>1</v>
      </c>
    </row>
    <row r="1943" spans="2:19" ht="20.25" hidden="1" customHeight="1">
      <c r="B1943" s="17"/>
      <c r="Q1943" s="18"/>
      <c r="R1943" s="14"/>
      <c r="S1943" s="14">
        <v>1</v>
      </c>
    </row>
    <row r="1944" spans="2:19" ht="20.25" hidden="1" customHeight="1">
      <c r="B1944" s="17"/>
      <c r="Q1944" s="18"/>
      <c r="R1944" s="14"/>
      <c r="S1944" s="14">
        <v>1</v>
      </c>
    </row>
    <row r="1945" spans="2:19" ht="20.25" hidden="1" customHeight="1">
      <c r="B1945" s="17"/>
      <c r="Q1945" s="18"/>
      <c r="R1945" s="14"/>
      <c r="S1945" s="14">
        <v>1</v>
      </c>
    </row>
    <row r="1946" spans="2:19" ht="20.25" hidden="1" customHeight="1">
      <c r="B1946" s="17"/>
      <c r="Q1946" s="18"/>
      <c r="R1946" s="14"/>
      <c r="S1946" s="14">
        <v>1</v>
      </c>
    </row>
    <row r="1947" spans="2:19" ht="20.25" hidden="1" customHeight="1">
      <c r="B1947" s="17"/>
      <c r="Q1947" s="18"/>
      <c r="R1947" s="14"/>
      <c r="S1947" s="14">
        <v>1</v>
      </c>
    </row>
    <row r="1948" spans="2:19" ht="20.25" hidden="1" customHeight="1">
      <c r="B1948" s="17"/>
      <c r="Q1948" s="18"/>
      <c r="R1948" s="14"/>
      <c r="S1948" s="14">
        <v>1</v>
      </c>
    </row>
    <row r="1949" spans="2:19" ht="20.25" hidden="1" customHeight="1">
      <c r="B1949" s="17"/>
      <c r="Q1949" s="18"/>
      <c r="R1949" s="14"/>
      <c r="S1949" s="14">
        <v>1</v>
      </c>
    </row>
    <row r="1950" spans="2:19" ht="20.25" hidden="1" customHeight="1">
      <c r="B1950" s="17"/>
      <c r="Q1950" s="18"/>
      <c r="R1950" s="14"/>
      <c r="S1950" s="14">
        <v>1</v>
      </c>
    </row>
    <row r="1951" spans="2:19" ht="20.25" hidden="1" customHeight="1">
      <c r="B1951" s="17"/>
      <c r="Q1951" s="18"/>
      <c r="R1951" s="14"/>
      <c r="S1951" s="14">
        <v>1</v>
      </c>
    </row>
    <row r="1952" spans="2:19" ht="20.25" hidden="1" customHeight="1">
      <c r="B1952" s="17"/>
      <c r="Q1952" s="18"/>
      <c r="R1952" s="14"/>
      <c r="S1952" s="14">
        <v>1</v>
      </c>
    </row>
    <row r="1953" spans="2:19" ht="20.25" hidden="1" customHeight="1">
      <c r="B1953" s="17"/>
      <c r="Q1953" s="18"/>
      <c r="R1953" s="14"/>
      <c r="S1953" s="14">
        <v>1</v>
      </c>
    </row>
    <row r="1954" spans="2:19" ht="20.25" hidden="1" customHeight="1">
      <c r="B1954" s="17"/>
      <c r="Q1954" s="18"/>
      <c r="R1954" s="14"/>
      <c r="S1954" s="14">
        <v>1</v>
      </c>
    </row>
    <row r="1955" spans="2:19" ht="20.25" hidden="1" customHeight="1">
      <c r="B1955" s="17"/>
      <c r="Q1955" s="18"/>
      <c r="R1955" s="14"/>
      <c r="S1955" s="14">
        <v>1</v>
      </c>
    </row>
    <row r="1956" spans="2:19" ht="20.25" hidden="1" customHeight="1">
      <c r="B1956" s="17"/>
      <c r="Q1956" s="18"/>
      <c r="R1956" s="14"/>
      <c r="S1956" s="14">
        <v>1</v>
      </c>
    </row>
    <row r="1957" spans="2:19" ht="20.25" hidden="1" customHeight="1">
      <c r="B1957" s="17"/>
      <c r="Q1957" s="18"/>
      <c r="R1957" s="14"/>
      <c r="S1957" s="14">
        <v>1</v>
      </c>
    </row>
    <row r="1958" spans="2:19" ht="20.25" hidden="1" customHeight="1">
      <c r="B1958" s="17"/>
      <c r="Q1958" s="18"/>
      <c r="R1958" s="14"/>
      <c r="S1958" s="14">
        <v>1</v>
      </c>
    </row>
    <row r="1959" spans="2:19" ht="20.25" hidden="1" customHeight="1">
      <c r="B1959" s="17"/>
      <c r="Q1959" s="18"/>
      <c r="R1959" s="14"/>
      <c r="S1959" s="14">
        <v>1</v>
      </c>
    </row>
    <row r="1960" spans="2:19" ht="20.25" hidden="1" customHeight="1">
      <c r="B1960" s="17"/>
      <c r="Q1960" s="18"/>
      <c r="R1960" s="14"/>
      <c r="S1960" s="14">
        <v>1</v>
      </c>
    </row>
    <row r="1961" spans="2:19" ht="20.25" hidden="1" customHeight="1">
      <c r="B1961" s="17"/>
      <c r="Q1961" s="18"/>
      <c r="R1961" s="14"/>
      <c r="S1961" s="14">
        <v>1</v>
      </c>
    </row>
    <row r="1962" spans="2:19" ht="20.25" hidden="1" customHeight="1">
      <c r="B1962" s="17"/>
      <c r="Q1962" s="18"/>
      <c r="R1962" s="14"/>
      <c r="S1962" s="14">
        <v>1</v>
      </c>
    </row>
    <row r="1963" spans="2:19" ht="20.25" hidden="1" customHeight="1">
      <c r="B1963" s="17"/>
      <c r="Q1963" s="18"/>
      <c r="R1963" s="14"/>
      <c r="S1963" s="14">
        <v>1</v>
      </c>
    </row>
    <row r="1964" spans="2:19" ht="20.25" hidden="1" customHeight="1">
      <c r="B1964" s="17"/>
      <c r="Q1964" s="18"/>
      <c r="R1964" s="14"/>
      <c r="S1964" s="14">
        <v>1</v>
      </c>
    </row>
    <row r="1965" spans="2:19" ht="20.25" hidden="1" customHeight="1">
      <c r="B1965" s="17"/>
      <c r="Q1965" s="18"/>
      <c r="R1965" s="14"/>
      <c r="S1965" s="14">
        <v>1</v>
      </c>
    </row>
    <row r="1966" spans="2:19" ht="20.25" hidden="1" customHeight="1">
      <c r="B1966" s="17"/>
      <c r="Q1966" s="18"/>
      <c r="R1966" s="14"/>
      <c r="S1966" s="14">
        <v>1</v>
      </c>
    </row>
    <row r="1967" spans="2:19" ht="20.25" hidden="1" customHeight="1">
      <c r="B1967" s="17"/>
      <c r="Q1967" s="18"/>
      <c r="R1967" s="14"/>
      <c r="S1967" s="14">
        <v>1</v>
      </c>
    </row>
    <row r="1968" spans="2:19" ht="20.25" hidden="1" customHeight="1">
      <c r="B1968" s="17"/>
      <c r="Q1968" s="18"/>
      <c r="R1968" s="14"/>
      <c r="S1968" s="14">
        <v>1</v>
      </c>
    </row>
    <row r="1969" spans="2:19" ht="20.25" hidden="1" customHeight="1">
      <c r="B1969" s="17"/>
      <c r="Q1969" s="18"/>
      <c r="R1969" s="14"/>
      <c r="S1969" s="14">
        <v>1</v>
      </c>
    </row>
    <row r="1970" spans="2:19" ht="20.25" hidden="1" customHeight="1">
      <c r="B1970" s="17"/>
      <c r="Q1970" s="18"/>
      <c r="R1970" s="14"/>
      <c r="S1970" s="14">
        <v>1</v>
      </c>
    </row>
    <row r="1971" spans="2:19" ht="20.25" hidden="1" customHeight="1">
      <c r="B1971" s="17"/>
      <c r="Q1971" s="18"/>
      <c r="R1971" s="14"/>
      <c r="S1971" s="14">
        <v>1</v>
      </c>
    </row>
    <row r="1972" spans="2:19" ht="20.25" hidden="1" customHeight="1">
      <c r="B1972" s="17"/>
      <c r="Q1972" s="18"/>
      <c r="R1972" s="14"/>
      <c r="S1972" s="14">
        <v>1</v>
      </c>
    </row>
    <row r="1973" spans="2:19" ht="20.25" hidden="1" customHeight="1">
      <c r="B1973" s="17"/>
      <c r="Q1973" s="18"/>
      <c r="R1973" s="14"/>
      <c r="S1973" s="14">
        <v>1</v>
      </c>
    </row>
    <row r="1974" spans="2:19" ht="20.25" hidden="1" customHeight="1">
      <c r="B1974" s="17"/>
      <c r="Q1974" s="18"/>
      <c r="R1974" s="14"/>
      <c r="S1974" s="14">
        <v>1</v>
      </c>
    </row>
    <row r="1975" spans="2:19" ht="20.25" hidden="1" customHeight="1">
      <c r="B1975" s="17"/>
      <c r="Q1975" s="18"/>
      <c r="R1975" s="14"/>
      <c r="S1975" s="14">
        <v>1</v>
      </c>
    </row>
    <row r="1976" spans="2:19" ht="20.25" hidden="1" customHeight="1">
      <c r="B1976" s="17"/>
      <c r="Q1976" s="18"/>
      <c r="R1976" s="14"/>
      <c r="S1976" s="14">
        <v>1</v>
      </c>
    </row>
    <row r="1977" spans="2:19" ht="20.25" hidden="1" customHeight="1">
      <c r="B1977" s="17"/>
      <c r="Q1977" s="18"/>
      <c r="R1977" s="14"/>
      <c r="S1977" s="14">
        <v>1</v>
      </c>
    </row>
    <row r="1978" spans="2:19" ht="20.25" hidden="1" customHeight="1">
      <c r="B1978" s="17"/>
      <c r="Q1978" s="18"/>
      <c r="R1978" s="14"/>
      <c r="S1978" s="14">
        <v>1</v>
      </c>
    </row>
    <row r="1979" spans="2:19" ht="20.25" hidden="1" customHeight="1">
      <c r="B1979" s="17"/>
      <c r="Q1979" s="18"/>
      <c r="R1979" s="14"/>
      <c r="S1979" s="14">
        <v>1</v>
      </c>
    </row>
    <row r="1980" spans="2:19" ht="20.25" hidden="1" customHeight="1">
      <c r="B1980" s="17"/>
      <c r="Q1980" s="18"/>
      <c r="R1980" s="14"/>
      <c r="S1980" s="14">
        <v>1</v>
      </c>
    </row>
    <row r="1981" spans="2:19" ht="20.25" hidden="1" customHeight="1">
      <c r="B1981" s="17"/>
      <c r="Q1981" s="18"/>
      <c r="R1981" s="14"/>
      <c r="S1981" s="14">
        <v>1</v>
      </c>
    </row>
    <row r="1982" spans="2:19" ht="20.25" hidden="1" customHeight="1">
      <c r="B1982" s="17"/>
      <c r="Q1982" s="18"/>
      <c r="R1982" s="14"/>
      <c r="S1982" s="14">
        <v>1</v>
      </c>
    </row>
    <row r="1983" spans="2:19" ht="20.25" hidden="1" customHeight="1">
      <c r="B1983" s="17"/>
      <c r="Q1983" s="18"/>
      <c r="R1983" s="14"/>
      <c r="S1983" s="14">
        <v>1</v>
      </c>
    </row>
    <row r="1984" spans="2:19" ht="20.25" hidden="1" customHeight="1">
      <c r="B1984" s="17"/>
      <c r="Q1984" s="18"/>
      <c r="R1984" s="14"/>
      <c r="S1984" s="14">
        <v>1</v>
      </c>
    </row>
    <row r="1985" spans="2:19" ht="20.25" hidden="1" customHeight="1">
      <c r="B1985" s="17"/>
      <c r="Q1985" s="18"/>
      <c r="R1985" s="14"/>
      <c r="S1985" s="14">
        <v>1</v>
      </c>
    </row>
    <row r="1986" spans="2:19" ht="20.25" hidden="1" customHeight="1">
      <c r="B1986" s="17"/>
      <c r="Q1986" s="18"/>
      <c r="R1986" s="14"/>
      <c r="S1986" s="14">
        <v>1</v>
      </c>
    </row>
    <row r="1987" spans="2:19" ht="20.25" hidden="1" customHeight="1">
      <c r="B1987" s="17"/>
      <c r="Q1987" s="18"/>
      <c r="R1987" s="14"/>
      <c r="S1987" s="14">
        <v>1</v>
      </c>
    </row>
    <row r="1988" spans="2:19" ht="20.25" hidden="1" customHeight="1">
      <c r="B1988" s="17"/>
      <c r="Q1988" s="18"/>
      <c r="R1988" s="14"/>
      <c r="S1988" s="14">
        <v>1</v>
      </c>
    </row>
    <row r="1989" spans="2:19" ht="20.25" hidden="1" customHeight="1">
      <c r="B1989" s="17"/>
      <c r="Q1989" s="18"/>
      <c r="R1989" s="14"/>
      <c r="S1989" s="14">
        <v>1</v>
      </c>
    </row>
    <row r="1990" spans="2:19" ht="20.25" hidden="1" customHeight="1">
      <c r="B1990" s="17"/>
      <c r="Q1990" s="18"/>
      <c r="R1990" s="14"/>
      <c r="S1990" s="14">
        <v>1</v>
      </c>
    </row>
    <row r="1991" spans="2:19" ht="20.25" hidden="1" customHeight="1">
      <c r="B1991" s="17"/>
      <c r="Q1991" s="18"/>
      <c r="R1991" s="14"/>
      <c r="S1991" s="14">
        <v>1</v>
      </c>
    </row>
    <row r="1992" spans="2:19" ht="20.25" hidden="1" customHeight="1">
      <c r="B1992" s="17"/>
      <c r="Q1992" s="18"/>
      <c r="R1992" s="14"/>
      <c r="S1992" s="14">
        <v>1</v>
      </c>
    </row>
    <row r="1993" spans="2:19" ht="20.25" hidden="1" customHeight="1">
      <c r="B1993" s="17"/>
      <c r="Q1993" s="18"/>
      <c r="R1993" s="14"/>
      <c r="S1993" s="14">
        <v>1</v>
      </c>
    </row>
    <row r="1994" spans="2:19" ht="20.25" hidden="1" customHeight="1">
      <c r="B1994" s="17"/>
      <c r="Q1994" s="18"/>
      <c r="R1994" s="14"/>
      <c r="S1994" s="14">
        <v>1</v>
      </c>
    </row>
    <row r="1995" spans="2:19" ht="20.25" hidden="1" customHeight="1">
      <c r="B1995" s="17"/>
      <c r="Q1995" s="18"/>
      <c r="R1995" s="14"/>
      <c r="S1995" s="14">
        <v>1</v>
      </c>
    </row>
    <row r="1996" spans="2:19" ht="20.25" hidden="1" customHeight="1">
      <c r="B1996" s="17"/>
      <c r="Q1996" s="18"/>
      <c r="R1996" s="14"/>
      <c r="S1996" s="14">
        <v>1</v>
      </c>
    </row>
    <row r="1997" spans="2:19" ht="20.25" hidden="1" customHeight="1">
      <c r="B1997" s="17"/>
      <c r="Q1997" s="18"/>
      <c r="R1997" s="14"/>
      <c r="S1997" s="14">
        <v>1</v>
      </c>
    </row>
    <row r="1998" spans="2:19" ht="20.25" hidden="1" customHeight="1">
      <c r="B1998" s="17"/>
      <c r="Q1998" s="18"/>
      <c r="R1998" s="14"/>
      <c r="S1998" s="14">
        <v>1</v>
      </c>
    </row>
    <row r="1999" spans="2:19" ht="20.25" hidden="1" customHeight="1">
      <c r="B1999" s="17"/>
      <c r="Q1999" s="18"/>
      <c r="R1999" s="14"/>
      <c r="S1999" s="14">
        <v>1</v>
      </c>
    </row>
    <row r="2000" spans="2:19" ht="20.25" hidden="1" customHeight="1">
      <c r="B2000" s="17"/>
      <c r="Q2000" s="18"/>
      <c r="R2000" s="14"/>
      <c r="S2000" s="14">
        <v>1</v>
      </c>
    </row>
    <row r="2001" spans="2:19" ht="20.25" hidden="1" customHeight="1">
      <c r="B2001" s="17"/>
      <c r="Q2001" s="18"/>
      <c r="R2001" s="14"/>
      <c r="S2001" s="14">
        <v>1</v>
      </c>
    </row>
    <row r="2002" spans="2:19" ht="20.25" hidden="1" customHeight="1">
      <c r="B2002" s="17"/>
      <c r="Q2002" s="18"/>
      <c r="R2002" s="14"/>
      <c r="S2002" s="14">
        <v>1</v>
      </c>
    </row>
    <row r="2003" spans="2:19" ht="20.25" hidden="1" customHeight="1">
      <c r="B2003" s="17"/>
      <c r="Q2003" s="18"/>
      <c r="R2003" s="14"/>
      <c r="S2003" s="14">
        <v>1</v>
      </c>
    </row>
    <row r="2004" spans="2:19" ht="20.25" hidden="1" customHeight="1">
      <c r="B2004" s="17"/>
      <c r="Q2004" s="18"/>
      <c r="R2004" s="14"/>
      <c r="S2004" s="14">
        <v>1</v>
      </c>
    </row>
    <row r="2005" spans="2:19" ht="20.25" hidden="1" customHeight="1">
      <c r="B2005" s="17"/>
      <c r="Q2005" s="18"/>
      <c r="R2005" s="14"/>
      <c r="S2005" s="14">
        <v>1</v>
      </c>
    </row>
    <row r="2006" spans="2:19" ht="20.25" hidden="1" customHeight="1">
      <c r="B2006" s="17"/>
      <c r="Q2006" s="18"/>
      <c r="R2006" s="14"/>
      <c r="S2006" s="14">
        <v>1</v>
      </c>
    </row>
    <row r="2007" spans="2:19" ht="20.25" hidden="1" customHeight="1">
      <c r="B2007" s="17"/>
      <c r="Q2007" s="18"/>
      <c r="R2007" s="14"/>
      <c r="S2007" s="14">
        <v>1</v>
      </c>
    </row>
    <row r="2008" spans="2:19" ht="20.25" hidden="1" customHeight="1">
      <c r="B2008" s="17"/>
      <c r="Q2008" s="18"/>
      <c r="R2008" s="14"/>
      <c r="S2008" s="14">
        <v>1</v>
      </c>
    </row>
    <row r="2009" spans="2:19" ht="20.25" hidden="1" customHeight="1">
      <c r="B2009" s="17"/>
      <c r="Q2009" s="18"/>
      <c r="R2009" s="14"/>
      <c r="S2009" s="14">
        <v>1</v>
      </c>
    </row>
    <row r="2010" spans="2:19" ht="20.25" hidden="1" customHeight="1">
      <c r="B2010" s="17"/>
      <c r="Q2010" s="18"/>
      <c r="R2010" s="14"/>
      <c r="S2010" s="14">
        <v>1</v>
      </c>
    </row>
    <row r="2011" spans="2:19" ht="20.25" hidden="1" customHeight="1">
      <c r="B2011" s="17"/>
      <c r="Q2011" s="18"/>
      <c r="R2011" s="14"/>
      <c r="S2011" s="14">
        <v>1</v>
      </c>
    </row>
    <row r="2012" spans="2:19" ht="20.25" hidden="1" customHeight="1">
      <c r="B2012" s="17"/>
      <c r="Q2012" s="18"/>
      <c r="R2012" s="14"/>
      <c r="S2012" s="14">
        <v>1</v>
      </c>
    </row>
    <row r="2013" spans="2:19" ht="20.25" hidden="1" customHeight="1">
      <c r="B2013" s="17"/>
      <c r="Q2013" s="18"/>
      <c r="R2013" s="14"/>
      <c r="S2013" s="14">
        <v>1</v>
      </c>
    </row>
    <row r="2014" spans="2:19" ht="20.25" hidden="1" customHeight="1">
      <c r="B2014" s="17"/>
      <c r="Q2014" s="18"/>
      <c r="R2014" s="14"/>
      <c r="S2014" s="14">
        <v>1</v>
      </c>
    </row>
    <row r="2015" spans="2:19" ht="20.25" hidden="1" customHeight="1">
      <c r="B2015" s="17"/>
      <c r="Q2015" s="18"/>
      <c r="R2015" s="14"/>
      <c r="S2015" s="14">
        <v>1</v>
      </c>
    </row>
    <row r="2016" spans="2:19" ht="20.25" hidden="1" customHeight="1">
      <c r="B2016" s="17"/>
      <c r="Q2016" s="18"/>
      <c r="R2016" s="14"/>
      <c r="S2016" s="14">
        <v>1</v>
      </c>
    </row>
    <row r="2017" spans="2:19" ht="20.25" hidden="1" customHeight="1">
      <c r="B2017" s="17"/>
      <c r="Q2017" s="18"/>
      <c r="R2017" s="14"/>
      <c r="S2017" s="14">
        <v>1</v>
      </c>
    </row>
    <row r="2018" spans="2:19" ht="20.25" hidden="1" customHeight="1">
      <c r="B2018" s="17"/>
      <c r="Q2018" s="18"/>
      <c r="R2018" s="14"/>
      <c r="S2018" s="14">
        <v>1</v>
      </c>
    </row>
    <row r="2019" spans="2:19" ht="20.25" hidden="1" customHeight="1">
      <c r="B2019" s="17"/>
      <c r="Q2019" s="18"/>
      <c r="R2019" s="14"/>
      <c r="S2019" s="14">
        <v>1</v>
      </c>
    </row>
    <row r="2020" spans="2:19" ht="20.25" hidden="1" customHeight="1">
      <c r="B2020" s="17"/>
      <c r="Q2020" s="18"/>
      <c r="R2020" s="14"/>
      <c r="S2020" s="14">
        <v>1</v>
      </c>
    </row>
    <row r="2021" spans="2:19" ht="20.25" hidden="1" customHeight="1">
      <c r="B2021" s="17"/>
      <c r="Q2021" s="18"/>
      <c r="R2021" s="14"/>
      <c r="S2021" s="14">
        <v>1</v>
      </c>
    </row>
    <row r="2022" spans="2:19" ht="20.25" hidden="1" customHeight="1">
      <c r="B2022" s="17"/>
      <c r="Q2022" s="18"/>
      <c r="R2022" s="14"/>
      <c r="S2022" s="14">
        <v>1</v>
      </c>
    </row>
    <row r="2023" spans="2:19" ht="20.25" hidden="1" customHeight="1">
      <c r="B2023" s="17"/>
      <c r="Q2023" s="18"/>
      <c r="R2023" s="14"/>
      <c r="S2023" s="14">
        <v>1</v>
      </c>
    </row>
    <row r="2024" spans="2:19" ht="20.25" hidden="1" customHeight="1">
      <c r="B2024" s="17"/>
      <c r="Q2024" s="18"/>
      <c r="R2024" s="14"/>
      <c r="S2024" s="14">
        <v>1</v>
      </c>
    </row>
    <row r="2025" spans="2:19" ht="20.25" hidden="1" customHeight="1">
      <c r="B2025" s="17"/>
      <c r="Q2025" s="18"/>
      <c r="R2025" s="14"/>
      <c r="S2025" s="14">
        <v>1</v>
      </c>
    </row>
    <row r="2026" spans="2:19" ht="20.25" hidden="1" customHeight="1">
      <c r="B2026" s="17"/>
      <c r="Q2026" s="18"/>
      <c r="R2026" s="14"/>
      <c r="S2026" s="14">
        <v>1</v>
      </c>
    </row>
    <row r="2027" spans="2:19" ht="20.25" hidden="1" customHeight="1">
      <c r="B2027" s="17"/>
      <c r="Q2027" s="18"/>
      <c r="R2027" s="14"/>
      <c r="S2027" s="14">
        <v>1</v>
      </c>
    </row>
    <row r="2028" spans="2:19" ht="20.25" hidden="1" customHeight="1">
      <c r="B2028" s="17"/>
      <c r="Q2028" s="18"/>
      <c r="R2028" s="14"/>
      <c r="S2028" s="14">
        <v>1</v>
      </c>
    </row>
    <row r="2029" spans="2:19" ht="20.25" hidden="1" customHeight="1">
      <c r="B2029" s="17"/>
      <c r="Q2029" s="18"/>
      <c r="R2029" s="14"/>
      <c r="S2029" s="14">
        <v>1</v>
      </c>
    </row>
    <row r="2030" spans="2:19" ht="20.25" hidden="1" customHeight="1">
      <c r="B2030" s="17"/>
      <c r="Q2030" s="18"/>
      <c r="R2030" s="14"/>
      <c r="S2030" s="14">
        <v>1</v>
      </c>
    </row>
    <row r="2031" spans="2:19" ht="20.25" hidden="1" customHeight="1">
      <c r="B2031" s="17"/>
      <c r="Q2031" s="18"/>
      <c r="R2031" s="14"/>
      <c r="S2031" s="14">
        <v>1</v>
      </c>
    </row>
    <row r="2032" spans="2:19" ht="20.25" hidden="1" customHeight="1">
      <c r="B2032" s="17"/>
      <c r="Q2032" s="18"/>
      <c r="R2032" s="14"/>
      <c r="S2032" s="14">
        <v>1</v>
      </c>
    </row>
    <row r="2033" spans="2:19" ht="20.25" hidden="1" customHeight="1">
      <c r="B2033" s="17"/>
      <c r="Q2033" s="18"/>
      <c r="R2033" s="14"/>
      <c r="S2033" s="14">
        <v>1</v>
      </c>
    </row>
    <row r="2034" spans="2:19" ht="20.25" hidden="1" customHeight="1">
      <c r="B2034" s="17"/>
      <c r="Q2034" s="18"/>
      <c r="R2034" s="14"/>
      <c r="S2034" s="14">
        <v>1</v>
      </c>
    </row>
    <row r="2035" spans="2:19" ht="20.25" hidden="1" customHeight="1">
      <c r="B2035" s="17"/>
      <c r="Q2035" s="18"/>
      <c r="R2035" s="14"/>
      <c r="S2035" s="14">
        <v>1</v>
      </c>
    </row>
    <row r="2036" spans="2:19" ht="20.25" hidden="1" customHeight="1">
      <c r="B2036" s="17"/>
      <c r="Q2036" s="18"/>
      <c r="R2036" s="14"/>
      <c r="S2036" s="14">
        <v>1</v>
      </c>
    </row>
    <row r="2037" spans="2:19" ht="20.25" hidden="1" customHeight="1">
      <c r="B2037" s="17"/>
      <c r="Q2037" s="18"/>
      <c r="R2037" s="14"/>
      <c r="S2037" s="14">
        <v>1</v>
      </c>
    </row>
    <row r="2038" spans="2:19" ht="20.25" hidden="1" customHeight="1">
      <c r="B2038" s="17"/>
      <c r="Q2038" s="18"/>
      <c r="R2038" s="14"/>
      <c r="S2038" s="14">
        <v>1</v>
      </c>
    </row>
    <row r="2039" spans="2:19" ht="20.25" hidden="1" customHeight="1">
      <c r="B2039" s="17"/>
      <c r="Q2039" s="18"/>
      <c r="R2039" s="14"/>
      <c r="S2039" s="14">
        <v>1</v>
      </c>
    </row>
    <row r="2040" spans="2:19" ht="20.25" hidden="1" customHeight="1">
      <c r="B2040" s="17"/>
      <c r="Q2040" s="18"/>
      <c r="R2040" s="14"/>
      <c r="S2040" s="14">
        <v>1</v>
      </c>
    </row>
    <row r="2041" spans="2:19" ht="20.25" hidden="1" customHeight="1">
      <c r="B2041" s="17"/>
      <c r="Q2041" s="18"/>
      <c r="R2041" s="14"/>
      <c r="S2041" s="14">
        <v>1</v>
      </c>
    </row>
    <row r="2042" spans="2:19" ht="20.25" hidden="1" customHeight="1">
      <c r="B2042" s="17"/>
      <c r="Q2042" s="18"/>
      <c r="R2042" s="14"/>
      <c r="S2042" s="14">
        <v>1</v>
      </c>
    </row>
    <row r="2043" spans="2:19" ht="20.25" hidden="1" customHeight="1">
      <c r="B2043" s="17"/>
      <c r="Q2043" s="18"/>
      <c r="R2043" s="14"/>
      <c r="S2043" s="14">
        <v>1</v>
      </c>
    </row>
    <row r="2044" spans="2:19" ht="20.25" hidden="1" customHeight="1">
      <c r="B2044" s="17"/>
      <c r="Q2044" s="18"/>
      <c r="R2044" s="14"/>
      <c r="S2044" s="14">
        <v>1</v>
      </c>
    </row>
    <row r="2045" spans="2:19" ht="20.25" hidden="1" customHeight="1">
      <c r="B2045" s="17"/>
      <c r="Q2045" s="18"/>
      <c r="R2045" s="14"/>
      <c r="S2045" s="14">
        <v>1</v>
      </c>
    </row>
    <row r="2046" spans="2:19" ht="20.25" hidden="1" customHeight="1">
      <c r="B2046" s="17"/>
      <c r="Q2046" s="18"/>
      <c r="R2046" s="14"/>
      <c r="S2046" s="14">
        <v>1</v>
      </c>
    </row>
    <row r="2047" spans="2:19" ht="20.25" hidden="1" customHeight="1">
      <c r="B2047" s="17"/>
      <c r="Q2047" s="18"/>
      <c r="R2047" s="14"/>
      <c r="S2047" s="14">
        <v>1</v>
      </c>
    </row>
    <row r="2048" spans="2:19" ht="20.25" hidden="1" customHeight="1">
      <c r="B2048" s="17"/>
      <c r="Q2048" s="18"/>
      <c r="R2048" s="14"/>
      <c r="S2048" s="14">
        <v>1</v>
      </c>
    </row>
    <row r="2049" spans="2:19" ht="20.25" hidden="1" customHeight="1">
      <c r="B2049" s="17"/>
      <c r="Q2049" s="18"/>
      <c r="R2049" s="14"/>
      <c r="S2049" s="14">
        <v>1</v>
      </c>
    </row>
    <row r="2050" spans="2:19" ht="20.25" hidden="1" customHeight="1">
      <c r="B2050" s="17"/>
      <c r="Q2050" s="18"/>
      <c r="R2050" s="14"/>
      <c r="S2050" s="14">
        <v>1</v>
      </c>
    </row>
    <row r="2051" spans="2:19" ht="20.25" hidden="1" customHeight="1">
      <c r="B2051" s="17"/>
      <c r="Q2051" s="18"/>
      <c r="R2051" s="14"/>
      <c r="S2051" s="14">
        <v>1</v>
      </c>
    </row>
    <row r="2052" spans="2:19" ht="20.25" hidden="1" customHeight="1">
      <c r="B2052" s="17"/>
      <c r="Q2052" s="18"/>
      <c r="R2052" s="14"/>
      <c r="S2052" s="14">
        <v>1</v>
      </c>
    </row>
    <row r="2053" spans="2:19" ht="20.25" hidden="1" customHeight="1">
      <c r="B2053" s="17"/>
      <c r="Q2053" s="18"/>
      <c r="R2053" s="14"/>
      <c r="S2053" s="14">
        <v>1</v>
      </c>
    </row>
    <row r="2054" spans="2:19" ht="20.25" hidden="1" customHeight="1">
      <c r="B2054" s="17"/>
      <c r="Q2054" s="18"/>
      <c r="R2054" s="14"/>
      <c r="S2054" s="14">
        <v>1</v>
      </c>
    </row>
    <row r="2055" spans="2:19" ht="20.25" hidden="1" customHeight="1">
      <c r="B2055" s="17"/>
      <c r="Q2055" s="18"/>
      <c r="R2055" s="14"/>
      <c r="S2055" s="14">
        <v>1</v>
      </c>
    </row>
    <row r="2056" spans="2:19" ht="20.25" hidden="1" customHeight="1">
      <c r="B2056" s="17"/>
      <c r="Q2056" s="18"/>
      <c r="R2056" s="14"/>
      <c r="S2056" s="14">
        <v>1</v>
      </c>
    </row>
    <row r="2057" spans="2:19" ht="20.25" hidden="1" customHeight="1">
      <c r="B2057" s="17"/>
      <c r="Q2057" s="18"/>
      <c r="R2057" s="14"/>
      <c r="S2057" s="14">
        <v>1</v>
      </c>
    </row>
    <row r="2058" spans="2:19" ht="20.25" hidden="1" customHeight="1">
      <c r="B2058" s="17"/>
      <c r="Q2058" s="18"/>
      <c r="R2058" s="14"/>
      <c r="S2058" s="14">
        <v>1</v>
      </c>
    </row>
    <row r="2059" spans="2:19" ht="20.25" hidden="1" customHeight="1">
      <c r="B2059" s="17"/>
      <c r="Q2059" s="18"/>
      <c r="R2059" s="14"/>
      <c r="S2059" s="14">
        <v>1</v>
      </c>
    </row>
    <row r="2060" spans="2:19" ht="20.25" hidden="1" customHeight="1">
      <c r="B2060" s="17"/>
      <c r="Q2060" s="18"/>
      <c r="R2060" s="14"/>
      <c r="S2060" s="14">
        <v>1</v>
      </c>
    </row>
    <row r="2061" spans="2:19" ht="20.25" hidden="1" customHeight="1">
      <c r="B2061" s="17"/>
      <c r="Q2061" s="18"/>
      <c r="R2061" s="14"/>
      <c r="S2061" s="14">
        <v>1</v>
      </c>
    </row>
    <row r="2062" spans="2:19" ht="20.25" hidden="1" customHeight="1">
      <c r="B2062" s="17"/>
      <c r="Q2062" s="18"/>
      <c r="R2062" s="14"/>
      <c r="S2062" s="14">
        <v>1</v>
      </c>
    </row>
    <row r="2063" spans="2:19" ht="20.25" hidden="1" customHeight="1">
      <c r="B2063" s="17"/>
      <c r="Q2063" s="18"/>
      <c r="R2063" s="14"/>
      <c r="S2063" s="14">
        <v>1</v>
      </c>
    </row>
    <row r="2064" spans="2:19" ht="20.25" hidden="1" customHeight="1">
      <c r="B2064" s="17"/>
      <c r="Q2064" s="18"/>
      <c r="R2064" s="14"/>
      <c r="S2064" s="14">
        <v>1</v>
      </c>
    </row>
    <row r="2065" spans="2:19" ht="20.25" hidden="1" customHeight="1">
      <c r="B2065" s="17"/>
      <c r="Q2065" s="18"/>
      <c r="R2065" s="14"/>
      <c r="S2065" s="14">
        <v>1</v>
      </c>
    </row>
    <row r="2066" spans="2:19" ht="20.25" hidden="1" customHeight="1">
      <c r="B2066" s="17"/>
      <c r="Q2066" s="18"/>
      <c r="R2066" s="14"/>
      <c r="S2066" s="14">
        <v>1</v>
      </c>
    </row>
    <row r="2067" spans="2:19" ht="20.25" hidden="1" customHeight="1">
      <c r="B2067" s="17"/>
      <c r="Q2067" s="18"/>
      <c r="R2067" s="14"/>
      <c r="S2067" s="14">
        <v>1</v>
      </c>
    </row>
    <row r="2068" spans="2:19" ht="20.25" hidden="1" customHeight="1">
      <c r="B2068" s="17"/>
      <c r="Q2068" s="18"/>
      <c r="R2068" s="14"/>
      <c r="S2068" s="14">
        <v>1</v>
      </c>
    </row>
    <row r="2069" spans="2:19" ht="20.25" hidden="1" customHeight="1">
      <c r="B2069" s="17"/>
      <c r="Q2069" s="18"/>
      <c r="R2069" s="14"/>
      <c r="S2069" s="14">
        <v>1</v>
      </c>
    </row>
    <row r="2070" spans="2:19" ht="20.25" hidden="1" customHeight="1">
      <c r="B2070" s="17"/>
      <c r="Q2070" s="18"/>
      <c r="R2070" s="14"/>
      <c r="S2070" s="14">
        <v>1</v>
      </c>
    </row>
    <row r="2071" spans="2:19" ht="20.25" hidden="1" customHeight="1">
      <c r="B2071" s="17"/>
      <c r="Q2071" s="18"/>
      <c r="R2071" s="14"/>
      <c r="S2071" s="14">
        <v>1</v>
      </c>
    </row>
    <row r="2072" spans="2:19" ht="20.25" hidden="1" customHeight="1">
      <c r="B2072" s="17"/>
      <c r="Q2072" s="18"/>
      <c r="R2072" s="14"/>
      <c r="S2072" s="14">
        <v>1</v>
      </c>
    </row>
    <row r="2073" spans="2:19" ht="20.25" hidden="1" customHeight="1">
      <c r="B2073" s="17"/>
      <c r="Q2073" s="18"/>
      <c r="R2073" s="14"/>
      <c r="S2073" s="14">
        <v>1</v>
      </c>
    </row>
    <row r="2074" spans="2:19" ht="20.25" hidden="1" customHeight="1">
      <c r="B2074" s="17"/>
      <c r="Q2074" s="18"/>
      <c r="R2074" s="14"/>
      <c r="S2074" s="14">
        <v>1</v>
      </c>
    </row>
    <row r="2075" spans="2:19" ht="20.25" hidden="1" customHeight="1">
      <c r="B2075" s="17"/>
      <c r="Q2075" s="18"/>
      <c r="R2075" s="14"/>
      <c r="S2075" s="14">
        <v>1</v>
      </c>
    </row>
    <row r="2076" spans="2:19" ht="20.25" hidden="1" customHeight="1">
      <c r="B2076" s="17"/>
      <c r="Q2076" s="18"/>
      <c r="R2076" s="14"/>
      <c r="S2076" s="14">
        <v>1</v>
      </c>
    </row>
    <row r="2077" spans="2:19" ht="20.25" hidden="1" customHeight="1">
      <c r="B2077" s="17"/>
      <c r="Q2077" s="18"/>
      <c r="R2077" s="14"/>
      <c r="S2077" s="14">
        <v>1</v>
      </c>
    </row>
    <row r="2078" spans="2:19" ht="20.25" hidden="1" customHeight="1">
      <c r="B2078" s="17"/>
      <c r="Q2078" s="18"/>
      <c r="R2078" s="14"/>
      <c r="S2078" s="14">
        <v>1</v>
      </c>
    </row>
    <row r="2079" spans="2:19" ht="20.25" hidden="1" customHeight="1">
      <c r="B2079" s="17"/>
      <c r="Q2079" s="18"/>
      <c r="R2079" s="14"/>
      <c r="S2079" s="14">
        <v>1</v>
      </c>
    </row>
    <row r="2080" spans="2:19" ht="20.25" hidden="1" customHeight="1">
      <c r="B2080" s="17"/>
      <c r="Q2080" s="18"/>
      <c r="R2080" s="14"/>
      <c r="S2080" s="14">
        <v>1</v>
      </c>
    </row>
    <row r="2081" spans="2:19" ht="20.25" hidden="1" customHeight="1">
      <c r="B2081" s="17"/>
      <c r="Q2081" s="18"/>
      <c r="R2081" s="14"/>
      <c r="S2081" s="14">
        <v>1</v>
      </c>
    </row>
    <row r="2082" spans="2:19" ht="20.25" hidden="1" customHeight="1">
      <c r="B2082" s="17"/>
      <c r="Q2082" s="18"/>
      <c r="R2082" s="14"/>
      <c r="S2082" s="14">
        <v>1</v>
      </c>
    </row>
    <row r="2083" spans="2:19" ht="20.25" hidden="1" customHeight="1">
      <c r="B2083" s="17"/>
      <c r="Q2083" s="18"/>
      <c r="R2083" s="14"/>
      <c r="S2083" s="14">
        <v>1</v>
      </c>
    </row>
    <row r="2084" spans="2:19" ht="20.25" hidden="1" customHeight="1">
      <c r="B2084" s="17"/>
      <c r="Q2084" s="18"/>
      <c r="R2084" s="14"/>
      <c r="S2084" s="14">
        <v>1</v>
      </c>
    </row>
    <row r="2085" spans="2:19" ht="20.25" hidden="1" customHeight="1">
      <c r="B2085" s="17"/>
      <c r="Q2085" s="18"/>
      <c r="R2085" s="14"/>
      <c r="S2085" s="14">
        <v>1</v>
      </c>
    </row>
    <row r="2086" spans="2:19" ht="20.25" hidden="1" customHeight="1">
      <c r="B2086" s="17"/>
      <c r="Q2086" s="18"/>
      <c r="R2086" s="14"/>
      <c r="S2086" s="14">
        <v>1</v>
      </c>
    </row>
    <row r="2087" spans="2:19" ht="20.25" hidden="1" customHeight="1">
      <c r="B2087" s="17"/>
      <c r="Q2087" s="18"/>
      <c r="R2087" s="14"/>
      <c r="S2087" s="14">
        <v>1</v>
      </c>
    </row>
    <row r="2088" spans="2:19" ht="20.25" hidden="1" customHeight="1">
      <c r="B2088" s="17"/>
      <c r="Q2088" s="18"/>
      <c r="R2088" s="14"/>
      <c r="S2088" s="14">
        <v>1</v>
      </c>
    </row>
    <row r="2089" spans="2:19" ht="20.25" hidden="1" customHeight="1">
      <c r="B2089" s="17"/>
      <c r="Q2089" s="18"/>
      <c r="R2089" s="14"/>
      <c r="S2089" s="14">
        <v>1</v>
      </c>
    </row>
    <row r="2090" spans="2:19" ht="20.25" hidden="1" customHeight="1">
      <c r="B2090" s="17"/>
      <c r="Q2090" s="18"/>
      <c r="R2090" s="14"/>
      <c r="S2090" s="14">
        <v>1</v>
      </c>
    </row>
    <row r="2091" spans="2:19" ht="20.25" hidden="1" customHeight="1">
      <c r="B2091" s="17"/>
      <c r="Q2091" s="18"/>
      <c r="R2091" s="14"/>
      <c r="S2091" s="14">
        <v>1</v>
      </c>
    </row>
    <row r="2092" spans="2:19" ht="20.25" hidden="1" customHeight="1">
      <c r="B2092" s="17"/>
      <c r="Q2092" s="18"/>
      <c r="R2092" s="14"/>
      <c r="S2092" s="14">
        <v>1</v>
      </c>
    </row>
    <row r="2093" spans="2:19" ht="20.25" hidden="1" customHeight="1">
      <c r="B2093" s="17"/>
      <c r="Q2093" s="18"/>
      <c r="R2093" s="14"/>
      <c r="S2093" s="14">
        <v>1</v>
      </c>
    </row>
    <row r="2094" spans="2:19" ht="20.25" hidden="1" customHeight="1">
      <c r="B2094" s="17"/>
      <c r="Q2094" s="18"/>
      <c r="R2094" s="14"/>
      <c r="S2094" s="14">
        <v>1</v>
      </c>
    </row>
    <row r="2095" spans="2:19" ht="20.25" hidden="1" customHeight="1">
      <c r="B2095" s="17"/>
      <c r="Q2095" s="18"/>
      <c r="R2095" s="14"/>
      <c r="S2095" s="14">
        <v>1</v>
      </c>
    </row>
    <row r="2096" spans="2:19" ht="20.25" hidden="1" customHeight="1">
      <c r="B2096" s="17"/>
      <c r="Q2096" s="18"/>
      <c r="R2096" s="14"/>
      <c r="S2096" s="14">
        <v>1</v>
      </c>
    </row>
    <row r="2097" spans="2:19" ht="20.25" hidden="1" customHeight="1">
      <c r="B2097" s="17"/>
      <c r="Q2097" s="18"/>
      <c r="R2097" s="14"/>
      <c r="S2097" s="14">
        <v>1</v>
      </c>
    </row>
    <row r="2098" spans="2:19" ht="20.25" hidden="1" customHeight="1">
      <c r="B2098" s="17"/>
      <c r="Q2098" s="18"/>
      <c r="R2098" s="14"/>
      <c r="S2098" s="14">
        <v>1</v>
      </c>
    </row>
    <row r="2099" spans="2:19" ht="20.25" hidden="1" customHeight="1">
      <c r="B2099" s="17"/>
      <c r="Q2099" s="18"/>
      <c r="R2099" s="14"/>
      <c r="S2099" s="14">
        <v>1</v>
      </c>
    </row>
    <row r="2100" spans="2:19" ht="20.25" hidden="1" customHeight="1">
      <c r="B2100" s="17"/>
      <c r="Q2100" s="18"/>
      <c r="R2100" s="14"/>
      <c r="S2100" s="14">
        <v>1</v>
      </c>
    </row>
    <row r="2101" spans="2:19" ht="20.25" hidden="1" customHeight="1">
      <c r="B2101" s="17"/>
      <c r="Q2101" s="18"/>
      <c r="R2101" s="14"/>
      <c r="S2101" s="14">
        <v>1</v>
      </c>
    </row>
    <row r="2102" spans="2:19" ht="20.25" hidden="1" customHeight="1">
      <c r="B2102" s="17"/>
      <c r="Q2102" s="18"/>
      <c r="R2102" s="14"/>
      <c r="S2102" s="14">
        <v>1</v>
      </c>
    </row>
    <row r="2103" spans="2:19" ht="20.25" hidden="1" customHeight="1">
      <c r="B2103" s="17"/>
      <c r="Q2103" s="18"/>
      <c r="R2103" s="14"/>
      <c r="S2103" s="14">
        <v>1</v>
      </c>
    </row>
    <row r="2104" spans="2:19" ht="20.25" hidden="1" customHeight="1">
      <c r="B2104" s="17"/>
      <c r="Q2104" s="18"/>
      <c r="R2104" s="14"/>
      <c r="S2104" s="14">
        <v>1</v>
      </c>
    </row>
    <row r="2105" spans="2:19" ht="20.25" hidden="1" customHeight="1">
      <c r="B2105" s="17"/>
      <c r="Q2105" s="18"/>
      <c r="R2105" s="14"/>
      <c r="S2105" s="14">
        <v>1</v>
      </c>
    </row>
    <row r="2106" spans="2:19" ht="20.25" hidden="1" customHeight="1">
      <c r="B2106" s="17"/>
      <c r="Q2106" s="18"/>
      <c r="R2106" s="14"/>
      <c r="S2106" s="14">
        <v>1</v>
      </c>
    </row>
    <row r="2107" spans="2:19" ht="20.25" hidden="1" customHeight="1">
      <c r="B2107" s="17"/>
      <c r="Q2107" s="18"/>
      <c r="R2107" s="14"/>
      <c r="S2107" s="14">
        <v>1</v>
      </c>
    </row>
    <row r="2108" spans="2:19" ht="20.25" hidden="1" customHeight="1">
      <c r="B2108" s="17"/>
      <c r="Q2108" s="18"/>
      <c r="R2108" s="14"/>
      <c r="S2108" s="14">
        <v>1</v>
      </c>
    </row>
    <row r="2109" spans="2:19" ht="20.25" hidden="1" customHeight="1">
      <c r="B2109" s="17"/>
      <c r="Q2109" s="18"/>
      <c r="R2109" s="14"/>
      <c r="S2109" s="14">
        <v>1</v>
      </c>
    </row>
    <row r="2110" spans="2:19" ht="20.25" hidden="1" customHeight="1">
      <c r="B2110" s="17"/>
      <c r="Q2110" s="18"/>
      <c r="R2110" s="14"/>
      <c r="S2110" s="14">
        <v>1</v>
      </c>
    </row>
    <row r="2111" spans="2:19" ht="20.25" hidden="1" customHeight="1">
      <c r="B2111" s="17"/>
      <c r="Q2111" s="18"/>
      <c r="R2111" s="14"/>
      <c r="S2111" s="14">
        <v>1</v>
      </c>
    </row>
    <row r="2112" spans="2:19" ht="20.25" hidden="1" customHeight="1">
      <c r="B2112" s="17"/>
      <c r="Q2112" s="18"/>
      <c r="R2112" s="14"/>
      <c r="S2112" s="14">
        <v>1</v>
      </c>
    </row>
    <row r="2113" spans="2:19" ht="20.25" hidden="1" customHeight="1">
      <c r="B2113" s="17"/>
      <c r="Q2113" s="18"/>
      <c r="R2113" s="14"/>
      <c r="S2113" s="14">
        <v>1</v>
      </c>
    </row>
    <row r="2114" spans="2:19" ht="20.25" hidden="1" customHeight="1">
      <c r="B2114" s="17"/>
      <c r="Q2114" s="18"/>
      <c r="R2114" s="14"/>
      <c r="S2114" s="14">
        <v>1</v>
      </c>
    </row>
    <row r="2115" spans="2:19" ht="20.25" hidden="1" customHeight="1">
      <c r="B2115" s="17"/>
      <c r="Q2115" s="18"/>
      <c r="R2115" s="14"/>
      <c r="S2115" s="14">
        <v>1</v>
      </c>
    </row>
    <row r="2116" spans="2:19" ht="20.25" hidden="1" customHeight="1">
      <c r="B2116" s="17"/>
      <c r="Q2116" s="18"/>
      <c r="R2116" s="14"/>
      <c r="S2116" s="14">
        <v>1</v>
      </c>
    </row>
    <row r="2117" spans="2:19" ht="20.25" hidden="1" customHeight="1">
      <c r="B2117" s="17"/>
      <c r="Q2117" s="18"/>
      <c r="R2117" s="14"/>
      <c r="S2117" s="14">
        <v>1</v>
      </c>
    </row>
    <row r="2118" spans="2:19" ht="20.25" hidden="1" customHeight="1">
      <c r="B2118" s="17"/>
      <c r="Q2118" s="18"/>
      <c r="R2118" s="14"/>
      <c r="S2118" s="14">
        <v>1</v>
      </c>
    </row>
    <row r="2119" spans="2:19" ht="20.25" hidden="1" customHeight="1">
      <c r="B2119" s="17"/>
      <c r="Q2119" s="18"/>
      <c r="R2119" s="14"/>
      <c r="S2119" s="14">
        <v>1</v>
      </c>
    </row>
    <row r="2120" spans="2:19" ht="20.25" hidden="1" customHeight="1">
      <c r="B2120" s="17"/>
      <c r="Q2120" s="18"/>
      <c r="R2120" s="14"/>
      <c r="S2120" s="14">
        <v>1</v>
      </c>
    </row>
    <row r="2121" spans="2:19" ht="20.25" hidden="1" customHeight="1">
      <c r="B2121" s="17"/>
      <c r="Q2121" s="18"/>
      <c r="R2121" s="14"/>
      <c r="S2121" s="14">
        <v>1</v>
      </c>
    </row>
    <row r="2122" spans="2:19" ht="20.25" hidden="1" customHeight="1">
      <c r="B2122" s="17"/>
      <c r="Q2122" s="18"/>
      <c r="R2122" s="14"/>
      <c r="S2122" s="14">
        <v>1</v>
      </c>
    </row>
    <row r="2123" spans="2:19" ht="20.25" hidden="1" customHeight="1">
      <c r="B2123" s="17"/>
      <c r="Q2123" s="18"/>
      <c r="R2123" s="14"/>
      <c r="S2123" s="14">
        <v>1</v>
      </c>
    </row>
    <row r="2124" spans="2:19" ht="20.25" hidden="1" customHeight="1">
      <c r="B2124" s="17"/>
      <c r="Q2124" s="18"/>
      <c r="R2124" s="14"/>
      <c r="S2124" s="14">
        <v>1</v>
      </c>
    </row>
    <row r="2125" spans="2:19" ht="20.25" hidden="1" customHeight="1">
      <c r="B2125" s="17"/>
      <c r="Q2125" s="18"/>
      <c r="R2125" s="14"/>
      <c r="S2125" s="14">
        <v>1</v>
      </c>
    </row>
    <row r="2126" spans="2:19" ht="20.25" hidden="1" customHeight="1">
      <c r="B2126" s="17"/>
      <c r="Q2126" s="18"/>
      <c r="R2126" s="14"/>
      <c r="S2126" s="14">
        <v>1</v>
      </c>
    </row>
    <row r="2127" spans="2:19" ht="20.25" hidden="1" customHeight="1">
      <c r="B2127" s="17"/>
      <c r="Q2127" s="18"/>
      <c r="R2127" s="14"/>
      <c r="S2127" s="14">
        <v>1</v>
      </c>
    </row>
    <row r="2128" spans="2:19" ht="20.25" hidden="1" customHeight="1">
      <c r="B2128" s="17"/>
      <c r="Q2128" s="18"/>
      <c r="R2128" s="14"/>
      <c r="S2128" s="14">
        <v>1</v>
      </c>
    </row>
    <row r="2129" spans="2:19" ht="20.25" hidden="1" customHeight="1">
      <c r="B2129" s="17"/>
      <c r="Q2129" s="18"/>
      <c r="R2129" s="14"/>
      <c r="S2129" s="14">
        <v>1</v>
      </c>
    </row>
    <row r="2130" spans="2:19" ht="20.25" hidden="1" customHeight="1">
      <c r="B2130" s="17"/>
      <c r="Q2130" s="18"/>
      <c r="R2130" s="14"/>
      <c r="S2130" s="14">
        <v>1</v>
      </c>
    </row>
    <row r="2131" spans="2:19" ht="20.25" hidden="1" customHeight="1">
      <c r="B2131" s="17"/>
      <c r="Q2131" s="18"/>
      <c r="R2131" s="14"/>
      <c r="S2131" s="14">
        <v>1</v>
      </c>
    </row>
    <row r="2132" spans="2:19" ht="20.25" hidden="1" customHeight="1">
      <c r="B2132" s="17"/>
      <c r="Q2132" s="18"/>
      <c r="R2132" s="14"/>
      <c r="S2132" s="14">
        <v>1</v>
      </c>
    </row>
    <row r="2133" spans="2:19" ht="20.25" hidden="1" customHeight="1">
      <c r="B2133" s="17"/>
      <c r="Q2133" s="18"/>
      <c r="R2133" s="14"/>
      <c r="S2133" s="14">
        <v>1</v>
      </c>
    </row>
    <row r="2134" spans="2:19" ht="20.25" hidden="1" customHeight="1">
      <c r="B2134" s="17"/>
      <c r="Q2134" s="18"/>
      <c r="R2134" s="14"/>
      <c r="S2134" s="14">
        <v>1</v>
      </c>
    </row>
    <row r="2135" spans="2:19" ht="20.25" hidden="1" customHeight="1">
      <c r="B2135" s="17"/>
      <c r="Q2135" s="18"/>
      <c r="R2135" s="14"/>
      <c r="S2135" s="14">
        <v>1</v>
      </c>
    </row>
    <row r="2136" spans="2:19" ht="20.25" hidden="1" customHeight="1">
      <c r="B2136" s="17"/>
      <c r="Q2136" s="18"/>
      <c r="R2136" s="14"/>
      <c r="S2136" s="14">
        <v>1</v>
      </c>
    </row>
    <row r="2137" spans="2:19" ht="20.25" hidden="1" customHeight="1">
      <c r="B2137" s="17"/>
      <c r="Q2137" s="18"/>
      <c r="R2137" s="14"/>
      <c r="S2137" s="14">
        <v>1</v>
      </c>
    </row>
    <row r="2138" spans="2:19" ht="20.25" hidden="1" customHeight="1">
      <c r="B2138" s="17"/>
      <c r="Q2138" s="18"/>
      <c r="R2138" s="14"/>
      <c r="S2138" s="14">
        <v>1</v>
      </c>
    </row>
    <row r="2139" spans="2:19" ht="20.25" hidden="1" customHeight="1">
      <c r="B2139" s="17"/>
      <c r="Q2139" s="18"/>
      <c r="R2139" s="14"/>
      <c r="S2139" s="14">
        <v>1</v>
      </c>
    </row>
    <row r="2140" spans="2:19" ht="20.25" hidden="1" customHeight="1">
      <c r="B2140" s="17"/>
      <c r="Q2140" s="18"/>
      <c r="R2140" s="14"/>
      <c r="S2140" s="14">
        <v>1</v>
      </c>
    </row>
    <row r="2141" spans="2:19" ht="20.25" hidden="1" customHeight="1">
      <c r="B2141" s="17"/>
      <c r="Q2141" s="18"/>
      <c r="R2141" s="14"/>
      <c r="S2141" s="14">
        <v>1</v>
      </c>
    </row>
    <row r="2142" spans="2:19" ht="20.25" hidden="1" customHeight="1">
      <c r="B2142" s="17"/>
      <c r="Q2142" s="18"/>
      <c r="R2142" s="14"/>
      <c r="S2142" s="14">
        <v>1</v>
      </c>
    </row>
    <row r="2143" spans="2:19" ht="20.25" hidden="1" customHeight="1">
      <c r="B2143" s="17"/>
      <c r="Q2143" s="18"/>
      <c r="R2143" s="14"/>
      <c r="S2143" s="14">
        <v>1</v>
      </c>
    </row>
    <row r="2144" spans="2:19" ht="20.25" hidden="1" customHeight="1">
      <c r="B2144" s="17"/>
      <c r="Q2144" s="18"/>
      <c r="R2144" s="14"/>
      <c r="S2144" s="14">
        <v>1</v>
      </c>
    </row>
    <row r="2145" spans="2:19" ht="20.25" hidden="1" customHeight="1">
      <c r="B2145" s="17"/>
      <c r="Q2145" s="18"/>
      <c r="R2145" s="14"/>
      <c r="S2145" s="14">
        <v>1</v>
      </c>
    </row>
    <row r="2146" spans="2:19" ht="20.25" hidden="1" customHeight="1">
      <c r="B2146" s="17"/>
      <c r="Q2146" s="18"/>
      <c r="R2146" s="14"/>
      <c r="S2146" s="14">
        <v>1</v>
      </c>
    </row>
    <row r="2147" spans="2:19" ht="20.25" hidden="1" customHeight="1">
      <c r="B2147" s="17"/>
      <c r="Q2147" s="18"/>
      <c r="R2147" s="14"/>
      <c r="S2147" s="14">
        <v>1</v>
      </c>
    </row>
    <row r="2148" spans="2:19" ht="20.25" hidden="1" customHeight="1">
      <c r="B2148" s="17"/>
      <c r="Q2148" s="18"/>
      <c r="R2148" s="14"/>
      <c r="S2148" s="14">
        <v>1</v>
      </c>
    </row>
    <row r="2149" spans="2:19" ht="20.25" hidden="1" customHeight="1">
      <c r="B2149" s="17"/>
      <c r="Q2149" s="18"/>
      <c r="R2149" s="14"/>
      <c r="S2149" s="14">
        <v>1</v>
      </c>
    </row>
    <row r="2150" spans="2:19" ht="20.25" hidden="1" customHeight="1">
      <c r="B2150" s="17"/>
      <c r="Q2150" s="18"/>
      <c r="R2150" s="14"/>
      <c r="S2150" s="14">
        <v>1</v>
      </c>
    </row>
    <row r="2151" spans="2:19" ht="20.25" hidden="1" customHeight="1">
      <c r="B2151" s="17"/>
      <c r="Q2151" s="18"/>
      <c r="R2151" s="14"/>
      <c r="S2151" s="14">
        <v>1</v>
      </c>
    </row>
    <row r="2152" spans="2:19" ht="20.25" hidden="1" customHeight="1">
      <c r="B2152" s="17"/>
      <c r="Q2152" s="18"/>
      <c r="R2152" s="14"/>
      <c r="S2152" s="14">
        <v>1</v>
      </c>
    </row>
    <row r="2153" spans="2:19" ht="20.25" hidden="1" customHeight="1">
      <c r="B2153" s="17"/>
      <c r="Q2153" s="18"/>
      <c r="R2153" s="14"/>
      <c r="S2153" s="14">
        <v>1</v>
      </c>
    </row>
    <row r="2154" spans="2:19" ht="20.25" hidden="1" customHeight="1">
      <c r="B2154" s="17"/>
      <c r="Q2154" s="18"/>
      <c r="R2154" s="14"/>
      <c r="S2154" s="14">
        <v>1</v>
      </c>
    </row>
    <row r="2155" spans="2:19" ht="20.25" hidden="1" customHeight="1">
      <c r="B2155" s="17"/>
      <c r="Q2155" s="18"/>
      <c r="R2155" s="14"/>
      <c r="S2155" s="14">
        <v>1</v>
      </c>
    </row>
    <row r="2156" spans="2:19" ht="20.25" hidden="1" customHeight="1">
      <c r="B2156" s="17"/>
      <c r="Q2156" s="18"/>
      <c r="R2156" s="14"/>
      <c r="S2156" s="14">
        <v>1</v>
      </c>
    </row>
    <row r="2157" spans="2:19" ht="20.25" hidden="1" customHeight="1">
      <c r="B2157" s="17"/>
      <c r="Q2157" s="18"/>
      <c r="R2157" s="14"/>
      <c r="S2157" s="14">
        <v>1</v>
      </c>
    </row>
    <row r="2158" spans="2:19" ht="20.25" hidden="1" customHeight="1">
      <c r="B2158" s="17"/>
      <c r="Q2158" s="18"/>
      <c r="R2158" s="14"/>
      <c r="S2158" s="14">
        <v>1</v>
      </c>
    </row>
    <row r="2159" spans="2:19" ht="20.25" hidden="1" customHeight="1">
      <c r="B2159" s="17"/>
      <c r="Q2159" s="18"/>
      <c r="R2159" s="14"/>
      <c r="S2159" s="14">
        <v>1</v>
      </c>
    </row>
    <row r="2160" spans="2:19" ht="20.25" hidden="1" customHeight="1">
      <c r="B2160" s="17"/>
      <c r="Q2160" s="18"/>
      <c r="R2160" s="14"/>
      <c r="S2160" s="14">
        <v>1</v>
      </c>
    </row>
    <row r="2161" spans="2:19" ht="20.25" hidden="1" customHeight="1">
      <c r="B2161" s="17"/>
      <c r="Q2161" s="18"/>
      <c r="R2161" s="14"/>
      <c r="S2161" s="14">
        <v>1</v>
      </c>
    </row>
    <row r="2162" spans="2:19" ht="20.25" hidden="1" customHeight="1">
      <c r="B2162" s="17"/>
      <c r="Q2162" s="18"/>
      <c r="R2162" s="14"/>
      <c r="S2162" s="14">
        <v>1</v>
      </c>
    </row>
    <row r="2163" spans="2:19" ht="20.25" hidden="1" customHeight="1">
      <c r="B2163" s="17"/>
      <c r="Q2163" s="18"/>
      <c r="R2163" s="14"/>
      <c r="S2163" s="14">
        <v>1</v>
      </c>
    </row>
    <row r="2164" spans="2:19" ht="20.25" hidden="1" customHeight="1">
      <c r="B2164" s="17"/>
      <c r="Q2164" s="18"/>
      <c r="R2164" s="14"/>
      <c r="S2164" s="14">
        <v>1</v>
      </c>
    </row>
    <row r="2165" spans="2:19" ht="20.25" hidden="1" customHeight="1">
      <c r="B2165" s="17"/>
      <c r="Q2165" s="18"/>
      <c r="R2165" s="14"/>
      <c r="S2165" s="14">
        <v>1</v>
      </c>
    </row>
    <row r="2166" spans="2:19" ht="20.25" hidden="1" customHeight="1">
      <c r="B2166" s="17"/>
      <c r="Q2166" s="18"/>
      <c r="R2166" s="14"/>
      <c r="S2166" s="14">
        <v>1</v>
      </c>
    </row>
    <row r="2167" spans="2:19" ht="20.25" hidden="1" customHeight="1">
      <c r="B2167" s="17"/>
      <c r="Q2167" s="18"/>
      <c r="R2167" s="14"/>
      <c r="S2167" s="14">
        <v>1</v>
      </c>
    </row>
    <row r="2168" spans="2:19" ht="20.25" hidden="1" customHeight="1">
      <c r="B2168" s="17"/>
      <c r="Q2168" s="18"/>
      <c r="R2168" s="14"/>
      <c r="S2168" s="14">
        <v>1</v>
      </c>
    </row>
    <row r="2169" spans="2:19" ht="20.25" hidden="1" customHeight="1">
      <c r="B2169" s="17"/>
      <c r="Q2169" s="18"/>
      <c r="R2169" s="14"/>
      <c r="S2169" s="14">
        <v>1</v>
      </c>
    </row>
    <row r="2170" spans="2:19" ht="20.25" hidden="1" customHeight="1">
      <c r="B2170" s="17"/>
      <c r="Q2170" s="18"/>
      <c r="R2170" s="14"/>
      <c r="S2170" s="14">
        <v>1</v>
      </c>
    </row>
    <row r="2171" spans="2:19" ht="20.25" hidden="1" customHeight="1">
      <c r="B2171" s="17"/>
      <c r="Q2171" s="18"/>
      <c r="R2171" s="14"/>
      <c r="S2171" s="14">
        <v>1</v>
      </c>
    </row>
    <row r="2172" spans="2:19" ht="20.25" hidden="1" customHeight="1">
      <c r="B2172" s="17"/>
      <c r="Q2172" s="18"/>
      <c r="R2172" s="14"/>
      <c r="S2172" s="14">
        <v>1</v>
      </c>
    </row>
    <row r="2173" spans="2:19" ht="20.25" hidden="1" customHeight="1">
      <c r="B2173" s="17"/>
      <c r="Q2173" s="18"/>
      <c r="R2173" s="14"/>
      <c r="S2173" s="14">
        <v>1</v>
      </c>
    </row>
    <row r="2174" spans="2:19" ht="20.25" hidden="1" customHeight="1">
      <c r="B2174" s="17"/>
      <c r="Q2174" s="18"/>
      <c r="R2174" s="14"/>
      <c r="S2174" s="14">
        <v>1</v>
      </c>
    </row>
    <row r="2175" spans="2:19" ht="20.25" hidden="1" customHeight="1">
      <c r="B2175" s="17"/>
      <c r="Q2175" s="18"/>
      <c r="R2175" s="14"/>
      <c r="S2175" s="14">
        <v>1</v>
      </c>
    </row>
    <row r="2176" spans="2:19" ht="20.25" hidden="1" customHeight="1">
      <c r="B2176" s="17"/>
      <c r="Q2176" s="18"/>
      <c r="R2176" s="14"/>
      <c r="S2176" s="14">
        <v>1</v>
      </c>
    </row>
    <row r="2177" spans="2:19" ht="20.25" hidden="1" customHeight="1">
      <c r="B2177" s="17"/>
      <c r="Q2177" s="18"/>
      <c r="R2177" s="14"/>
      <c r="S2177" s="14">
        <v>1</v>
      </c>
    </row>
    <row r="2178" spans="2:19" ht="20.25" hidden="1" customHeight="1">
      <c r="B2178" s="17"/>
      <c r="Q2178" s="18"/>
      <c r="R2178" s="14"/>
      <c r="S2178" s="14">
        <v>1</v>
      </c>
    </row>
    <row r="2179" spans="2:19" ht="20.25" hidden="1" customHeight="1">
      <c r="B2179" s="17"/>
      <c r="Q2179" s="18"/>
      <c r="R2179" s="14"/>
      <c r="S2179" s="14">
        <v>1</v>
      </c>
    </row>
    <row r="2180" spans="2:19" ht="20.25" hidden="1" customHeight="1">
      <c r="B2180" s="17"/>
      <c r="Q2180" s="18"/>
      <c r="R2180" s="14"/>
      <c r="S2180" s="14">
        <v>1</v>
      </c>
    </row>
    <row r="2181" spans="2:19" ht="20.25" hidden="1" customHeight="1">
      <c r="B2181" s="17"/>
      <c r="Q2181" s="18"/>
      <c r="R2181" s="14"/>
      <c r="S2181" s="14">
        <v>1</v>
      </c>
    </row>
    <row r="2182" spans="2:19" ht="20.25" hidden="1" customHeight="1">
      <c r="B2182" s="17"/>
      <c r="Q2182" s="18"/>
      <c r="R2182" s="14"/>
      <c r="S2182" s="14">
        <v>1</v>
      </c>
    </row>
    <row r="2183" spans="2:19" ht="20.25" hidden="1" customHeight="1">
      <c r="B2183" s="17"/>
      <c r="Q2183" s="18"/>
      <c r="R2183" s="14"/>
      <c r="S2183" s="14">
        <v>1</v>
      </c>
    </row>
    <row r="2184" spans="2:19" ht="20.25" hidden="1" customHeight="1">
      <c r="B2184" s="17"/>
      <c r="Q2184" s="18"/>
      <c r="R2184" s="14"/>
      <c r="S2184" s="14">
        <v>1</v>
      </c>
    </row>
    <row r="2185" spans="2:19" ht="20.25" hidden="1" customHeight="1">
      <c r="B2185" s="17"/>
      <c r="Q2185" s="18"/>
      <c r="R2185" s="14"/>
      <c r="S2185" s="14">
        <v>1</v>
      </c>
    </row>
    <row r="2186" spans="2:19" ht="20.25" hidden="1" customHeight="1">
      <c r="B2186" s="17"/>
      <c r="Q2186" s="18"/>
      <c r="R2186" s="14"/>
      <c r="S2186" s="14">
        <v>1</v>
      </c>
    </row>
    <row r="2187" spans="2:19" ht="20.25" hidden="1" customHeight="1">
      <c r="B2187" s="17"/>
      <c r="Q2187" s="18"/>
      <c r="R2187" s="14"/>
      <c r="S2187" s="14">
        <v>1</v>
      </c>
    </row>
    <row r="2188" spans="2:19" ht="20.25" hidden="1" customHeight="1">
      <c r="B2188" s="17"/>
      <c r="Q2188" s="18"/>
      <c r="R2188" s="14"/>
      <c r="S2188" s="14">
        <v>1</v>
      </c>
    </row>
    <row r="2189" spans="2:19" ht="20.25" hidden="1" customHeight="1">
      <c r="B2189" s="17"/>
      <c r="Q2189" s="18"/>
      <c r="R2189" s="14"/>
      <c r="S2189" s="14">
        <v>1</v>
      </c>
    </row>
    <row r="2190" spans="2:19" ht="20.25" hidden="1" customHeight="1">
      <c r="B2190" s="17"/>
      <c r="Q2190" s="18"/>
      <c r="R2190" s="14"/>
      <c r="S2190" s="14">
        <v>1</v>
      </c>
    </row>
    <row r="2191" spans="2:19" ht="20.25" hidden="1" customHeight="1">
      <c r="B2191" s="17"/>
      <c r="Q2191" s="18"/>
      <c r="R2191" s="14"/>
      <c r="S2191" s="14">
        <v>1</v>
      </c>
    </row>
    <row r="2192" spans="2:19" ht="20.25" hidden="1" customHeight="1">
      <c r="B2192" s="17"/>
      <c r="Q2192" s="18"/>
      <c r="R2192" s="14"/>
      <c r="S2192" s="14">
        <v>1</v>
      </c>
    </row>
    <row r="2193" spans="2:19" ht="20.25" hidden="1" customHeight="1">
      <c r="B2193" s="17"/>
      <c r="Q2193" s="18"/>
      <c r="R2193" s="14"/>
      <c r="S2193" s="14">
        <v>1</v>
      </c>
    </row>
    <row r="2194" spans="2:19" ht="20.25" hidden="1" customHeight="1">
      <c r="B2194" s="17"/>
      <c r="Q2194" s="18"/>
      <c r="R2194" s="14"/>
      <c r="S2194" s="14">
        <v>1</v>
      </c>
    </row>
    <row r="2195" spans="2:19" ht="20.25" hidden="1" customHeight="1">
      <c r="B2195" s="17"/>
      <c r="Q2195" s="18"/>
      <c r="R2195" s="14"/>
      <c r="S2195" s="14">
        <v>1</v>
      </c>
    </row>
    <row r="2196" spans="2:19" ht="20.25" hidden="1" customHeight="1">
      <c r="B2196" s="17"/>
      <c r="Q2196" s="18"/>
      <c r="R2196" s="14"/>
      <c r="S2196" s="14">
        <v>1</v>
      </c>
    </row>
    <row r="2197" spans="2:19" ht="20.25" hidden="1" customHeight="1">
      <c r="B2197" s="17"/>
      <c r="Q2197" s="18"/>
      <c r="R2197" s="14"/>
      <c r="S2197" s="14">
        <v>1</v>
      </c>
    </row>
    <row r="2198" spans="2:19" ht="20.25" hidden="1" customHeight="1">
      <c r="B2198" s="17"/>
      <c r="Q2198" s="18"/>
      <c r="R2198" s="14"/>
      <c r="S2198" s="14">
        <v>1</v>
      </c>
    </row>
    <row r="2199" spans="2:19" ht="20.25" hidden="1" customHeight="1">
      <c r="B2199" s="17"/>
      <c r="Q2199" s="18"/>
      <c r="R2199" s="14"/>
      <c r="S2199" s="14">
        <v>1</v>
      </c>
    </row>
    <row r="2200" spans="2:19" ht="20.25" hidden="1" customHeight="1">
      <c r="B2200" s="17"/>
      <c r="Q2200" s="18"/>
      <c r="R2200" s="14"/>
      <c r="S2200" s="14">
        <v>1</v>
      </c>
    </row>
    <row r="2201" spans="2:19" ht="20.25" hidden="1" customHeight="1">
      <c r="B2201" s="17"/>
      <c r="Q2201" s="18"/>
      <c r="R2201" s="14"/>
      <c r="S2201" s="14">
        <v>1</v>
      </c>
    </row>
    <row r="2202" spans="2:19" ht="20.25" hidden="1" customHeight="1">
      <c r="B2202" s="17"/>
      <c r="Q2202" s="18"/>
      <c r="R2202" s="14"/>
      <c r="S2202" s="14">
        <v>1</v>
      </c>
    </row>
    <row r="2203" spans="2:19" ht="20.25" hidden="1" customHeight="1">
      <c r="B2203" s="17"/>
      <c r="Q2203" s="18"/>
      <c r="R2203" s="14"/>
      <c r="S2203" s="14">
        <v>1</v>
      </c>
    </row>
    <row r="2204" spans="2:19" ht="20.25" hidden="1" customHeight="1">
      <c r="B2204" s="17"/>
      <c r="Q2204" s="18"/>
      <c r="R2204" s="14"/>
      <c r="S2204" s="14">
        <v>1</v>
      </c>
    </row>
    <row r="2205" spans="2:19" ht="20.25" hidden="1" customHeight="1">
      <c r="B2205" s="17"/>
      <c r="Q2205" s="18"/>
      <c r="R2205" s="14"/>
      <c r="S2205" s="14">
        <v>1</v>
      </c>
    </row>
    <row r="2206" spans="2:19" ht="20.25" hidden="1" customHeight="1">
      <c r="B2206" s="17"/>
      <c r="Q2206" s="18"/>
      <c r="R2206" s="14"/>
      <c r="S2206" s="14">
        <v>1</v>
      </c>
    </row>
    <row r="2207" spans="2:19" ht="20.25" hidden="1" customHeight="1">
      <c r="B2207" s="17"/>
      <c r="Q2207" s="18"/>
      <c r="R2207" s="14"/>
      <c r="S2207" s="14">
        <v>1</v>
      </c>
    </row>
    <row r="2208" spans="2:19" ht="20.25" hidden="1" customHeight="1">
      <c r="B2208" s="17"/>
      <c r="Q2208" s="18"/>
      <c r="R2208" s="14"/>
      <c r="S2208" s="14">
        <v>1</v>
      </c>
    </row>
    <row r="2209" spans="2:19" ht="20.25" hidden="1" customHeight="1">
      <c r="B2209" s="17"/>
      <c r="Q2209" s="18"/>
      <c r="R2209" s="14"/>
      <c r="S2209" s="14">
        <v>1</v>
      </c>
    </row>
    <row r="2210" spans="2:19" ht="20.25" hidden="1" customHeight="1">
      <c r="B2210" s="17"/>
      <c r="Q2210" s="18"/>
      <c r="R2210" s="14"/>
      <c r="S2210" s="14">
        <v>1</v>
      </c>
    </row>
    <row r="2211" spans="2:19" ht="20.25" hidden="1" customHeight="1">
      <c r="B2211" s="17"/>
      <c r="Q2211" s="18"/>
      <c r="R2211" s="14"/>
      <c r="S2211" s="14">
        <v>1</v>
      </c>
    </row>
    <row r="2212" spans="2:19" ht="20.25" hidden="1" customHeight="1">
      <c r="B2212" s="17"/>
      <c r="Q2212" s="18"/>
      <c r="R2212" s="14"/>
      <c r="S2212" s="14">
        <v>1</v>
      </c>
    </row>
    <row r="2213" spans="2:19" ht="20.25" hidden="1" customHeight="1">
      <c r="B2213" s="17"/>
      <c r="Q2213" s="18"/>
      <c r="R2213" s="14"/>
      <c r="S2213" s="14">
        <v>1</v>
      </c>
    </row>
    <row r="2214" spans="2:19" ht="20.25" hidden="1" customHeight="1">
      <c r="B2214" s="17"/>
      <c r="Q2214" s="18"/>
      <c r="R2214" s="14"/>
      <c r="S2214" s="14">
        <v>1</v>
      </c>
    </row>
    <row r="2215" spans="2:19" ht="20.25" hidden="1" customHeight="1">
      <c r="B2215" s="17"/>
      <c r="Q2215" s="18"/>
      <c r="R2215" s="14"/>
      <c r="S2215" s="14">
        <v>1</v>
      </c>
    </row>
    <row r="2216" spans="2:19" ht="20.25" hidden="1" customHeight="1">
      <c r="B2216" s="17"/>
      <c r="Q2216" s="18"/>
      <c r="R2216" s="14"/>
      <c r="S2216" s="14">
        <v>1</v>
      </c>
    </row>
    <row r="2217" spans="2:19" ht="20.25" hidden="1" customHeight="1">
      <c r="B2217" s="17"/>
      <c r="Q2217" s="18"/>
      <c r="R2217" s="14"/>
      <c r="S2217" s="14">
        <v>1</v>
      </c>
    </row>
    <row r="2218" spans="2:19" ht="20.25" hidden="1" customHeight="1">
      <c r="B2218" s="17"/>
      <c r="Q2218" s="18"/>
      <c r="R2218" s="14"/>
      <c r="S2218" s="14">
        <v>1</v>
      </c>
    </row>
    <row r="2219" spans="2:19" ht="20.25" hidden="1" customHeight="1">
      <c r="B2219" s="17"/>
      <c r="Q2219" s="18"/>
      <c r="R2219" s="14"/>
      <c r="S2219" s="14">
        <v>1</v>
      </c>
    </row>
    <row r="2220" spans="2:19" ht="20.25" hidden="1" customHeight="1">
      <c r="B2220" s="17"/>
      <c r="Q2220" s="18"/>
      <c r="R2220" s="14"/>
      <c r="S2220" s="14">
        <v>1</v>
      </c>
    </row>
    <row r="2221" spans="2:19" ht="20.25" hidden="1" customHeight="1">
      <c r="B2221" s="17"/>
      <c r="Q2221" s="18"/>
      <c r="R2221" s="14"/>
      <c r="S2221" s="14">
        <v>1</v>
      </c>
    </row>
    <row r="2222" spans="2:19" ht="20.25" hidden="1" customHeight="1">
      <c r="B2222" s="17"/>
      <c r="Q2222" s="18"/>
      <c r="R2222" s="14"/>
      <c r="S2222" s="14">
        <v>1</v>
      </c>
    </row>
    <row r="2223" spans="2:19" ht="20.25" hidden="1" customHeight="1">
      <c r="B2223" s="17"/>
      <c r="Q2223" s="18"/>
      <c r="R2223" s="14"/>
      <c r="S2223" s="14">
        <v>1</v>
      </c>
    </row>
    <row r="2224" spans="2:19" ht="20.25" hidden="1" customHeight="1">
      <c r="B2224" s="17"/>
      <c r="Q2224" s="18"/>
      <c r="R2224" s="14"/>
      <c r="S2224" s="14">
        <v>1</v>
      </c>
    </row>
    <row r="2225" spans="2:19" ht="20.25" hidden="1" customHeight="1">
      <c r="B2225" s="17"/>
      <c r="Q2225" s="18"/>
      <c r="R2225" s="14"/>
      <c r="S2225" s="14">
        <v>1</v>
      </c>
    </row>
    <row r="2226" spans="2:19" ht="20.25" hidden="1" customHeight="1">
      <c r="B2226" s="17"/>
      <c r="Q2226" s="18"/>
      <c r="R2226" s="14"/>
      <c r="S2226" s="14">
        <v>1</v>
      </c>
    </row>
    <row r="2227" spans="2:19" ht="20.25" hidden="1" customHeight="1">
      <c r="B2227" s="17"/>
      <c r="Q2227" s="18"/>
      <c r="R2227" s="14"/>
      <c r="S2227" s="14">
        <v>1</v>
      </c>
    </row>
    <row r="2228" spans="2:19" ht="20.25" hidden="1" customHeight="1">
      <c r="B2228" s="17"/>
      <c r="Q2228" s="18"/>
      <c r="R2228" s="14"/>
      <c r="S2228" s="14">
        <v>1</v>
      </c>
    </row>
    <row r="2229" spans="2:19" ht="20.25" hidden="1" customHeight="1">
      <c r="B2229" s="17"/>
      <c r="Q2229" s="18"/>
      <c r="R2229" s="14"/>
      <c r="S2229" s="14">
        <v>1</v>
      </c>
    </row>
    <row r="2230" spans="2:19" ht="20.25" hidden="1" customHeight="1">
      <c r="B2230" s="17"/>
      <c r="Q2230" s="18"/>
      <c r="R2230" s="14"/>
      <c r="S2230" s="14">
        <v>1</v>
      </c>
    </row>
    <row r="2231" spans="2:19" ht="20.25" hidden="1" customHeight="1">
      <c r="B2231" s="17"/>
      <c r="Q2231" s="18"/>
      <c r="R2231" s="14"/>
      <c r="S2231" s="14">
        <v>1</v>
      </c>
    </row>
    <row r="2232" spans="2:19" ht="20.25" hidden="1" customHeight="1">
      <c r="B2232" s="17"/>
      <c r="Q2232" s="18"/>
      <c r="R2232" s="14"/>
      <c r="S2232" s="14">
        <v>1</v>
      </c>
    </row>
    <row r="2233" spans="2:19" ht="20.25" hidden="1" customHeight="1">
      <c r="B2233" s="17"/>
      <c r="Q2233" s="18"/>
      <c r="R2233" s="14"/>
      <c r="S2233" s="14">
        <v>1</v>
      </c>
    </row>
    <row r="2234" spans="2:19" ht="20.25" hidden="1" customHeight="1">
      <c r="B2234" s="17"/>
      <c r="Q2234" s="18"/>
      <c r="R2234" s="14"/>
      <c r="S2234" s="14">
        <v>1</v>
      </c>
    </row>
    <row r="2235" spans="2:19" ht="20.25" hidden="1" customHeight="1">
      <c r="B2235" s="17"/>
      <c r="Q2235" s="18"/>
      <c r="R2235" s="14"/>
      <c r="S2235" s="14">
        <v>1</v>
      </c>
    </row>
    <row r="2236" spans="2:19" ht="20.25" hidden="1" customHeight="1">
      <c r="B2236" s="17"/>
      <c r="Q2236" s="18"/>
      <c r="R2236" s="14"/>
      <c r="S2236" s="14">
        <v>1</v>
      </c>
    </row>
    <row r="2237" spans="2:19" ht="20.25" hidden="1" customHeight="1">
      <c r="B2237" s="17"/>
      <c r="Q2237" s="18"/>
      <c r="R2237" s="14"/>
      <c r="S2237" s="14">
        <v>1</v>
      </c>
    </row>
    <row r="2238" spans="2:19" ht="20.25" hidden="1" customHeight="1">
      <c r="B2238" s="17"/>
      <c r="Q2238" s="18"/>
      <c r="R2238" s="14"/>
      <c r="S2238" s="14">
        <v>1</v>
      </c>
    </row>
    <row r="2239" spans="2:19" ht="20.25" hidden="1" customHeight="1">
      <c r="B2239" s="17"/>
      <c r="Q2239" s="18"/>
      <c r="R2239" s="14"/>
      <c r="S2239" s="14">
        <v>1</v>
      </c>
    </row>
    <row r="2240" spans="2:19" ht="20.25" hidden="1" customHeight="1">
      <c r="B2240" s="17"/>
      <c r="Q2240" s="18"/>
      <c r="R2240" s="14"/>
      <c r="S2240" s="14">
        <v>1</v>
      </c>
    </row>
    <row r="2241" spans="2:19" ht="20.25" hidden="1" customHeight="1">
      <c r="B2241" s="17"/>
      <c r="Q2241" s="18"/>
      <c r="R2241" s="14"/>
      <c r="S2241" s="14">
        <v>1</v>
      </c>
    </row>
    <row r="2242" spans="2:19" ht="20.25" hidden="1" customHeight="1">
      <c r="B2242" s="17"/>
      <c r="Q2242" s="18"/>
      <c r="R2242" s="14"/>
      <c r="S2242" s="14">
        <v>1</v>
      </c>
    </row>
    <row r="2243" spans="2:19" ht="20.25" hidden="1" customHeight="1">
      <c r="B2243" s="17"/>
      <c r="Q2243" s="18"/>
      <c r="R2243" s="14"/>
      <c r="S2243" s="14">
        <v>1</v>
      </c>
    </row>
    <row r="2244" spans="2:19" ht="20.25" hidden="1" customHeight="1">
      <c r="B2244" s="17"/>
      <c r="Q2244" s="18"/>
      <c r="R2244" s="14"/>
      <c r="S2244" s="14">
        <v>1</v>
      </c>
    </row>
    <row r="2245" spans="2:19" ht="20.25" hidden="1" customHeight="1">
      <c r="B2245" s="17"/>
      <c r="Q2245" s="18"/>
      <c r="R2245" s="14"/>
      <c r="S2245" s="14">
        <v>1</v>
      </c>
    </row>
    <row r="2246" spans="2:19" ht="20.25" hidden="1" customHeight="1">
      <c r="B2246" s="17"/>
      <c r="Q2246" s="18"/>
      <c r="R2246" s="14"/>
      <c r="S2246" s="14">
        <v>1</v>
      </c>
    </row>
    <row r="2247" spans="2:19" ht="20.25" hidden="1" customHeight="1">
      <c r="B2247" s="17"/>
      <c r="Q2247" s="18"/>
      <c r="R2247" s="14"/>
      <c r="S2247" s="14">
        <v>1</v>
      </c>
    </row>
    <row r="2248" spans="2:19" ht="20.25" hidden="1" customHeight="1">
      <c r="B2248" s="17"/>
      <c r="Q2248" s="18"/>
      <c r="R2248" s="14"/>
      <c r="S2248" s="14">
        <v>1</v>
      </c>
    </row>
    <row r="2249" spans="2:19" ht="20.25" hidden="1" customHeight="1">
      <c r="B2249" s="17"/>
      <c r="Q2249" s="18"/>
      <c r="R2249" s="14"/>
      <c r="S2249" s="14">
        <v>1</v>
      </c>
    </row>
    <row r="2250" spans="2:19" ht="20.25" hidden="1" customHeight="1">
      <c r="B2250" s="17"/>
      <c r="Q2250" s="18"/>
      <c r="R2250" s="14"/>
      <c r="S2250" s="14">
        <v>1</v>
      </c>
    </row>
    <row r="2251" spans="2:19" ht="20.25" hidden="1" customHeight="1">
      <c r="B2251" s="17"/>
      <c r="Q2251" s="18"/>
      <c r="R2251" s="14"/>
      <c r="S2251" s="14">
        <v>1</v>
      </c>
    </row>
    <row r="2252" spans="2:19" ht="20.25" hidden="1" customHeight="1">
      <c r="B2252" s="17"/>
      <c r="Q2252" s="18"/>
      <c r="R2252" s="14"/>
      <c r="S2252" s="14">
        <v>1</v>
      </c>
    </row>
    <row r="2253" spans="2:19" ht="20.25" hidden="1" customHeight="1">
      <c r="B2253" s="17"/>
      <c r="Q2253" s="18"/>
      <c r="R2253" s="14"/>
      <c r="S2253" s="14">
        <v>1</v>
      </c>
    </row>
    <row r="2254" spans="2:19" ht="20.25" hidden="1" customHeight="1">
      <c r="B2254" s="17"/>
      <c r="Q2254" s="18"/>
      <c r="R2254" s="14"/>
      <c r="S2254" s="14">
        <v>1</v>
      </c>
    </row>
    <row r="2255" spans="2:19" ht="20.25" hidden="1" customHeight="1">
      <c r="B2255" s="17"/>
      <c r="Q2255" s="18"/>
      <c r="R2255" s="14"/>
      <c r="S2255" s="14">
        <v>1</v>
      </c>
    </row>
    <row r="2256" spans="2:19" ht="20.25" hidden="1" customHeight="1">
      <c r="B2256" s="17"/>
      <c r="Q2256" s="18"/>
      <c r="R2256" s="14"/>
      <c r="S2256" s="14">
        <v>1</v>
      </c>
    </row>
    <row r="2257" spans="2:19" ht="20.25" hidden="1" customHeight="1">
      <c r="B2257" s="17"/>
      <c r="Q2257" s="18"/>
      <c r="R2257" s="14"/>
      <c r="S2257" s="14">
        <v>1</v>
      </c>
    </row>
    <row r="2258" spans="2:19" ht="20.25" hidden="1" customHeight="1">
      <c r="B2258" s="17"/>
      <c r="Q2258" s="18"/>
      <c r="R2258" s="14"/>
      <c r="S2258" s="14">
        <v>1</v>
      </c>
    </row>
    <row r="2259" spans="2:19" ht="20.25" hidden="1" customHeight="1">
      <c r="B2259" s="17"/>
      <c r="Q2259" s="18"/>
      <c r="R2259" s="14"/>
      <c r="S2259" s="14">
        <v>1</v>
      </c>
    </row>
    <row r="2260" spans="2:19" ht="20.25" hidden="1" customHeight="1">
      <c r="B2260" s="17"/>
      <c r="Q2260" s="18"/>
      <c r="R2260" s="14"/>
      <c r="S2260" s="14">
        <v>1</v>
      </c>
    </row>
    <row r="2261" spans="2:19" ht="20.25" hidden="1" customHeight="1">
      <c r="B2261" s="17"/>
      <c r="Q2261" s="18"/>
      <c r="R2261" s="14"/>
      <c r="S2261" s="14">
        <v>1</v>
      </c>
    </row>
    <row r="2262" spans="2:19" ht="20.25" hidden="1" customHeight="1">
      <c r="B2262" s="17"/>
      <c r="Q2262" s="18"/>
      <c r="R2262" s="14"/>
      <c r="S2262" s="14">
        <v>1</v>
      </c>
    </row>
    <row r="2263" spans="2:19" ht="20.25" hidden="1" customHeight="1">
      <c r="B2263" s="17"/>
      <c r="Q2263" s="18"/>
      <c r="R2263" s="14"/>
      <c r="S2263" s="14">
        <v>1</v>
      </c>
    </row>
    <row r="2264" spans="2:19" ht="20.25" hidden="1" customHeight="1">
      <c r="B2264" s="17"/>
      <c r="Q2264" s="18"/>
      <c r="R2264" s="14"/>
      <c r="S2264" s="14">
        <v>1</v>
      </c>
    </row>
    <row r="2265" spans="2:19" ht="20.25" hidden="1" customHeight="1">
      <c r="B2265" s="17"/>
      <c r="Q2265" s="18"/>
      <c r="R2265" s="14"/>
      <c r="S2265" s="14">
        <v>1</v>
      </c>
    </row>
    <row r="2266" spans="2:19" ht="20.25" hidden="1" customHeight="1">
      <c r="B2266" s="17"/>
      <c r="Q2266" s="18"/>
      <c r="R2266" s="14"/>
      <c r="S2266" s="14">
        <v>1</v>
      </c>
    </row>
    <row r="2267" spans="2:19" ht="20.25" hidden="1" customHeight="1">
      <c r="B2267" s="17"/>
      <c r="Q2267" s="18"/>
      <c r="R2267" s="14"/>
      <c r="S2267" s="14">
        <v>1</v>
      </c>
    </row>
    <row r="2268" spans="2:19" ht="20.25" hidden="1" customHeight="1">
      <c r="B2268" s="17"/>
      <c r="Q2268" s="18"/>
      <c r="R2268" s="14"/>
      <c r="S2268" s="14">
        <v>1</v>
      </c>
    </row>
    <row r="2269" spans="2:19" ht="20.25" hidden="1" customHeight="1">
      <c r="B2269" s="17"/>
      <c r="Q2269" s="18"/>
      <c r="R2269" s="14"/>
      <c r="S2269" s="14">
        <v>1</v>
      </c>
    </row>
    <row r="2270" spans="2:19" ht="20.25" hidden="1" customHeight="1">
      <c r="B2270" s="17"/>
      <c r="Q2270" s="18"/>
      <c r="R2270" s="14"/>
      <c r="S2270" s="14">
        <v>1</v>
      </c>
    </row>
    <row r="2271" spans="2:19" ht="20.25" hidden="1" customHeight="1">
      <c r="B2271" s="17"/>
      <c r="Q2271" s="18"/>
      <c r="R2271" s="14"/>
      <c r="S2271" s="14">
        <v>1</v>
      </c>
    </row>
    <row r="2272" spans="2:19" ht="20.25" hidden="1" customHeight="1">
      <c r="B2272" s="17"/>
      <c r="Q2272" s="18"/>
      <c r="R2272" s="14"/>
      <c r="S2272" s="14">
        <v>1</v>
      </c>
    </row>
    <row r="2273" spans="2:19" ht="20.25" hidden="1" customHeight="1">
      <c r="B2273" s="17"/>
      <c r="Q2273" s="18"/>
      <c r="R2273" s="14"/>
      <c r="S2273" s="14">
        <v>1</v>
      </c>
    </row>
    <row r="2274" spans="2:19" ht="20.25" hidden="1" customHeight="1">
      <c r="B2274" s="17"/>
      <c r="Q2274" s="18"/>
      <c r="R2274" s="14"/>
      <c r="S2274" s="14">
        <v>1</v>
      </c>
    </row>
    <row r="2275" spans="2:19" ht="20.25" hidden="1" customHeight="1">
      <c r="B2275" s="17"/>
      <c r="Q2275" s="18"/>
      <c r="R2275" s="14"/>
      <c r="S2275" s="14">
        <v>1</v>
      </c>
    </row>
    <row r="2276" spans="2:19" ht="20.25" hidden="1" customHeight="1">
      <c r="B2276" s="17"/>
      <c r="Q2276" s="18"/>
      <c r="R2276" s="14"/>
      <c r="S2276" s="14">
        <v>1</v>
      </c>
    </row>
    <row r="2277" spans="2:19" ht="20.25" hidden="1" customHeight="1">
      <c r="B2277" s="17"/>
      <c r="Q2277" s="18"/>
      <c r="R2277" s="14"/>
      <c r="S2277" s="14">
        <v>1</v>
      </c>
    </row>
    <row r="2278" spans="2:19" ht="20.25" hidden="1" customHeight="1">
      <c r="B2278" s="17"/>
      <c r="Q2278" s="18"/>
      <c r="R2278" s="14"/>
      <c r="S2278" s="14">
        <v>1</v>
      </c>
    </row>
    <row r="2279" spans="2:19" ht="20.25" hidden="1" customHeight="1">
      <c r="B2279" s="17"/>
      <c r="Q2279" s="18"/>
      <c r="R2279" s="14"/>
      <c r="S2279" s="14">
        <v>1</v>
      </c>
    </row>
    <row r="2280" spans="2:19" ht="20.25" hidden="1" customHeight="1">
      <c r="B2280" s="17"/>
      <c r="Q2280" s="18"/>
      <c r="R2280" s="14"/>
      <c r="S2280" s="14">
        <v>1</v>
      </c>
    </row>
    <row r="2281" spans="2:19" ht="20.25" hidden="1" customHeight="1">
      <c r="B2281" s="17"/>
      <c r="Q2281" s="18"/>
      <c r="R2281" s="14"/>
      <c r="S2281" s="14">
        <v>1</v>
      </c>
    </row>
    <row r="2282" spans="2:19" ht="20.25" hidden="1" customHeight="1">
      <c r="B2282" s="17"/>
      <c r="Q2282" s="18"/>
      <c r="R2282" s="14"/>
      <c r="S2282" s="14">
        <v>1</v>
      </c>
    </row>
    <row r="2283" spans="2:19" ht="20.25" hidden="1" customHeight="1">
      <c r="B2283" s="17"/>
      <c r="Q2283" s="18"/>
      <c r="R2283" s="14"/>
      <c r="S2283" s="14">
        <v>1</v>
      </c>
    </row>
    <row r="2284" spans="2:19" ht="20.25" hidden="1" customHeight="1">
      <c r="B2284" s="17"/>
      <c r="Q2284" s="18"/>
      <c r="R2284" s="14"/>
      <c r="S2284" s="14">
        <v>1</v>
      </c>
    </row>
    <row r="2285" spans="2:19" ht="20.25" hidden="1" customHeight="1">
      <c r="B2285" s="17"/>
      <c r="Q2285" s="18"/>
      <c r="R2285" s="14"/>
      <c r="S2285" s="14">
        <v>1</v>
      </c>
    </row>
    <row r="2286" spans="2:19" ht="20.25" hidden="1" customHeight="1">
      <c r="B2286" s="17"/>
      <c r="Q2286" s="18"/>
      <c r="R2286" s="14"/>
      <c r="S2286" s="14">
        <v>1</v>
      </c>
    </row>
    <row r="2287" spans="2:19" ht="20.25" hidden="1" customHeight="1">
      <c r="B2287" s="17"/>
      <c r="Q2287" s="18"/>
      <c r="R2287" s="14"/>
      <c r="S2287" s="14">
        <v>1</v>
      </c>
    </row>
    <row r="2288" spans="2:19" ht="20.25" hidden="1" customHeight="1">
      <c r="B2288" s="17"/>
      <c r="Q2288" s="18"/>
      <c r="R2288" s="14"/>
      <c r="S2288" s="14">
        <v>1</v>
      </c>
    </row>
    <row r="2289" spans="2:19" ht="20.25" hidden="1" customHeight="1">
      <c r="B2289" s="17"/>
      <c r="Q2289" s="18"/>
      <c r="R2289" s="14"/>
      <c r="S2289" s="14">
        <v>1</v>
      </c>
    </row>
    <row r="2290" spans="2:19" ht="20.25" hidden="1" customHeight="1">
      <c r="B2290" s="17"/>
      <c r="Q2290" s="18"/>
      <c r="R2290" s="14"/>
      <c r="S2290" s="14">
        <v>1</v>
      </c>
    </row>
    <row r="2291" spans="2:19" ht="20.25" hidden="1" customHeight="1">
      <c r="B2291" s="17"/>
      <c r="Q2291" s="18"/>
      <c r="R2291" s="14"/>
      <c r="S2291" s="14">
        <v>1</v>
      </c>
    </row>
    <row r="2292" spans="2:19" ht="20.25" hidden="1" customHeight="1">
      <c r="B2292" s="17"/>
      <c r="Q2292" s="18"/>
      <c r="R2292" s="14"/>
      <c r="S2292" s="14">
        <v>1</v>
      </c>
    </row>
    <row r="2293" spans="2:19" ht="20.25" hidden="1" customHeight="1">
      <c r="B2293" s="17"/>
      <c r="Q2293" s="18"/>
      <c r="R2293" s="14"/>
      <c r="S2293" s="14">
        <v>1</v>
      </c>
    </row>
    <row r="2294" spans="2:19" ht="20.25" hidden="1" customHeight="1">
      <c r="B2294" s="17"/>
      <c r="Q2294" s="18"/>
      <c r="R2294" s="14"/>
      <c r="S2294" s="14">
        <v>1</v>
      </c>
    </row>
    <row r="2295" spans="2:19" ht="20.25" hidden="1" customHeight="1">
      <c r="B2295" s="17"/>
      <c r="Q2295" s="18"/>
      <c r="R2295" s="14"/>
      <c r="S2295" s="14">
        <v>1</v>
      </c>
    </row>
    <row r="2296" spans="2:19" ht="20.25" hidden="1" customHeight="1">
      <c r="B2296" s="17"/>
      <c r="Q2296" s="18"/>
      <c r="R2296" s="14"/>
      <c r="S2296" s="14">
        <v>1</v>
      </c>
    </row>
    <row r="2297" spans="2:19" ht="20.25" hidden="1" customHeight="1">
      <c r="B2297" s="17"/>
      <c r="Q2297" s="18"/>
      <c r="R2297" s="14"/>
      <c r="S2297" s="14">
        <v>1</v>
      </c>
    </row>
    <row r="2298" spans="2:19" ht="20.25" hidden="1" customHeight="1">
      <c r="B2298" s="17"/>
      <c r="Q2298" s="18"/>
      <c r="R2298" s="14"/>
      <c r="S2298" s="14">
        <v>1</v>
      </c>
    </row>
    <row r="2299" spans="2:19" ht="20.25" hidden="1" customHeight="1">
      <c r="B2299" s="17"/>
      <c r="Q2299" s="18"/>
      <c r="R2299" s="14"/>
      <c r="S2299" s="14">
        <v>1</v>
      </c>
    </row>
    <row r="2300" spans="2:19" ht="20.25" hidden="1" customHeight="1">
      <c r="B2300" s="17"/>
      <c r="Q2300" s="18"/>
      <c r="R2300" s="14"/>
      <c r="S2300" s="14">
        <v>1</v>
      </c>
    </row>
    <row r="2301" spans="2:19" ht="20.25" hidden="1" customHeight="1">
      <c r="B2301" s="17"/>
      <c r="Q2301" s="18"/>
      <c r="R2301" s="14"/>
      <c r="S2301" s="14">
        <v>1</v>
      </c>
    </row>
    <row r="2302" spans="2:19" ht="20.25" hidden="1" customHeight="1">
      <c r="B2302" s="17"/>
      <c r="Q2302" s="18"/>
      <c r="R2302" s="14"/>
      <c r="S2302" s="14">
        <v>1</v>
      </c>
    </row>
    <row r="2303" spans="2:19" ht="20.25" hidden="1" customHeight="1">
      <c r="B2303" s="17"/>
      <c r="Q2303" s="18"/>
      <c r="R2303" s="14"/>
      <c r="S2303" s="14">
        <v>1</v>
      </c>
    </row>
    <row r="2304" spans="2:19" ht="20.25" hidden="1" customHeight="1">
      <c r="B2304" s="17"/>
      <c r="Q2304" s="18"/>
      <c r="R2304" s="14"/>
      <c r="S2304" s="14">
        <v>1</v>
      </c>
    </row>
    <row r="2305" spans="2:19" ht="20.25" hidden="1" customHeight="1">
      <c r="B2305" s="17"/>
      <c r="Q2305" s="18"/>
      <c r="R2305" s="14"/>
      <c r="S2305" s="14">
        <v>1</v>
      </c>
    </row>
    <row r="2306" spans="2:19" ht="20.25" hidden="1" customHeight="1">
      <c r="B2306" s="17"/>
      <c r="Q2306" s="18"/>
      <c r="R2306" s="14"/>
      <c r="S2306" s="14">
        <v>1</v>
      </c>
    </row>
    <row r="2307" spans="2:19" ht="20.25" hidden="1" customHeight="1">
      <c r="B2307" s="17"/>
      <c r="Q2307" s="18"/>
      <c r="R2307" s="14"/>
      <c r="S2307" s="14">
        <v>1</v>
      </c>
    </row>
    <row r="2308" spans="2:19" ht="20.25" hidden="1" customHeight="1">
      <c r="B2308" s="17"/>
      <c r="Q2308" s="18"/>
      <c r="R2308" s="14"/>
      <c r="S2308" s="14">
        <v>1</v>
      </c>
    </row>
    <row r="2309" spans="2:19" ht="20.25" hidden="1" customHeight="1">
      <c r="B2309" s="17"/>
      <c r="Q2309" s="18"/>
      <c r="R2309" s="14"/>
      <c r="S2309" s="14">
        <v>1</v>
      </c>
    </row>
    <row r="2310" spans="2:19" ht="20.25" hidden="1" customHeight="1">
      <c r="B2310" s="17"/>
      <c r="Q2310" s="18"/>
      <c r="R2310" s="14"/>
      <c r="S2310" s="14">
        <v>1</v>
      </c>
    </row>
    <row r="2311" spans="2:19" ht="20.25" hidden="1" customHeight="1">
      <c r="B2311" s="17"/>
      <c r="Q2311" s="18"/>
      <c r="R2311" s="14"/>
      <c r="S2311" s="14">
        <v>1</v>
      </c>
    </row>
    <row r="2312" spans="2:19" ht="20.25" hidden="1" customHeight="1">
      <c r="B2312" s="17"/>
      <c r="Q2312" s="18"/>
      <c r="R2312" s="14"/>
      <c r="S2312" s="14">
        <v>1</v>
      </c>
    </row>
    <row r="2313" spans="2:19" ht="20.25" hidden="1" customHeight="1">
      <c r="B2313" s="17"/>
      <c r="Q2313" s="18"/>
      <c r="R2313" s="14"/>
      <c r="S2313" s="14">
        <v>1</v>
      </c>
    </row>
    <row r="2314" spans="2:19" ht="20.25" hidden="1" customHeight="1">
      <c r="B2314" s="17"/>
      <c r="Q2314" s="18"/>
      <c r="R2314" s="14"/>
      <c r="S2314" s="14">
        <v>1</v>
      </c>
    </row>
    <row r="2315" spans="2:19" ht="20.25" hidden="1" customHeight="1">
      <c r="B2315" s="17"/>
      <c r="Q2315" s="18"/>
      <c r="R2315" s="14"/>
      <c r="S2315" s="14">
        <v>1</v>
      </c>
    </row>
    <row r="2316" spans="2:19" ht="20.25" hidden="1" customHeight="1">
      <c r="B2316" s="17"/>
      <c r="Q2316" s="18"/>
      <c r="R2316" s="14"/>
      <c r="S2316" s="14">
        <v>1</v>
      </c>
    </row>
    <row r="2317" spans="2:19" ht="20.25" hidden="1" customHeight="1">
      <c r="B2317" s="17"/>
      <c r="Q2317" s="18"/>
      <c r="R2317" s="14"/>
      <c r="S2317" s="14">
        <v>1</v>
      </c>
    </row>
    <row r="2318" spans="2:19" ht="20.25" hidden="1" customHeight="1">
      <c r="B2318" s="17"/>
      <c r="Q2318" s="18"/>
      <c r="R2318" s="14"/>
      <c r="S2318" s="14">
        <v>1</v>
      </c>
    </row>
    <row r="2319" spans="2:19" ht="20.25" hidden="1" customHeight="1">
      <c r="B2319" s="17"/>
      <c r="Q2319" s="18"/>
      <c r="R2319" s="14"/>
      <c r="S2319" s="14">
        <v>1</v>
      </c>
    </row>
    <row r="2320" spans="2:19" ht="20.25" hidden="1" customHeight="1">
      <c r="B2320" s="17"/>
      <c r="Q2320" s="18"/>
      <c r="R2320" s="14"/>
      <c r="S2320" s="14">
        <v>1</v>
      </c>
    </row>
    <row r="2321" spans="2:19" ht="20.25" hidden="1" customHeight="1">
      <c r="B2321" s="17"/>
      <c r="Q2321" s="18"/>
      <c r="R2321" s="14"/>
      <c r="S2321" s="14">
        <v>1</v>
      </c>
    </row>
    <row r="2322" spans="2:19" ht="20.25" hidden="1" customHeight="1">
      <c r="B2322" s="17"/>
      <c r="Q2322" s="18"/>
      <c r="R2322" s="14"/>
      <c r="S2322" s="14">
        <v>1</v>
      </c>
    </row>
    <row r="2323" spans="2:19" ht="20.25" hidden="1" customHeight="1">
      <c r="B2323" s="17"/>
      <c r="Q2323" s="18"/>
      <c r="R2323" s="14"/>
      <c r="S2323" s="14">
        <v>1</v>
      </c>
    </row>
    <row r="2324" spans="2:19" ht="20.25" hidden="1" customHeight="1">
      <c r="B2324" s="17"/>
      <c r="Q2324" s="18"/>
      <c r="R2324" s="14"/>
      <c r="S2324" s="14">
        <v>1</v>
      </c>
    </row>
    <row r="2325" spans="2:19" ht="20.25" hidden="1" customHeight="1">
      <c r="B2325" s="17"/>
      <c r="Q2325" s="18"/>
      <c r="R2325" s="14"/>
      <c r="S2325" s="14">
        <v>1</v>
      </c>
    </row>
    <row r="2326" spans="2:19" ht="20.25" hidden="1" customHeight="1">
      <c r="B2326" s="17"/>
      <c r="Q2326" s="18"/>
      <c r="R2326" s="14"/>
      <c r="S2326" s="14">
        <v>1</v>
      </c>
    </row>
    <row r="2327" spans="2:19" ht="20.25" hidden="1" customHeight="1">
      <c r="B2327" s="17"/>
      <c r="Q2327" s="18"/>
      <c r="R2327" s="14"/>
      <c r="S2327" s="14">
        <v>1</v>
      </c>
    </row>
    <row r="2328" spans="2:19" ht="20.25" hidden="1" customHeight="1">
      <c r="B2328" s="17"/>
      <c r="Q2328" s="18"/>
      <c r="R2328" s="14"/>
      <c r="S2328" s="14">
        <v>1</v>
      </c>
    </row>
    <row r="2329" spans="2:19" ht="20.25" hidden="1" customHeight="1">
      <c r="B2329" s="17"/>
      <c r="Q2329" s="18"/>
      <c r="R2329" s="14"/>
      <c r="S2329" s="14">
        <v>1</v>
      </c>
    </row>
    <row r="2330" spans="2:19" ht="20.25" hidden="1" customHeight="1">
      <c r="B2330" s="17"/>
      <c r="Q2330" s="18"/>
      <c r="R2330" s="14"/>
      <c r="S2330" s="14">
        <v>1</v>
      </c>
    </row>
    <row r="2331" spans="2:19" ht="20.25" hidden="1" customHeight="1">
      <c r="B2331" s="17"/>
      <c r="Q2331" s="18"/>
      <c r="R2331" s="14"/>
      <c r="S2331" s="14">
        <v>1</v>
      </c>
    </row>
    <row r="2332" spans="2:19" ht="20.25" hidden="1" customHeight="1">
      <c r="B2332" s="17"/>
      <c r="Q2332" s="18"/>
      <c r="R2332" s="14"/>
      <c r="S2332" s="14">
        <v>1</v>
      </c>
    </row>
    <row r="2333" spans="2:19" ht="20.25" hidden="1" customHeight="1">
      <c r="B2333" s="17"/>
      <c r="Q2333" s="18"/>
      <c r="R2333" s="14"/>
      <c r="S2333" s="14">
        <v>1</v>
      </c>
    </row>
    <row r="2334" spans="2:19" ht="20.25" hidden="1" customHeight="1">
      <c r="B2334" s="17"/>
      <c r="Q2334" s="18"/>
      <c r="R2334" s="14"/>
      <c r="S2334" s="14">
        <v>1</v>
      </c>
    </row>
    <row r="2335" spans="2:19" ht="20.25" hidden="1" customHeight="1">
      <c r="B2335" s="17"/>
      <c r="Q2335" s="18"/>
      <c r="R2335" s="14"/>
      <c r="S2335" s="14">
        <v>1</v>
      </c>
    </row>
    <row r="2336" spans="2:19" ht="20.25" hidden="1" customHeight="1">
      <c r="B2336" s="17"/>
      <c r="Q2336" s="18"/>
      <c r="R2336" s="14"/>
      <c r="S2336" s="14">
        <v>1</v>
      </c>
    </row>
    <row r="2337" spans="2:19" ht="20.25" hidden="1" customHeight="1">
      <c r="B2337" s="17"/>
      <c r="Q2337" s="18"/>
      <c r="R2337" s="14"/>
      <c r="S2337" s="14">
        <v>1</v>
      </c>
    </row>
    <row r="2338" spans="2:19" ht="20.25" hidden="1" customHeight="1">
      <c r="B2338" s="17"/>
      <c r="Q2338" s="18"/>
      <c r="R2338" s="14"/>
      <c r="S2338" s="14">
        <v>1</v>
      </c>
    </row>
    <row r="2339" spans="2:19" ht="20.25" hidden="1" customHeight="1">
      <c r="B2339" s="17"/>
      <c r="Q2339" s="18"/>
      <c r="R2339" s="14"/>
      <c r="S2339" s="14">
        <v>1</v>
      </c>
    </row>
    <row r="2340" spans="2:19" ht="20.25" hidden="1" customHeight="1">
      <c r="B2340" s="17"/>
      <c r="Q2340" s="18"/>
      <c r="R2340" s="14"/>
      <c r="S2340" s="14">
        <v>1</v>
      </c>
    </row>
    <row r="2341" spans="2:19" ht="20.25" hidden="1" customHeight="1">
      <c r="B2341" s="17"/>
      <c r="Q2341" s="18"/>
      <c r="R2341" s="14"/>
      <c r="S2341" s="14">
        <v>1</v>
      </c>
    </row>
    <row r="2342" spans="2:19" ht="20.25" hidden="1" customHeight="1">
      <c r="B2342" s="17"/>
      <c r="Q2342" s="18"/>
      <c r="R2342" s="14"/>
      <c r="S2342" s="14">
        <v>1</v>
      </c>
    </row>
    <row r="2343" spans="2:19" ht="20.25" hidden="1" customHeight="1">
      <c r="B2343" s="17"/>
      <c r="Q2343" s="18"/>
      <c r="R2343" s="14"/>
      <c r="S2343" s="14">
        <v>1</v>
      </c>
    </row>
    <row r="2344" spans="2:19" ht="20.25" hidden="1" customHeight="1">
      <c r="B2344" s="17"/>
      <c r="Q2344" s="18"/>
      <c r="R2344" s="14"/>
      <c r="S2344" s="14">
        <v>1</v>
      </c>
    </row>
    <row r="2345" spans="2:19" ht="20.25" hidden="1" customHeight="1">
      <c r="B2345" s="17"/>
      <c r="Q2345" s="18"/>
      <c r="R2345" s="14"/>
      <c r="S2345" s="14">
        <v>1</v>
      </c>
    </row>
    <row r="2346" spans="2:19" ht="20.25" hidden="1" customHeight="1">
      <c r="B2346" s="17"/>
      <c r="Q2346" s="18"/>
      <c r="R2346" s="14"/>
      <c r="S2346" s="14">
        <v>1</v>
      </c>
    </row>
    <row r="2347" spans="2:19" ht="20.25" hidden="1" customHeight="1">
      <c r="B2347" s="17"/>
      <c r="Q2347" s="18"/>
      <c r="R2347" s="14"/>
      <c r="S2347" s="14">
        <v>1</v>
      </c>
    </row>
    <row r="2348" spans="2:19" ht="20.25" hidden="1" customHeight="1">
      <c r="B2348" s="17"/>
      <c r="Q2348" s="18"/>
      <c r="R2348" s="14"/>
      <c r="S2348" s="14">
        <v>1</v>
      </c>
    </row>
    <row r="2349" spans="2:19" ht="20.25" hidden="1" customHeight="1">
      <c r="B2349" s="17"/>
      <c r="Q2349" s="18"/>
      <c r="R2349" s="14"/>
      <c r="S2349" s="14">
        <v>1</v>
      </c>
    </row>
    <row r="2350" spans="2:19" ht="20.25" hidden="1" customHeight="1">
      <c r="B2350" s="17"/>
      <c r="Q2350" s="18"/>
      <c r="R2350" s="14"/>
      <c r="S2350" s="14">
        <v>1</v>
      </c>
    </row>
    <row r="2351" spans="2:19" ht="20.25" hidden="1" customHeight="1">
      <c r="B2351" s="17"/>
      <c r="Q2351" s="18"/>
      <c r="R2351" s="14"/>
      <c r="S2351" s="14">
        <v>1</v>
      </c>
    </row>
    <row r="2352" spans="2:19" ht="20.25" hidden="1" customHeight="1">
      <c r="B2352" s="17"/>
      <c r="Q2352" s="18"/>
      <c r="R2352" s="14"/>
      <c r="S2352" s="14">
        <v>1</v>
      </c>
    </row>
    <row r="2353" spans="2:19" ht="20.25" hidden="1" customHeight="1">
      <c r="B2353" s="17"/>
      <c r="Q2353" s="18"/>
      <c r="R2353" s="14"/>
      <c r="S2353" s="14">
        <v>1</v>
      </c>
    </row>
    <row r="2354" spans="2:19" ht="20.25" hidden="1" customHeight="1">
      <c r="B2354" s="17"/>
      <c r="Q2354" s="18"/>
      <c r="R2354" s="14"/>
      <c r="S2354" s="14">
        <v>1</v>
      </c>
    </row>
    <row r="2355" spans="2:19" ht="20.25" hidden="1" customHeight="1">
      <c r="B2355" s="17"/>
      <c r="Q2355" s="18"/>
      <c r="R2355" s="14"/>
      <c r="S2355" s="14">
        <v>1</v>
      </c>
    </row>
    <row r="2356" spans="2:19" ht="20.25" hidden="1" customHeight="1">
      <c r="B2356" s="17"/>
      <c r="Q2356" s="18"/>
      <c r="R2356" s="14"/>
      <c r="S2356" s="14">
        <v>1</v>
      </c>
    </row>
    <row r="2357" spans="2:19" ht="20.25" hidden="1" customHeight="1">
      <c r="B2357" s="17"/>
      <c r="Q2357" s="18"/>
      <c r="R2357" s="14"/>
      <c r="S2357" s="14">
        <v>1</v>
      </c>
    </row>
    <row r="2358" spans="2:19" ht="20.25" hidden="1" customHeight="1">
      <c r="B2358" s="17"/>
      <c r="Q2358" s="18"/>
      <c r="R2358" s="14"/>
      <c r="S2358" s="14">
        <v>1</v>
      </c>
    </row>
    <row r="2359" spans="2:19" ht="20.25" hidden="1" customHeight="1">
      <c r="B2359" s="17"/>
      <c r="Q2359" s="18"/>
      <c r="R2359" s="14"/>
      <c r="S2359" s="14">
        <v>1</v>
      </c>
    </row>
    <row r="2360" spans="2:19" ht="20.25" hidden="1" customHeight="1">
      <c r="B2360" s="17"/>
      <c r="Q2360" s="18"/>
      <c r="R2360" s="14"/>
      <c r="S2360" s="14">
        <v>1</v>
      </c>
    </row>
    <row r="2361" spans="2:19" ht="20.25" hidden="1" customHeight="1">
      <c r="B2361" s="17"/>
      <c r="Q2361" s="18"/>
      <c r="R2361" s="14"/>
      <c r="S2361" s="14">
        <v>1</v>
      </c>
    </row>
    <row r="2362" spans="2:19" ht="20.25" hidden="1" customHeight="1">
      <c r="B2362" s="17"/>
      <c r="Q2362" s="18"/>
      <c r="R2362" s="14"/>
      <c r="S2362" s="14">
        <v>1</v>
      </c>
    </row>
    <row r="2363" spans="2:19" ht="20.25" hidden="1" customHeight="1">
      <c r="B2363" s="17"/>
      <c r="Q2363" s="18"/>
      <c r="R2363" s="14"/>
      <c r="S2363" s="14">
        <v>1</v>
      </c>
    </row>
    <row r="2364" spans="2:19" ht="20.25" hidden="1" customHeight="1">
      <c r="B2364" s="17"/>
      <c r="Q2364" s="18"/>
      <c r="R2364" s="14"/>
      <c r="S2364" s="14">
        <v>1</v>
      </c>
    </row>
    <row r="2365" spans="2:19" ht="20.25" hidden="1" customHeight="1">
      <c r="B2365" s="17"/>
      <c r="Q2365" s="18"/>
      <c r="R2365" s="14"/>
      <c r="S2365" s="14">
        <v>1</v>
      </c>
    </row>
    <row r="2366" spans="2:19" ht="20.25" hidden="1" customHeight="1">
      <c r="B2366" s="17"/>
      <c r="Q2366" s="18"/>
      <c r="R2366" s="14"/>
      <c r="S2366" s="14">
        <v>1</v>
      </c>
    </row>
    <row r="2367" spans="2:19" ht="20.25" hidden="1" customHeight="1">
      <c r="B2367" s="17"/>
      <c r="Q2367" s="18"/>
      <c r="R2367" s="14"/>
      <c r="S2367" s="14">
        <v>1</v>
      </c>
    </row>
    <row r="2368" spans="2:19" ht="20.25" hidden="1" customHeight="1">
      <c r="B2368" s="17"/>
      <c r="Q2368" s="18"/>
      <c r="R2368" s="14"/>
      <c r="S2368" s="14">
        <v>1</v>
      </c>
    </row>
    <row r="2369" spans="2:19" ht="20.25" hidden="1" customHeight="1">
      <c r="B2369" s="17"/>
      <c r="Q2369" s="18"/>
      <c r="R2369" s="14"/>
      <c r="S2369" s="14">
        <v>1</v>
      </c>
    </row>
    <row r="2370" spans="2:19" ht="20.25" hidden="1" customHeight="1">
      <c r="B2370" s="17"/>
      <c r="Q2370" s="18"/>
      <c r="R2370" s="14"/>
      <c r="S2370" s="14">
        <v>1</v>
      </c>
    </row>
    <row r="2371" spans="2:19" ht="20.25" hidden="1" customHeight="1">
      <c r="B2371" s="17"/>
      <c r="Q2371" s="18"/>
      <c r="R2371" s="14"/>
      <c r="S2371" s="14">
        <v>1</v>
      </c>
    </row>
    <row r="2372" spans="2:19" ht="20.25" hidden="1" customHeight="1">
      <c r="B2372" s="17"/>
      <c r="Q2372" s="18"/>
      <c r="R2372" s="14"/>
      <c r="S2372" s="14">
        <v>1</v>
      </c>
    </row>
    <row r="2373" spans="2:19" ht="20.25" hidden="1" customHeight="1">
      <c r="B2373" s="17"/>
      <c r="Q2373" s="18"/>
      <c r="R2373" s="14"/>
      <c r="S2373" s="14">
        <v>1</v>
      </c>
    </row>
    <row r="2374" spans="2:19" ht="20.25" hidden="1" customHeight="1">
      <c r="B2374" s="17"/>
      <c r="Q2374" s="18"/>
      <c r="R2374" s="14"/>
      <c r="S2374" s="14">
        <v>1</v>
      </c>
    </row>
    <row r="2375" spans="2:19" ht="20.25" hidden="1" customHeight="1">
      <c r="B2375" s="17"/>
      <c r="Q2375" s="18"/>
      <c r="R2375" s="14"/>
      <c r="S2375" s="14">
        <v>1</v>
      </c>
    </row>
    <row r="2376" spans="2:19" ht="20.25" hidden="1" customHeight="1">
      <c r="B2376" s="17"/>
      <c r="Q2376" s="18"/>
      <c r="R2376" s="14"/>
      <c r="S2376" s="14">
        <v>1</v>
      </c>
    </row>
    <row r="2377" spans="2:19" ht="20.25" hidden="1" customHeight="1">
      <c r="B2377" s="17"/>
      <c r="Q2377" s="18"/>
      <c r="R2377" s="14"/>
      <c r="S2377" s="14">
        <v>1</v>
      </c>
    </row>
    <row r="2378" spans="2:19" ht="20.25" hidden="1" customHeight="1">
      <c r="B2378" s="17"/>
      <c r="Q2378" s="18"/>
      <c r="R2378" s="14"/>
      <c r="S2378" s="14">
        <v>1</v>
      </c>
    </row>
    <row r="2379" spans="2:19" ht="20.25" hidden="1" customHeight="1">
      <c r="B2379" s="17"/>
      <c r="Q2379" s="18"/>
      <c r="R2379" s="14"/>
      <c r="S2379" s="14">
        <v>1</v>
      </c>
    </row>
    <row r="2380" spans="2:19" ht="20.25" hidden="1" customHeight="1">
      <c r="B2380" s="17"/>
      <c r="Q2380" s="18"/>
      <c r="R2380" s="14"/>
      <c r="S2380" s="14">
        <v>1</v>
      </c>
    </row>
    <row r="2381" spans="2:19" ht="20.25" hidden="1" customHeight="1">
      <c r="B2381" s="17"/>
      <c r="Q2381" s="18"/>
      <c r="R2381" s="14"/>
      <c r="S2381" s="14">
        <v>1</v>
      </c>
    </row>
    <row r="2382" spans="2:19" ht="20.25" hidden="1" customHeight="1">
      <c r="B2382" s="17"/>
      <c r="Q2382" s="18"/>
      <c r="R2382" s="14"/>
      <c r="S2382" s="14">
        <v>1</v>
      </c>
    </row>
    <row r="2383" spans="2:19" ht="20.25" hidden="1" customHeight="1">
      <c r="B2383" s="17"/>
      <c r="Q2383" s="18"/>
      <c r="R2383" s="14"/>
      <c r="S2383" s="14">
        <v>1</v>
      </c>
    </row>
    <row r="2384" spans="2:19" ht="20.25" hidden="1" customHeight="1">
      <c r="B2384" s="17"/>
      <c r="Q2384" s="18"/>
      <c r="R2384" s="14"/>
      <c r="S2384" s="14">
        <v>1</v>
      </c>
    </row>
    <row r="2385" spans="2:19" ht="20.25" hidden="1" customHeight="1">
      <c r="B2385" s="17"/>
      <c r="Q2385" s="18"/>
      <c r="R2385" s="14"/>
      <c r="S2385" s="14">
        <v>1</v>
      </c>
    </row>
    <row r="2386" spans="2:19" ht="20.25" hidden="1" customHeight="1">
      <c r="B2386" s="17"/>
      <c r="Q2386" s="18"/>
      <c r="R2386" s="14"/>
      <c r="S2386" s="14">
        <v>1</v>
      </c>
    </row>
    <row r="2387" spans="2:19" ht="20.25" hidden="1" customHeight="1">
      <c r="B2387" s="17"/>
      <c r="Q2387" s="18"/>
      <c r="R2387" s="14"/>
      <c r="S2387" s="14">
        <v>1</v>
      </c>
    </row>
    <row r="2388" spans="2:19" ht="20.25" hidden="1" customHeight="1">
      <c r="B2388" s="17"/>
      <c r="Q2388" s="18"/>
      <c r="R2388" s="14"/>
      <c r="S2388" s="14">
        <v>1</v>
      </c>
    </row>
    <row r="2389" spans="2:19" ht="20.25" hidden="1" customHeight="1">
      <c r="B2389" s="17"/>
      <c r="Q2389" s="18"/>
      <c r="R2389" s="14"/>
      <c r="S2389" s="14">
        <v>1</v>
      </c>
    </row>
    <row r="2390" spans="2:19" ht="20.25" hidden="1" customHeight="1">
      <c r="B2390" s="17"/>
      <c r="Q2390" s="18"/>
      <c r="R2390" s="14"/>
      <c r="S2390" s="14">
        <v>1</v>
      </c>
    </row>
    <row r="2391" spans="2:19" ht="20.25" hidden="1" customHeight="1">
      <c r="B2391" s="17"/>
      <c r="Q2391" s="18"/>
      <c r="R2391" s="14"/>
      <c r="S2391" s="14">
        <v>1</v>
      </c>
    </row>
    <row r="2392" spans="2:19" ht="20.25" hidden="1" customHeight="1">
      <c r="B2392" s="17"/>
      <c r="Q2392" s="18"/>
      <c r="R2392" s="14"/>
      <c r="S2392" s="14">
        <v>1</v>
      </c>
    </row>
    <row r="2393" spans="2:19" ht="20.25" hidden="1" customHeight="1">
      <c r="B2393" s="17"/>
      <c r="Q2393" s="18"/>
      <c r="R2393" s="14"/>
      <c r="S2393" s="14">
        <v>1</v>
      </c>
    </row>
    <row r="2394" spans="2:19" ht="20.25" hidden="1" customHeight="1">
      <c r="B2394" s="17"/>
      <c r="Q2394" s="18"/>
      <c r="R2394" s="14"/>
      <c r="S2394" s="14">
        <v>1</v>
      </c>
    </row>
    <row r="2395" spans="2:19" ht="20.25" hidden="1" customHeight="1">
      <c r="B2395" s="17"/>
      <c r="Q2395" s="18"/>
      <c r="R2395" s="14"/>
      <c r="S2395" s="14">
        <v>1</v>
      </c>
    </row>
    <row r="2396" spans="2:19" ht="20.25" hidden="1" customHeight="1">
      <c r="B2396" s="17"/>
      <c r="Q2396" s="18"/>
      <c r="R2396" s="14"/>
      <c r="S2396" s="14">
        <v>1</v>
      </c>
    </row>
    <row r="2397" spans="2:19" ht="20.25" hidden="1" customHeight="1">
      <c r="B2397" s="17"/>
      <c r="Q2397" s="18"/>
      <c r="R2397" s="14"/>
      <c r="S2397" s="14">
        <v>1</v>
      </c>
    </row>
    <row r="2398" spans="2:19" ht="20.25" hidden="1" customHeight="1">
      <c r="B2398" s="17"/>
      <c r="Q2398" s="18"/>
      <c r="R2398" s="14"/>
      <c r="S2398" s="14">
        <v>1</v>
      </c>
    </row>
    <row r="2399" spans="2:19" ht="20.25" hidden="1" customHeight="1">
      <c r="B2399" s="17"/>
      <c r="Q2399" s="18"/>
      <c r="R2399" s="14"/>
      <c r="S2399" s="14">
        <v>1</v>
      </c>
    </row>
    <row r="2400" spans="2:19" ht="20.25" hidden="1" customHeight="1">
      <c r="B2400" s="17"/>
      <c r="Q2400" s="18"/>
      <c r="R2400" s="14"/>
      <c r="S2400" s="14">
        <v>1</v>
      </c>
    </row>
    <row r="2401" spans="2:19" ht="20.25" hidden="1" customHeight="1">
      <c r="B2401" s="17"/>
      <c r="Q2401" s="18"/>
      <c r="R2401" s="14"/>
      <c r="S2401" s="14">
        <v>1</v>
      </c>
    </row>
    <row r="2402" spans="2:19" ht="20.25" hidden="1" customHeight="1">
      <c r="B2402" s="17"/>
      <c r="Q2402" s="18"/>
      <c r="R2402" s="14"/>
      <c r="S2402" s="14">
        <v>1</v>
      </c>
    </row>
    <row r="2403" spans="2:19" ht="20.25" hidden="1" customHeight="1">
      <c r="B2403" s="17"/>
      <c r="Q2403" s="18"/>
      <c r="R2403" s="14"/>
      <c r="S2403" s="14">
        <v>1</v>
      </c>
    </row>
    <row r="2404" spans="2:19" ht="20.25" hidden="1" customHeight="1">
      <c r="B2404" s="17"/>
      <c r="Q2404" s="18"/>
      <c r="R2404" s="14"/>
      <c r="S2404" s="14">
        <v>1</v>
      </c>
    </row>
    <row r="2405" spans="2:19" ht="20.25" hidden="1" customHeight="1">
      <c r="B2405" s="17"/>
      <c r="Q2405" s="18"/>
      <c r="R2405" s="14"/>
      <c r="S2405" s="14">
        <v>1</v>
      </c>
    </row>
    <row r="2406" spans="2:19" ht="20.25" hidden="1" customHeight="1">
      <c r="B2406" s="17"/>
      <c r="Q2406" s="18"/>
      <c r="R2406" s="14"/>
      <c r="S2406" s="14">
        <v>1</v>
      </c>
    </row>
    <row r="2407" spans="2:19" ht="20.25" hidden="1" customHeight="1">
      <c r="B2407" s="17"/>
      <c r="Q2407" s="18"/>
      <c r="R2407" s="14"/>
      <c r="S2407" s="14">
        <v>1</v>
      </c>
    </row>
    <row r="2408" spans="2:19" ht="20.25" hidden="1" customHeight="1">
      <c r="B2408" s="17"/>
      <c r="Q2408" s="18"/>
      <c r="R2408" s="14"/>
      <c r="S2408" s="14">
        <v>1</v>
      </c>
    </row>
    <row r="2409" spans="2:19" ht="20.25" hidden="1" customHeight="1">
      <c r="B2409" s="17"/>
      <c r="Q2409" s="18"/>
      <c r="R2409" s="14"/>
      <c r="S2409" s="14">
        <v>1</v>
      </c>
    </row>
    <row r="2410" spans="2:19" ht="20.25" hidden="1" customHeight="1">
      <c r="B2410" s="17"/>
      <c r="Q2410" s="18"/>
      <c r="R2410" s="14"/>
      <c r="S2410" s="14">
        <v>1</v>
      </c>
    </row>
    <row r="2411" spans="2:19" ht="20.25" hidden="1" customHeight="1">
      <c r="B2411" s="17"/>
      <c r="Q2411" s="18"/>
      <c r="R2411" s="14"/>
      <c r="S2411" s="14">
        <v>1</v>
      </c>
    </row>
    <row r="2412" spans="2:19" ht="20.25" hidden="1" customHeight="1">
      <c r="B2412" s="17"/>
      <c r="Q2412" s="18"/>
      <c r="R2412" s="14"/>
      <c r="S2412" s="14">
        <v>1</v>
      </c>
    </row>
    <row r="2413" spans="2:19" ht="20.25" hidden="1" customHeight="1">
      <c r="B2413" s="17"/>
      <c r="Q2413" s="18"/>
      <c r="R2413" s="14"/>
      <c r="S2413" s="14">
        <v>1</v>
      </c>
    </row>
    <row r="2414" spans="2:19" ht="20.25" hidden="1" customHeight="1">
      <c r="B2414" s="17"/>
      <c r="Q2414" s="18"/>
      <c r="R2414" s="14"/>
      <c r="S2414" s="14">
        <v>1</v>
      </c>
    </row>
    <row r="2415" spans="2:19" ht="20.25" hidden="1" customHeight="1">
      <c r="B2415" s="17"/>
      <c r="Q2415" s="18"/>
      <c r="R2415" s="14"/>
      <c r="S2415" s="14">
        <v>1</v>
      </c>
    </row>
    <row r="2416" spans="2:19" ht="20.25" hidden="1" customHeight="1">
      <c r="B2416" s="17"/>
      <c r="Q2416" s="18"/>
      <c r="R2416" s="14"/>
      <c r="S2416" s="14">
        <v>1</v>
      </c>
    </row>
    <row r="2417" spans="2:19" ht="20.25" hidden="1" customHeight="1">
      <c r="B2417" s="17"/>
      <c r="Q2417" s="18"/>
      <c r="R2417" s="14"/>
      <c r="S2417" s="14">
        <v>1</v>
      </c>
    </row>
    <row r="2418" spans="2:19" ht="20.25" hidden="1" customHeight="1">
      <c r="B2418" s="17"/>
      <c r="Q2418" s="18"/>
      <c r="R2418" s="14"/>
      <c r="S2418" s="14">
        <v>1</v>
      </c>
    </row>
    <row r="2419" spans="2:19" ht="20.25" hidden="1" customHeight="1">
      <c r="B2419" s="17"/>
      <c r="Q2419" s="18"/>
      <c r="R2419" s="14"/>
      <c r="S2419" s="14">
        <v>1</v>
      </c>
    </row>
    <row r="2420" spans="2:19" ht="20.25" hidden="1" customHeight="1">
      <c r="B2420" s="17"/>
      <c r="Q2420" s="18"/>
      <c r="R2420" s="14"/>
      <c r="S2420" s="14">
        <v>1</v>
      </c>
    </row>
    <row r="2421" spans="2:19" ht="20.25" hidden="1" customHeight="1">
      <c r="B2421" s="17"/>
      <c r="Q2421" s="18"/>
      <c r="R2421" s="14"/>
      <c r="S2421" s="14">
        <v>1</v>
      </c>
    </row>
    <row r="2422" spans="2:19" ht="20.25" hidden="1" customHeight="1">
      <c r="B2422" s="17"/>
      <c r="Q2422" s="18"/>
      <c r="R2422" s="14"/>
      <c r="S2422" s="14">
        <v>1</v>
      </c>
    </row>
    <row r="2423" spans="2:19" ht="20.25" hidden="1" customHeight="1">
      <c r="B2423" s="17"/>
      <c r="Q2423" s="18"/>
      <c r="R2423" s="14"/>
      <c r="S2423" s="14">
        <v>1</v>
      </c>
    </row>
    <row r="2424" spans="2:19" ht="20.25" hidden="1" customHeight="1">
      <c r="B2424" s="17"/>
      <c r="Q2424" s="18"/>
      <c r="R2424" s="14"/>
      <c r="S2424" s="14">
        <v>1</v>
      </c>
    </row>
    <row r="2425" spans="2:19" ht="20.25" hidden="1" customHeight="1">
      <c r="B2425" s="17"/>
      <c r="Q2425" s="18"/>
      <c r="R2425" s="14"/>
      <c r="S2425" s="14">
        <v>1</v>
      </c>
    </row>
    <row r="2426" spans="2:19" ht="20.25" hidden="1" customHeight="1">
      <c r="B2426" s="17"/>
      <c r="Q2426" s="18"/>
      <c r="R2426" s="14"/>
      <c r="S2426" s="14">
        <v>1</v>
      </c>
    </row>
    <row r="2427" spans="2:19" ht="20.25" hidden="1" customHeight="1">
      <c r="B2427" s="17"/>
      <c r="Q2427" s="18"/>
      <c r="R2427" s="14"/>
      <c r="S2427" s="14">
        <v>1</v>
      </c>
    </row>
    <row r="2428" spans="2:19" ht="20.25" hidden="1" customHeight="1">
      <c r="B2428" s="17"/>
      <c r="Q2428" s="18"/>
      <c r="R2428" s="14"/>
      <c r="S2428" s="14">
        <v>1</v>
      </c>
    </row>
    <row r="2429" spans="2:19" ht="20.25" hidden="1" customHeight="1">
      <c r="B2429" s="17"/>
      <c r="Q2429" s="18"/>
      <c r="R2429" s="14"/>
      <c r="S2429" s="14">
        <v>1</v>
      </c>
    </row>
    <row r="2430" spans="2:19" ht="20.25" hidden="1" customHeight="1">
      <c r="B2430" s="17"/>
      <c r="Q2430" s="18"/>
      <c r="R2430" s="14"/>
      <c r="S2430" s="14">
        <v>1</v>
      </c>
    </row>
    <row r="2431" spans="2:19" ht="20.25" hidden="1" customHeight="1">
      <c r="B2431" s="17"/>
      <c r="Q2431" s="18"/>
      <c r="R2431" s="14"/>
      <c r="S2431" s="14">
        <v>1</v>
      </c>
    </row>
    <row r="2432" spans="2:19" ht="20.25" hidden="1" customHeight="1">
      <c r="B2432" s="17"/>
      <c r="Q2432" s="18"/>
      <c r="R2432" s="14"/>
      <c r="S2432" s="14">
        <v>1</v>
      </c>
    </row>
    <row r="2433" spans="2:19" ht="20.25" hidden="1" customHeight="1">
      <c r="B2433" s="17"/>
      <c r="Q2433" s="18"/>
      <c r="R2433" s="14"/>
      <c r="S2433" s="14">
        <v>1</v>
      </c>
    </row>
    <row r="2434" spans="2:19" ht="20.25" hidden="1" customHeight="1">
      <c r="B2434" s="17"/>
      <c r="Q2434" s="18"/>
      <c r="R2434" s="14"/>
      <c r="S2434" s="14">
        <v>1</v>
      </c>
    </row>
    <row r="2435" spans="2:19" ht="20.25" hidden="1" customHeight="1">
      <c r="B2435" s="17"/>
      <c r="Q2435" s="18"/>
      <c r="R2435" s="14"/>
      <c r="S2435" s="14">
        <v>1</v>
      </c>
    </row>
    <row r="2436" spans="2:19" ht="20.25" hidden="1" customHeight="1">
      <c r="B2436" s="17"/>
      <c r="Q2436" s="18"/>
      <c r="R2436" s="14"/>
      <c r="S2436" s="14">
        <v>1</v>
      </c>
    </row>
    <row r="2437" spans="2:19" ht="20.25" hidden="1" customHeight="1">
      <c r="B2437" s="17"/>
      <c r="Q2437" s="18"/>
      <c r="R2437" s="14"/>
      <c r="S2437" s="14">
        <v>1</v>
      </c>
    </row>
    <row r="2438" spans="2:19" ht="20.25" hidden="1" customHeight="1">
      <c r="B2438" s="17"/>
      <c r="Q2438" s="18"/>
      <c r="R2438" s="14"/>
      <c r="S2438" s="14">
        <v>1</v>
      </c>
    </row>
    <row r="2439" spans="2:19" ht="20.25" hidden="1" customHeight="1">
      <c r="B2439" s="17"/>
      <c r="Q2439" s="18"/>
      <c r="R2439" s="14"/>
      <c r="S2439" s="14">
        <v>1</v>
      </c>
    </row>
    <row r="2440" spans="2:19" ht="20.25" hidden="1" customHeight="1">
      <c r="B2440" s="17"/>
      <c r="Q2440" s="18"/>
      <c r="R2440" s="14"/>
      <c r="S2440" s="14">
        <v>1</v>
      </c>
    </row>
    <row r="2441" spans="2:19" ht="20.25" hidden="1" customHeight="1">
      <c r="B2441" s="17"/>
      <c r="Q2441" s="18"/>
      <c r="R2441" s="14"/>
      <c r="S2441" s="14">
        <v>1</v>
      </c>
    </row>
    <row r="2442" spans="2:19" ht="20.25" hidden="1" customHeight="1">
      <c r="B2442" s="17"/>
      <c r="Q2442" s="18"/>
      <c r="R2442" s="14"/>
      <c r="S2442" s="14">
        <v>1</v>
      </c>
    </row>
    <row r="2443" spans="2:19" ht="20.25" hidden="1" customHeight="1">
      <c r="B2443" s="17"/>
      <c r="Q2443" s="18"/>
      <c r="R2443" s="14"/>
      <c r="S2443" s="14">
        <v>1</v>
      </c>
    </row>
    <row r="2444" spans="2:19" ht="20.25" hidden="1" customHeight="1">
      <c r="B2444" s="17"/>
      <c r="Q2444" s="18"/>
      <c r="R2444" s="14"/>
      <c r="S2444" s="14">
        <v>1</v>
      </c>
    </row>
    <row r="2445" spans="2:19" ht="20.25" hidden="1" customHeight="1">
      <c r="B2445" s="17"/>
      <c r="Q2445" s="18"/>
      <c r="R2445" s="14"/>
      <c r="S2445" s="14">
        <v>1</v>
      </c>
    </row>
    <row r="2446" spans="2:19" ht="20.25" hidden="1" customHeight="1">
      <c r="B2446" s="17"/>
      <c r="Q2446" s="18"/>
      <c r="R2446" s="14"/>
      <c r="S2446" s="14">
        <v>1</v>
      </c>
    </row>
    <row r="2447" spans="2:19" ht="20.25" hidden="1" customHeight="1">
      <c r="B2447" s="17"/>
      <c r="Q2447" s="18"/>
      <c r="R2447" s="14"/>
      <c r="S2447" s="14">
        <v>1</v>
      </c>
    </row>
    <row r="2448" spans="2:19" ht="20.25" hidden="1" customHeight="1">
      <c r="B2448" s="17"/>
      <c r="Q2448" s="18"/>
      <c r="R2448" s="14"/>
      <c r="S2448" s="14">
        <v>1</v>
      </c>
    </row>
    <row r="2449" spans="2:19" ht="20.25" hidden="1" customHeight="1">
      <c r="B2449" s="17"/>
      <c r="Q2449" s="18"/>
      <c r="R2449" s="14"/>
      <c r="S2449" s="14">
        <v>1</v>
      </c>
    </row>
    <row r="2450" spans="2:19" ht="20.25" hidden="1" customHeight="1">
      <c r="B2450" s="17"/>
      <c r="Q2450" s="18"/>
      <c r="R2450" s="14"/>
      <c r="S2450" s="14">
        <v>1</v>
      </c>
    </row>
    <row r="2451" spans="2:19" ht="20.25" hidden="1" customHeight="1">
      <c r="B2451" s="17"/>
      <c r="Q2451" s="18"/>
      <c r="R2451" s="14"/>
      <c r="S2451" s="14">
        <v>1</v>
      </c>
    </row>
    <row r="2452" spans="2:19" ht="20.25" hidden="1" customHeight="1">
      <c r="B2452" s="17"/>
      <c r="Q2452" s="18"/>
      <c r="R2452" s="14"/>
      <c r="S2452" s="14">
        <v>1</v>
      </c>
    </row>
    <row r="2453" spans="2:19" ht="20.25" hidden="1" customHeight="1">
      <c r="B2453" s="17"/>
      <c r="Q2453" s="18"/>
      <c r="R2453" s="14"/>
      <c r="S2453" s="14">
        <v>1</v>
      </c>
    </row>
    <row r="2454" spans="2:19" ht="20.25" hidden="1" customHeight="1">
      <c r="B2454" s="17"/>
      <c r="Q2454" s="18"/>
      <c r="R2454" s="14"/>
      <c r="S2454" s="14">
        <v>1</v>
      </c>
    </row>
    <row r="2455" spans="2:19" ht="20.25" hidden="1" customHeight="1">
      <c r="B2455" s="17"/>
      <c r="Q2455" s="18"/>
      <c r="R2455" s="14"/>
      <c r="S2455" s="14">
        <v>1</v>
      </c>
    </row>
    <row r="2456" spans="2:19" ht="20.25" hidden="1" customHeight="1">
      <c r="B2456" s="17"/>
      <c r="Q2456" s="18"/>
      <c r="R2456" s="14"/>
      <c r="S2456" s="14">
        <v>1</v>
      </c>
    </row>
    <row r="2457" spans="2:19" ht="20.25" hidden="1" customHeight="1">
      <c r="B2457" s="17"/>
      <c r="Q2457" s="18"/>
      <c r="R2457" s="14"/>
      <c r="S2457" s="14">
        <v>1</v>
      </c>
    </row>
    <row r="2458" spans="2:19" ht="20.25" hidden="1" customHeight="1">
      <c r="B2458" s="17"/>
      <c r="Q2458" s="18"/>
      <c r="R2458" s="14"/>
      <c r="S2458" s="14">
        <v>1</v>
      </c>
    </row>
    <row r="2459" spans="2:19" ht="20.25" hidden="1" customHeight="1">
      <c r="B2459" s="17"/>
      <c r="Q2459" s="18"/>
      <c r="R2459" s="14"/>
      <c r="S2459" s="14">
        <v>1</v>
      </c>
    </row>
    <row r="2460" spans="2:19" ht="20.25" hidden="1" customHeight="1">
      <c r="B2460" s="17"/>
      <c r="Q2460" s="18"/>
      <c r="R2460" s="14"/>
      <c r="S2460" s="14">
        <v>1</v>
      </c>
    </row>
    <row r="2461" spans="2:19" ht="20.25" hidden="1" customHeight="1">
      <c r="B2461" s="17"/>
      <c r="Q2461" s="18"/>
      <c r="R2461" s="14"/>
      <c r="S2461" s="14">
        <v>1</v>
      </c>
    </row>
    <row r="2462" spans="2:19" ht="20.25" hidden="1" customHeight="1">
      <c r="B2462" s="17"/>
      <c r="Q2462" s="18"/>
      <c r="R2462" s="14"/>
      <c r="S2462" s="14">
        <v>1</v>
      </c>
    </row>
    <row r="2463" spans="2:19" ht="20.25" hidden="1" customHeight="1">
      <c r="B2463" s="17"/>
      <c r="Q2463" s="18"/>
      <c r="R2463" s="14"/>
      <c r="S2463" s="14">
        <v>1</v>
      </c>
    </row>
    <row r="2464" spans="2:19" ht="20.25" hidden="1" customHeight="1">
      <c r="B2464" s="17"/>
      <c r="Q2464" s="18"/>
      <c r="R2464" s="14"/>
      <c r="S2464" s="14">
        <v>1</v>
      </c>
    </row>
    <row r="2465" spans="2:19" ht="20.25" hidden="1" customHeight="1">
      <c r="B2465" s="17"/>
      <c r="Q2465" s="18"/>
      <c r="R2465" s="14"/>
      <c r="S2465" s="14">
        <v>1</v>
      </c>
    </row>
    <row r="2466" spans="2:19" ht="20.25" hidden="1" customHeight="1">
      <c r="B2466" s="17"/>
      <c r="Q2466" s="18"/>
      <c r="R2466" s="14"/>
      <c r="S2466" s="14">
        <v>1</v>
      </c>
    </row>
    <row r="2467" spans="2:19" ht="20.25" hidden="1" customHeight="1">
      <c r="B2467" s="17"/>
      <c r="Q2467" s="18"/>
      <c r="R2467" s="14"/>
      <c r="S2467" s="14">
        <v>1</v>
      </c>
    </row>
    <row r="2468" spans="2:19" ht="20.25" hidden="1" customHeight="1">
      <c r="B2468" s="17"/>
      <c r="Q2468" s="18"/>
      <c r="R2468" s="14"/>
      <c r="S2468" s="14">
        <v>1</v>
      </c>
    </row>
    <row r="2469" spans="2:19" ht="20.25" hidden="1" customHeight="1">
      <c r="B2469" s="17"/>
      <c r="Q2469" s="18"/>
      <c r="R2469" s="14"/>
      <c r="S2469" s="14">
        <v>1</v>
      </c>
    </row>
    <row r="2470" spans="2:19" ht="20.25" hidden="1" customHeight="1">
      <c r="B2470" s="17"/>
      <c r="Q2470" s="18"/>
      <c r="R2470" s="14"/>
      <c r="S2470" s="14">
        <v>1</v>
      </c>
    </row>
    <row r="2471" spans="2:19" ht="20.25" hidden="1" customHeight="1">
      <c r="B2471" s="17"/>
      <c r="Q2471" s="18"/>
      <c r="R2471" s="14"/>
      <c r="S2471" s="14">
        <v>1</v>
      </c>
    </row>
    <row r="2472" spans="2:19" ht="20.25" hidden="1" customHeight="1">
      <c r="B2472" s="17"/>
      <c r="Q2472" s="18"/>
      <c r="R2472" s="14"/>
      <c r="S2472" s="14">
        <v>1</v>
      </c>
    </row>
    <row r="2473" spans="2:19" ht="20.25" hidden="1" customHeight="1">
      <c r="B2473" s="17"/>
      <c r="Q2473" s="18"/>
      <c r="R2473" s="14"/>
      <c r="S2473" s="14">
        <v>1</v>
      </c>
    </row>
    <row r="2474" spans="2:19" ht="20.25" hidden="1" customHeight="1">
      <c r="B2474" s="17"/>
      <c r="Q2474" s="18"/>
      <c r="R2474" s="14"/>
      <c r="S2474" s="14">
        <v>1</v>
      </c>
    </row>
    <row r="2475" spans="2:19" ht="20.25" hidden="1" customHeight="1">
      <c r="B2475" s="17"/>
      <c r="Q2475" s="18"/>
      <c r="R2475" s="14"/>
      <c r="S2475" s="14">
        <v>1</v>
      </c>
    </row>
    <row r="2476" spans="2:19" ht="20.25" hidden="1" customHeight="1">
      <c r="B2476" s="17"/>
      <c r="Q2476" s="18"/>
      <c r="R2476" s="14"/>
      <c r="S2476" s="14">
        <v>1</v>
      </c>
    </row>
    <row r="2477" spans="2:19" ht="20.25" hidden="1" customHeight="1">
      <c r="B2477" s="17"/>
      <c r="Q2477" s="18"/>
      <c r="R2477" s="14"/>
      <c r="S2477" s="14">
        <v>1</v>
      </c>
    </row>
    <row r="2478" spans="2:19" ht="20.25" hidden="1" customHeight="1">
      <c r="B2478" s="17"/>
      <c r="Q2478" s="18"/>
      <c r="R2478" s="14"/>
      <c r="S2478" s="14">
        <v>1</v>
      </c>
    </row>
    <row r="2479" spans="2:19" ht="20.25" hidden="1" customHeight="1">
      <c r="B2479" s="17"/>
      <c r="Q2479" s="18"/>
      <c r="R2479" s="14"/>
      <c r="S2479" s="14">
        <v>1</v>
      </c>
    </row>
    <row r="2480" spans="2:19" ht="20.25" hidden="1" customHeight="1">
      <c r="B2480" s="17"/>
      <c r="Q2480" s="18"/>
      <c r="R2480" s="14"/>
      <c r="S2480" s="14">
        <v>1</v>
      </c>
    </row>
    <row r="2481" spans="2:19" ht="20.25" hidden="1" customHeight="1">
      <c r="B2481" s="17"/>
      <c r="Q2481" s="18"/>
      <c r="R2481" s="14"/>
      <c r="S2481" s="14">
        <v>1</v>
      </c>
    </row>
    <row r="2482" spans="2:19" ht="20.25" hidden="1" customHeight="1">
      <c r="B2482" s="17"/>
      <c r="Q2482" s="18"/>
      <c r="R2482" s="14"/>
      <c r="S2482" s="14">
        <v>1</v>
      </c>
    </row>
    <row r="2483" spans="2:19" ht="20.25" hidden="1" customHeight="1">
      <c r="B2483" s="17"/>
      <c r="Q2483" s="18"/>
      <c r="R2483" s="14"/>
      <c r="S2483" s="14">
        <v>1</v>
      </c>
    </row>
    <row r="2484" spans="2:19" ht="20.25" hidden="1" customHeight="1">
      <c r="B2484" s="17"/>
      <c r="Q2484" s="18"/>
      <c r="R2484" s="14"/>
      <c r="S2484" s="14">
        <v>1</v>
      </c>
    </row>
    <row r="2485" spans="2:19" ht="20.25" hidden="1" customHeight="1">
      <c r="B2485" s="17"/>
      <c r="Q2485" s="18"/>
      <c r="R2485" s="14"/>
      <c r="S2485" s="14">
        <v>1</v>
      </c>
    </row>
    <row r="2486" spans="2:19" ht="20.25" hidden="1" customHeight="1">
      <c r="B2486" s="17"/>
      <c r="Q2486" s="18"/>
      <c r="R2486" s="14"/>
      <c r="S2486" s="14">
        <v>1</v>
      </c>
    </row>
    <row r="2487" spans="2:19" ht="20.25" hidden="1" customHeight="1">
      <c r="B2487" s="17"/>
      <c r="Q2487" s="18"/>
      <c r="R2487" s="14"/>
      <c r="S2487" s="14">
        <v>1</v>
      </c>
    </row>
    <row r="2488" spans="2:19" ht="20.25" hidden="1" customHeight="1">
      <c r="B2488" s="17"/>
      <c r="Q2488" s="18"/>
      <c r="R2488" s="14"/>
      <c r="S2488" s="14">
        <v>1</v>
      </c>
    </row>
    <row r="2489" spans="2:19" ht="20.25" hidden="1" customHeight="1">
      <c r="B2489" s="17"/>
      <c r="Q2489" s="18"/>
      <c r="R2489" s="14"/>
      <c r="S2489" s="14">
        <v>1</v>
      </c>
    </row>
    <row r="2490" spans="2:19" ht="20.25" hidden="1" customHeight="1">
      <c r="B2490" s="17"/>
      <c r="Q2490" s="18"/>
      <c r="R2490" s="14"/>
      <c r="S2490" s="14">
        <v>1</v>
      </c>
    </row>
    <row r="2491" spans="2:19" ht="20.25" hidden="1" customHeight="1">
      <c r="B2491" s="17"/>
      <c r="Q2491" s="18"/>
      <c r="R2491" s="14"/>
      <c r="S2491" s="14">
        <v>1</v>
      </c>
    </row>
    <row r="2492" spans="2:19" ht="20.25" hidden="1" customHeight="1">
      <c r="B2492" s="17"/>
      <c r="Q2492" s="18"/>
      <c r="R2492" s="14"/>
      <c r="S2492" s="14">
        <v>1</v>
      </c>
    </row>
    <row r="2493" spans="2:19" ht="20.25" hidden="1" customHeight="1">
      <c r="B2493" s="17"/>
      <c r="Q2493" s="18"/>
      <c r="R2493" s="14"/>
      <c r="S2493" s="14">
        <v>1</v>
      </c>
    </row>
    <row r="2494" spans="2:19" ht="20.25" hidden="1" customHeight="1">
      <c r="B2494" s="17"/>
      <c r="Q2494" s="18"/>
      <c r="R2494" s="14"/>
      <c r="S2494" s="14">
        <v>1</v>
      </c>
    </row>
    <row r="2495" spans="2:19" ht="20.25" hidden="1" customHeight="1">
      <c r="B2495" s="17"/>
      <c r="Q2495" s="18"/>
      <c r="R2495" s="14"/>
      <c r="S2495" s="14">
        <v>1</v>
      </c>
    </row>
    <row r="2496" spans="2:19" ht="20.25" hidden="1" customHeight="1">
      <c r="B2496" s="17"/>
      <c r="Q2496" s="18"/>
      <c r="R2496" s="14"/>
      <c r="S2496" s="14">
        <v>1</v>
      </c>
    </row>
    <row r="2497" spans="2:19" ht="20.25" hidden="1" customHeight="1">
      <c r="B2497" s="17"/>
      <c r="Q2497" s="18"/>
      <c r="R2497" s="14"/>
      <c r="S2497" s="14">
        <v>1</v>
      </c>
    </row>
    <row r="2498" spans="2:19" ht="20.25" hidden="1" customHeight="1">
      <c r="B2498" s="17"/>
      <c r="Q2498" s="18"/>
      <c r="R2498" s="14"/>
      <c r="S2498" s="14">
        <v>1</v>
      </c>
    </row>
    <row r="2499" spans="2:19" ht="20.25" hidden="1" customHeight="1">
      <c r="B2499" s="17"/>
      <c r="Q2499" s="18"/>
      <c r="R2499" s="14"/>
      <c r="S2499" s="14">
        <v>1</v>
      </c>
    </row>
    <row r="2500" spans="2:19" ht="20.25" hidden="1" customHeight="1">
      <c r="B2500" s="17"/>
      <c r="Q2500" s="18"/>
      <c r="R2500" s="14"/>
      <c r="S2500" s="14">
        <v>1</v>
      </c>
    </row>
    <row r="2501" spans="2:19" ht="20.25" hidden="1" customHeight="1">
      <c r="B2501" s="17"/>
      <c r="Q2501" s="18"/>
      <c r="R2501" s="14"/>
      <c r="S2501" s="14">
        <v>1</v>
      </c>
    </row>
    <row r="2502" spans="2:19" ht="20.25" hidden="1" customHeight="1">
      <c r="B2502" s="17"/>
      <c r="Q2502" s="18"/>
      <c r="R2502" s="14"/>
      <c r="S2502" s="14">
        <v>1</v>
      </c>
    </row>
    <row r="2503" spans="2:19" ht="20.25" hidden="1" customHeight="1">
      <c r="B2503" s="17"/>
      <c r="Q2503" s="18"/>
      <c r="R2503" s="14"/>
      <c r="S2503" s="14">
        <v>1</v>
      </c>
    </row>
    <row r="2504" spans="2:19" ht="20.25" hidden="1" customHeight="1">
      <c r="B2504" s="17"/>
      <c r="Q2504" s="18"/>
      <c r="R2504" s="14"/>
      <c r="S2504" s="14">
        <v>1</v>
      </c>
    </row>
    <row r="2505" spans="2:19" ht="20.25" hidden="1" customHeight="1">
      <c r="B2505" s="17"/>
      <c r="Q2505" s="18"/>
      <c r="R2505" s="14"/>
      <c r="S2505" s="14">
        <v>1</v>
      </c>
    </row>
    <row r="2506" spans="2:19" ht="20.25" hidden="1" customHeight="1">
      <c r="B2506" s="17"/>
      <c r="Q2506" s="18"/>
      <c r="R2506" s="14"/>
      <c r="S2506" s="14">
        <v>1</v>
      </c>
    </row>
    <row r="2507" spans="2:19" ht="20.25" hidden="1" customHeight="1">
      <c r="B2507" s="17"/>
      <c r="Q2507" s="18"/>
      <c r="R2507" s="14"/>
      <c r="S2507" s="14">
        <v>1</v>
      </c>
    </row>
    <row r="2508" spans="2:19" ht="20.25" hidden="1" customHeight="1">
      <c r="B2508" s="17"/>
      <c r="Q2508" s="18"/>
      <c r="R2508" s="14"/>
      <c r="S2508" s="14">
        <v>1</v>
      </c>
    </row>
    <row r="2509" spans="2:19" ht="20.25" hidden="1" customHeight="1">
      <c r="B2509" s="17"/>
      <c r="Q2509" s="18"/>
      <c r="R2509" s="14"/>
      <c r="S2509" s="14">
        <v>1</v>
      </c>
    </row>
    <row r="2510" spans="2:19" ht="20.25" hidden="1" customHeight="1">
      <c r="B2510" s="17"/>
      <c r="Q2510" s="18"/>
      <c r="R2510" s="14"/>
      <c r="S2510" s="14">
        <v>1</v>
      </c>
    </row>
    <row r="2511" spans="2:19" ht="20.25" hidden="1" customHeight="1">
      <c r="B2511" s="17"/>
      <c r="Q2511" s="18"/>
      <c r="R2511" s="14"/>
      <c r="S2511" s="14">
        <v>1</v>
      </c>
    </row>
    <row r="2512" spans="2:19" ht="20.25" hidden="1" customHeight="1">
      <c r="B2512" s="17"/>
      <c r="Q2512" s="18"/>
      <c r="R2512" s="14"/>
      <c r="S2512" s="14">
        <v>1</v>
      </c>
    </row>
    <row r="2513" spans="2:19" ht="20.25" hidden="1" customHeight="1">
      <c r="B2513" s="17"/>
      <c r="Q2513" s="18"/>
      <c r="R2513" s="14"/>
      <c r="S2513" s="14">
        <v>1</v>
      </c>
    </row>
    <row r="2514" spans="2:19" ht="20.25" hidden="1" customHeight="1">
      <c r="B2514" s="17"/>
      <c r="Q2514" s="18"/>
      <c r="R2514" s="14"/>
      <c r="S2514" s="14">
        <v>1</v>
      </c>
    </row>
    <row r="2515" spans="2:19" ht="20.25" hidden="1" customHeight="1">
      <c r="B2515" s="17"/>
      <c r="Q2515" s="18"/>
      <c r="R2515" s="14"/>
      <c r="S2515" s="14">
        <v>1</v>
      </c>
    </row>
    <row r="2516" spans="2:19" ht="20.25" hidden="1" customHeight="1">
      <c r="B2516" s="17"/>
      <c r="Q2516" s="18"/>
      <c r="R2516" s="14"/>
      <c r="S2516" s="14">
        <v>1</v>
      </c>
    </row>
    <row r="2517" spans="2:19" ht="20.25" hidden="1" customHeight="1">
      <c r="B2517" s="17"/>
      <c r="Q2517" s="18"/>
      <c r="R2517" s="14"/>
      <c r="S2517" s="14">
        <v>1</v>
      </c>
    </row>
    <row r="2518" spans="2:19" ht="20.25" hidden="1" customHeight="1">
      <c r="B2518" s="17"/>
      <c r="Q2518" s="18"/>
      <c r="R2518" s="14"/>
      <c r="S2518" s="14">
        <v>1</v>
      </c>
    </row>
    <row r="2519" spans="2:19" ht="20.25" hidden="1" customHeight="1">
      <c r="B2519" s="17"/>
      <c r="Q2519" s="18"/>
      <c r="R2519" s="14"/>
      <c r="S2519" s="14">
        <v>1</v>
      </c>
    </row>
    <row r="2520" spans="2:19" ht="20.25" hidden="1" customHeight="1">
      <c r="B2520" s="17"/>
      <c r="Q2520" s="18"/>
      <c r="R2520" s="14"/>
      <c r="S2520" s="14">
        <v>1</v>
      </c>
    </row>
    <row r="2521" spans="2:19" ht="20.25" hidden="1" customHeight="1">
      <c r="B2521" s="17"/>
      <c r="Q2521" s="18"/>
      <c r="R2521" s="14"/>
      <c r="S2521" s="14">
        <v>1</v>
      </c>
    </row>
    <row r="2522" spans="2:19" ht="20.25" hidden="1" customHeight="1">
      <c r="B2522" s="17"/>
      <c r="Q2522" s="18"/>
      <c r="R2522" s="14"/>
      <c r="S2522" s="14">
        <v>1</v>
      </c>
    </row>
    <row r="2523" spans="2:19" ht="20.25" hidden="1" customHeight="1">
      <c r="B2523" s="17"/>
      <c r="Q2523" s="18"/>
      <c r="R2523" s="14"/>
      <c r="S2523" s="14">
        <v>1</v>
      </c>
    </row>
    <row r="2524" spans="2:19" ht="20.25" hidden="1" customHeight="1">
      <c r="B2524" s="17"/>
      <c r="Q2524" s="18"/>
      <c r="R2524" s="14"/>
      <c r="S2524" s="14">
        <v>1</v>
      </c>
    </row>
    <row r="2525" spans="2:19" ht="20.25" hidden="1" customHeight="1">
      <c r="B2525" s="17"/>
      <c r="Q2525" s="18"/>
      <c r="R2525" s="14"/>
      <c r="S2525" s="14">
        <v>1</v>
      </c>
    </row>
    <row r="2526" spans="2:19" ht="20.25" hidden="1" customHeight="1">
      <c r="B2526" s="17"/>
      <c r="Q2526" s="18"/>
      <c r="R2526" s="14"/>
      <c r="S2526" s="14">
        <v>1</v>
      </c>
    </row>
    <row r="2527" spans="2:19" ht="20.25" hidden="1" customHeight="1">
      <c r="B2527" s="17"/>
      <c r="Q2527" s="18"/>
      <c r="R2527" s="14"/>
      <c r="S2527" s="14">
        <v>1</v>
      </c>
    </row>
    <row r="2528" spans="2:19" ht="20.25" hidden="1" customHeight="1">
      <c r="B2528" s="17"/>
      <c r="Q2528" s="18"/>
      <c r="R2528" s="14"/>
      <c r="S2528" s="14">
        <v>1</v>
      </c>
    </row>
    <row r="2529" spans="2:19" ht="20.25" hidden="1" customHeight="1">
      <c r="B2529" s="17"/>
      <c r="Q2529" s="18"/>
      <c r="R2529" s="14"/>
      <c r="S2529" s="14">
        <v>1</v>
      </c>
    </row>
    <row r="2530" spans="2:19" ht="20.25" hidden="1" customHeight="1">
      <c r="B2530" s="17"/>
      <c r="Q2530" s="18"/>
      <c r="R2530" s="14"/>
      <c r="S2530" s="14">
        <v>1</v>
      </c>
    </row>
    <row r="2531" spans="2:19" ht="20.25" hidden="1" customHeight="1">
      <c r="B2531" s="17"/>
      <c r="Q2531" s="18"/>
      <c r="R2531" s="14"/>
      <c r="S2531" s="14">
        <v>1</v>
      </c>
    </row>
    <row r="2532" spans="2:19" ht="20.25" hidden="1" customHeight="1">
      <c r="B2532" s="17"/>
      <c r="Q2532" s="18"/>
      <c r="R2532" s="14"/>
      <c r="S2532" s="14">
        <v>1</v>
      </c>
    </row>
    <row r="2533" spans="2:19" ht="20.25" hidden="1" customHeight="1">
      <c r="B2533" s="17"/>
      <c r="Q2533" s="18"/>
      <c r="R2533" s="14"/>
      <c r="S2533" s="14">
        <v>1</v>
      </c>
    </row>
    <row r="2534" spans="2:19" ht="20.25" hidden="1" customHeight="1">
      <c r="B2534" s="17"/>
      <c r="Q2534" s="18"/>
      <c r="R2534" s="14"/>
      <c r="S2534" s="14">
        <v>1</v>
      </c>
    </row>
    <row r="2535" spans="2:19" ht="20.25" hidden="1" customHeight="1">
      <c r="B2535" s="17"/>
      <c r="Q2535" s="18"/>
      <c r="R2535" s="14"/>
      <c r="S2535" s="14">
        <v>1</v>
      </c>
    </row>
    <row r="2536" spans="2:19" ht="20.25" hidden="1" customHeight="1">
      <c r="B2536" s="17"/>
      <c r="Q2536" s="18"/>
      <c r="R2536" s="14"/>
      <c r="S2536" s="14">
        <v>1</v>
      </c>
    </row>
    <row r="2537" spans="2:19" ht="20.25" hidden="1" customHeight="1">
      <c r="B2537" s="17"/>
      <c r="Q2537" s="18"/>
      <c r="R2537" s="14"/>
      <c r="S2537" s="14">
        <v>1</v>
      </c>
    </row>
    <row r="2538" spans="2:19" ht="20.25" hidden="1" customHeight="1">
      <c r="B2538" s="17"/>
      <c r="Q2538" s="18"/>
      <c r="R2538" s="14"/>
      <c r="S2538" s="14">
        <v>1</v>
      </c>
    </row>
    <row r="2539" spans="2:19" ht="20.25" hidden="1" customHeight="1">
      <c r="B2539" s="17"/>
      <c r="Q2539" s="18"/>
      <c r="R2539" s="14"/>
      <c r="S2539" s="14">
        <v>1</v>
      </c>
    </row>
    <row r="2540" spans="2:19" ht="20.25" hidden="1" customHeight="1">
      <c r="B2540" s="17"/>
      <c r="Q2540" s="18"/>
      <c r="R2540" s="14"/>
      <c r="S2540" s="14">
        <v>1</v>
      </c>
    </row>
    <row r="2541" spans="2:19" ht="20.25" hidden="1" customHeight="1">
      <c r="B2541" s="17"/>
      <c r="Q2541" s="18"/>
      <c r="R2541" s="14"/>
      <c r="S2541" s="14">
        <v>1</v>
      </c>
    </row>
    <row r="2542" spans="2:19" ht="20.25" hidden="1" customHeight="1">
      <c r="B2542" s="17"/>
      <c r="Q2542" s="18"/>
      <c r="R2542" s="14"/>
      <c r="S2542" s="14">
        <v>1</v>
      </c>
    </row>
    <row r="2543" spans="2:19" ht="20.25" hidden="1" customHeight="1">
      <c r="B2543" s="17"/>
      <c r="Q2543" s="18"/>
      <c r="R2543" s="14"/>
      <c r="S2543" s="14">
        <v>1</v>
      </c>
    </row>
    <row r="2544" spans="2:19" ht="20.25" hidden="1" customHeight="1">
      <c r="B2544" s="17"/>
      <c r="Q2544" s="18"/>
      <c r="R2544" s="14"/>
      <c r="S2544" s="14">
        <v>1</v>
      </c>
    </row>
    <row r="2545" spans="2:19" ht="20.25" hidden="1" customHeight="1">
      <c r="B2545" s="17"/>
      <c r="Q2545" s="18"/>
      <c r="R2545" s="14"/>
      <c r="S2545" s="14">
        <v>1</v>
      </c>
    </row>
    <row r="2546" spans="2:19" ht="20.25" hidden="1" customHeight="1">
      <c r="B2546" s="17"/>
      <c r="Q2546" s="18"/>
      <c r="R2546" s="14"/>
      <c r="S2546" s="14">
        <v>1</v>
      </c>
    </row>
    <row r="2547" spans="2:19" ht="20.25" hidden="1" customHeight="1">
      <c r="B2547" s="17"/>
      <c r="Q2547" s="18"/>
      <c r="R2547" s="14"/>
      <c r="S2547" s="14">
        <v>1</v>
      </c>
    </row>
    <row r="2548" spans="2:19" ht="20.25" hidden="1" customHeight="1">
      <c r="B2548" s="17"/>
      <c r="Q2548" s="18"/>
      <c r="R2548" s="14"/>
      <c r="S2548" s="14">
        <v>1</v>
      </c>
    </row>
    <row r="2549" spans="2:19" ht="20.25" hidden="1" customHeight="1">
      <c r="B2549" s="17"/>
      <c r="Q2549" s="18"/>
      <c r="R2549" s="14"/>
      <c r="S2549" s="14">
        <v>1</v>
      </c>
    </row>
    <row r="2550" spans="2:19" ht="20.25" hidden="1" customHeight="1">
      <c r="B2550" s="17"/>
      <c r="Q2550" s="18"/>
      <c r="R2550" s="14"/>
      <c r="S2550" s="14">
        <v>1</v>
      </c>
    </row>
    <row r="2551" spans="2:19" ht="20.25" hidden="1" customHeight="1">
      <c r="B2551" s="17"/>
      <c r="Q2551" s="18"/>
      <c r="R2551" s="14"/>
      <c r="S2551" s="14">
        <v>1</v>
      </c>
    </row>
    <row r="2552" spans="2:19" ht="20.25" hidden="1" customHeight="1">
      <c r="B2552" s="17"/>
      <c r="Q2552" s="18"/>
      <c r="R2552" s="14"/>
      <c r="S2552" s="14">
        <v>1</v>
      </c>
    </row>
    <row r="2553" spans="2:19" ht="20.25" hidden="1" customHeight="1">
      <c r="B2553" s="17"/>
      <c r="Q2553" s="18"/>
      <c r="R2553" s="14"/>
      <c r="S2553" s="14">
        <v>1</v>
      </c>
    </row>
    <row r="2554" spans="2:19" ht="20.25" hidden="1" customHeight="1">
      <c r="B2554" s="17"/>
      <c r="Q2554" s="18"/>
      <c r="R2554" s="14"/>
      <c r="S2554" s="14">
        <v>1</v>
      </c>
    </row>
    <row r="2555" spans="2:19" ht="20.25" hidden="1" customHeight="1">
      <c r="B2555" s="17"/>
      <c r="Q2555" s="18"/>
      <c r="R2555" s="14"/>
      <c r="S2555" s="14">
        <v>1</v>
      </c>
    </row>
    <row r="2556" spans="2:19" ht="20.25" hidden="1" customHeight="1">
      <c r="B2556" s="17"/>
      <c r="Q2556" s="18"/>
      <c r="R2556" s="14"/>
      <c r="S2556" s="14">
        <v>1</v>
      </c>
    </row>
    <row r="2557" spans="2:19" ht="20.25" hidden="1" customHeight="1">
      <c r="B2557" s="17"/>
      <c r="Q2557" s="18"/>
      <c r="R2557" s="14"/>
      <c r="S2557" s="14">
        <v>1</v>
      </c>
    </row>
    <row r="2558" spans="2:19" ht="20.25" hidden="1" customHeight="1">
      <c r="B2558" s="17"/>
      <c r="Q2558" s="18"/>
      <c r="R2558" s="14"/>
      <c r="S2558" s="14">
        <v>1</v>
      </c>
    </row>
    <row r="2559" spans="2:19" ht="20.25" hidden="1" customHeight="1">
      <c r="B2559" s="17"/>
      <c r="Q2559" s="18"/>
      <c r="R2559" s="14"/>
      <c r="S2559" s="14">
        <v>1</v>
      </c>
    </row>
    <row r="2560" spans="2:19" ht="20.25" hidden="1" customHeight="1">
      <c r="B2560" s="17"/>
      <c r="Q2560" s="18"/>
      <c r="R2560" s="14"/>
      <c r="S2560" s="14">
        <v>1</v>
      </c>
    </row>
    <row r="2561" spans="2:19" ht="20.25" hidden="1" customHeight="1">
      <c r="B2561" s="17"/>
      <c r="Q2561" s="18"/>
      <c r="R2561" s="14"/>
      <c r="S2561" s="14">
        <v>1</v>
      </c>
    </row>
    <row r="2562" spans="2:19" ht="20.25" hidden="1" customHeight="1">
      <c r="B2562" s="17"/>
      <c r="Q2562" s="18"/>
      <c r="R2562" s="14"/>
      <c r="S2562" s="14">
        <v>1</v>
      </c>
    </row>
    <row r="2563" spans="2:19" ht="20.25" hidden="1" customHeight="1">
      <c r="B2563" s="17"/>
      <c r="Q2563" s="18"/>
      <c r="R2563" s="14"/>
      <c r="S2563" s="14">
        <v>1</v>
      </c>
    </row>
    <row r="2564" spans="2:19" ht="20.25" hidden="1" customHeight="1">
      <c r="B2564" s="17"/>
      <c r="Q2564" s="18"/>
      <c r="R2564" s="14"/>
      <c r="S2564" s="14">
        <v>1</v>
      </c>
    </row>
    <row r="2565" spans="2:19" ht="20.25" hidden="1" customHeight="1">
      <c r="B2565" s="17"/>
      <c r="Q2565" s="18"/>
      <c r="R2565" s="14"/>
      <c r="S2565" s="14">
        <v>1</v>
      </c>
    </row>
    <row r="2566" spans="2:19" ht="20.25" hidden="1" customHeight="1">
      <c r="B2566" s="17"/>
      <c r="Q2566" s="18"/>
      <c r="R2566" s="14"/>
      <c r="S2566" s="14">
        <v>1</v>
      </c>
    </row>
    <row r="2567" spans="2:19" ht="20.25" hidden="1" customHeight="1">
      <c r="B2567" s="17"/>
      <c r="Q2567" s="18"/>
      <c r="R2567" s="14"/>
      <c r="S2567" s="14">
        <v>1</v>
      </c>
    </row>
    <row r="2568" spans="2:19" ht="20.25" hidden="1" customHeight="1">
      <c r="B2568" s="17"/>
      <c r="Q2568" s="18"/>
      <c r="R2568" s="14"/>
      <c r="S2568" s="14">
        <v>1</v>
      </c>
    </row>
    <row r="2569" spans="2:19" ht="20.25" hidden="1" customHeight="1">
      <c r="B2569" s="17"/>
      <c r="Q2569" s="18"/>
      <c r="R2569" s="14"/>
      <c r="S2569" s="14">
        <v>1</v>
      </c>
    </row>
    <row r="2570" spans="2:19" ht="20.25" hidden="1" customHeight="1">
      <c r="B2570" s="17"/>
      <c r="Q2570" s="18"/>
      <c r="R2570" s="14"/>
      <c r="S2570" s="14">
        <v>1</v>
      </c>
    </row>
    <row r="2571" spans="2:19" ht="20.25" hidden="1" customHeight="1">
      <c r="B2571" s="17"/>
      <c r="Q2571" s="18"/>
      <c r="R2571" s="14"/>
      <c r="S2571" s="14">
        <v>1</v>
      </c>
    </row>
    <row r="2572" spans="2:19" ht="20.25" hidden="1" customHeight="1">
      <c r="B2572" s="17"/>
      <c r="Q2572" s="18"/>
      <c r="R2572" s="14"/>
      <c r="S2572" s="14">
        <v>1</v>
      </c>
    </row>
    <row r="2573" spans="2:19" ht="20.25" hidden="1" customHeight="1">
      <c r="B2573" s="17"/>
      <c r="Q2573" s="18"/>
      <c r="R2573" s="14"/>
      <c r="S2573" s="14">
        <v>1</v>
      </c>
    </row>
    <row r="2574" spans="2:19" ht="20.25" hidden="1" customHeight="1">
      <c r="B2574" s="17"/>
      <c r="Q2574" s="18"/>
      <c r="R2574" s="14"/>
      <c r="S2574" s="14">
        <v>1</v>
      </c>
    </row>
    <row r="2575" spans="2:19" ht="20.25" hidden="1" customHeight="1">
      <c r="B2575" s="17"/>
      <c r="Q2575" s="18"/>
      <c r="R2575" s="14"/>
      <c r="S2575" s="14">
        <v>1</v>
      </c>
    </row>
    <row r="2576" spans="2:19" ht="20.25" hidden="1" customHeight="1">
      <c r="B2576" s="17"/>
      <c r="Q2576" s="18"/>
      <c r="R2576" s="14"/>
      <c r="S2576" s="14">
        <v>1</v>
      </c>
    </row>
    <row r="2577" spans="2:19" ht="20.25" hidden="1" customHeight="1">
      <c r="B2577" s="17"/>
      <c r="Q2577" s="18"/>
      <c r="R2577" s="14"/>
      <c r="S2577" s="14">
        <v>1</v>
      </c>
    </row>
    <row r="2578" spans="2:19" ht="20.25" hidden="1" customHeight="1">
      <c r="B2578" s="17"/>
      <c r="Q2578" s="18"/>
      <c r="R2578" s="14"/>
      <c r="S2578" s="14">
        <v>1</v>
      </c>
    </row>
    <row r="2579" spans="2:19" ht="20.25" hidden="1" customHeight="1">
      <c r="B2579" s="17"/>
      <c r="Q2579" s="18"/>
      <c r="R2579" s="14"/>
      <c r="S2579" s="14">
        <v>1</v>
      </c>
    </row>
    <row r="2580" spans="2:19" ht="20.25" hidden="1" customHeight="1">
      <c r="B2580" s="17"/>
      <c r="Q2580" s="18"/>
      <c r="R2580" s="14"/>
      <c r="S2580" s="14">
        <v>1</v>
      </c>
    </row>
    <row r="2581" spans="2:19" ht="20.25" hidden="1" customHeight="1">
      <c r="B2581" s="17"/>
      <c r="Q2581" s="18"/>
      <c r="R2581" s="14"/>
      <c r="S2581" s="14">
        <v>1</v>
      </c>
    </row>
    <row r="2582" spans="2:19" ht="20.25" hidden="1" customHeight="1">
      <c r="B2582" s="17"/>
      <c r="Q2582" s="18"/>
      <c r="R2582" s="14"/>
      <c r="S2582" s="14">
        <v>1</v>
      </c>
    </row>
    <row r="2583" spans="2:19" ht="20.25" hidden="1" customHeight="1">
      <c r="B2583" s="17"/>
      <c r="Q2583" s="18"/>
      <c r="R2583" s="14"/>
      <c r="S2583" s="14">
        <v>1</v>
      </c>
    </row>
    <row r="2584" spans="2:19" ht="20.25" hidden="1" customHeight="1">
      <c r="B2584" s="17"/>
      <c r="Q2584" s="18"/>
      <c r="R2584" s="14"/>
      <c r="S2584" s="14">
        <v>1</v>
      </c>
    </row>
    <row r="2585" spans="2:19" ht="20.25" hidden="1" customHeight="1">
      <c r="B2585" s="17"/>
      <c r="Q2585" s="18"/>
      <c r="R2585" s="14"/>
      <c r="S2585" s="14">
        <v>1</v>
      </c>
    </row>
    <row r="2586" spans="2:19" ht="20.25" hidden="1" customHeight="1">
      <c r="B2586" s="17"/>
      <c r="Q2586" s="18"/>
      <c r="R2586" s="14"/>
      <c r="S2586" s="14">
        <v>1</v>
      </c>
    </row>
    <row r="2587" spans="2:19" ht="20.25" hidden="1" customHeight="1">
      <c r="B2587" s="17"/>
      <c r="Q2587" s="18"/>
      <c r="R2587" s="14"/>
      <c r="S2587" s="14">
        <v>1</v>
      </c>
    </row>
    <row r="2588" spans="2:19" ht="20.25" hidden="1" customHeight="1">
      <c r="B2588" s="17"/>
      <c r="Q2588" s="18"/>
      <c r="R2588" s="14"/>
      <c r="S2588" s="14">
        <v>1</v>
      </c>
    </row>
    <row r="2589" spans="2:19" ht="20.25" hidden="1" customHeight="1">
      <c r="B2589" s="17"/>
      <c r="Q2589" s="18"/>
      <c r="R2589" s="14"/>
      <c r="S2589" s="14">
        <v>1</v>
      </c>
    </row>
    <row r="2590" spans="2:19" ht="20.25" hidden="1" customHeight="1">
      <c r="B2590" s="17"/>
      <c r="Q2590" s="18"/>
      <c r="R2590" s="14"/>
      <c r="S2590" s="14">
        <v>1</v>
      </c>
    </row>
    <row r="2591" spans="2:19" ht="20.25" hidden="1" customHeight="1">
      <c r="B2591" s="17"/>
      <c r="Q2591" s="18"/>
      <c r="R2591" s="14"/>
      <c r="S2591" s="14">
        <v>1</v>
      </c>
    </row>
    <row r="2592" spans="2:19" ht="20.25" hidden="1" customHeight="1">
      <c r="B2592" s="17"/>
      <c r="Q2592" s="18"/>
      <c r="R2592" s="14"/>
      <c r="S2592" s="14">
        <v>1</v>
      </c>
    </row>
    <row r="2593" spans="2:19" ht="20.25" hidden="1" customHeight="1">
      <c r="B2593" s="17"/>
      <c r="Q2593" s="18"/>
      <c r="R2593" s="14"/>
      <c r="S2593" s="14">
        <v>1</v>
      </c>
    </row>
    <row r="2594" spans="2:19" ht="20.25" hidden="1" customHeight="1">
      <c r="B2594" s="17"/>
      <c r="Q2594" s="18"/>
      <c r="R2594" s="14"/>
      <c r="S2594" s="14">
        <v>1</v>
      </c>
    </row>
    <row r="2595" spans="2:19" ht="20.25" hidden="1" customHeight="1">
      <c r="B2595" s="17"/>
      <c r="Q2595" s="18"/>
      <c r="R2595" s="14"/>
      <c r="S2595" s="14">
        <v>1</v>
      </c>
    </row>
    <row r="2596" spans="2:19" ht="20.25" hidden="1" customHeight="1">
      <c r="B2596" s="17"/>
      <c r="Q2596" s="18"/>
      <c r="R2596" s="14"/>
      <c r="S2596" s="14">
        <v>1</v>
      </c>
    </row>
    <row r="2597" spans="2:19" ht="20.25" hidden="1" customHeight="1">
      <c r="B2597" s="17"/>
      <c r="Q2597" s="18"/>
      <c r="R2597" s="14"/>
      <c r="S2597" s="14">
        <v>1</v>
      </c>
    </row>
    <row r="2598" spans="2:19" ht="20.25" hidden="1" customHeight="1">
      <c r="B2598" s="17"/>
      <c r="Q2598" s="18"/>
      <c r="R2598" s="14"/>
      <c r="S2598" s="14">
        <v>1</v>
      </c>
    </row>
    <row r="2599" spans="2:19" ht="20.25" hidden="1" customHeight="1">
      <c r="B2599" s="17"/>
      <c r="Q2599" s="18"/>
      <c r="R2599" s="14"/>
      <c r="S2599" s="14">
        <v>1</v>
      </c>
    </row>
    <row r="2600" spans="2:19" ht="20.25" hidden="1" customHeight="1">
      <c r="B2600" s="17"/>
      <c r="Q2600" s="18"/>
      <c r="R2600" s="14"/>
      <c r="S2600" s="14">
        <v>1</v>
      </c>
    </row>
    <row r="2601" spans="2:19" ht="20.25" hidden="1" customHeight="1">
      <c r="B2601" s="17"/>
      <c r="Q2601" s="18"/>
      <c r="R2601" s="14"/>
      <c r="S2601" s="14">
        <v>1</v>
      </c>
    </row>
    <row r="2602" spans="2:19" ht="20.25" hidden="1" customHeight="1">
      <c r="B2602" s="17"/>
      <c r="Q2602" s="18"/>
      <c r="R2602" s="14"/>
      <c r="S2602" s="14">
        <v>1</v>
      </c>
    </row>
    <row r="2603" spans="2:19" ht="20.25" hidden="1" customHeight="1">
      <c r="B2603" s="17"/>
      <c r="Q2603" s="18"/>
      <c r="R2603" s="14"/>
      <c r="S2603" s="14">
        <v>1</v>
      </c>
    </row>
    <row r="2604" spans="2:19" ht="20.25" hidden="1" customHeight="1">
      <c r="B2604" s="17"/>
      <c r="Q2604" s="18"/>
      <c r="R2604" s="14"/>
      <c r="S2604" s="14">
        <v>1</v>
      </c>
    </row>
    <row r="2605" spans="2:19" ht="20.25" hidden="1" customHeight="1">
      <c r="B2605" s="17"/>
      <c r="Q2605" s="18"/>
      <c r="R2605" s="14"/>
      <c r="S2605" s="14">
        <v>1</v>
      </c>
    </row>
    <row r="2606" spans="2:19" ht="20.25" hidden="1" customHeight="1">
      <c r="B2606" s="17"/>
      <c r="Q2606" s="18"/>
      <c r="R2606" s="14"/>
      <c r="S2606" s="14">
        <v>1</v>
      </c>
    </row>
    <row r="2607" spans="2:19" ht="20.25" hidden="1" customHeight="1">
      <c r="B2607" s="17"/>
      <c r="Q2607" s="18"/>
      <c r="R2607" s="14"/>
      <c r="S2607" s="14">
        <v>1</v>
      </c>
    </row>
    <row r="2608" spans="2:19" ht="20.25" hidden="1" customHeight="1">
      <c r="B2608" s="17"/>
      <c r="Q2608" s="18"/>
      <c r="R2608" s="14"/>
      <c r="S2608" s="14">
        <v>1</v>
      </c>
    </row>
    <row r="2609" spans="2:19" ht="20.25" hidden="1" customHeight="1">
      <c r="B2609" s="17"/>
      <c r="Q2609" s="18"/>
      <c r="R2609" s="14"/>
      <c r="S2609" s="14">
        <v>1</v>
      </c>
    </row>
    <row r="2610" spans="2:19" ht="20.25" hidden="1" customHeight="1">
      <c r="B2610" s="17"/>
      <c r="Q2610" s="18"/>
      <c r="R2610" s="14"/>
      <c r="S2610" s="14">
        <v>1</v>
      </c>
    </row>
    <row r="2611" spans="2:19" ht="20.25" hidden="1" customHeight="1">
      <c r="B2611" s="17"/>
      <c r="Q2611" s="18"/>
      <c r="R2611" s="14"/>
      <c r="S2611" s="14">
        <v>1</v>
      </c>
    </row>
    <row r="2612" spans="2:19" ht="20.25" hidden="1" customHeight="1">
      <c r="B2612" s="17"/>
      <c r="Q2612" s="18"/>
      <c r="R2612" s="14"/>
      <c r="S2612" s="14">
        <v>1</v>
      </c>
    </row>
    <row r="2613" spans="2:19" ht="20.25" hidden="1" customHeight="1">
      <c r="B2613" s="17"/>
      <c r="Q2613" s="18"/>
      <c r="R2613" s="14"/>
      <c r="S2613" s="14">
        <v>1</v>
      </c>
    </row>
    <row r="2614" spans="2:19" ht="20.25" hidden="1" customHeight="1">
      <c r="B2614" s="17"/>
      <c r="Q2614" s="18"/>
      <c r="R2614" s="14"/>
      <c r="S2614" s="14">
        <v>1</v>
      </c>
    </row>
    <row r="2615" spans="2:19" ht="20.25" hidden="1" customHeight="1">
      <c r="B2615" s="17"/>
      <c r="Q2615" s="18"/>
      <c r="R2615" s="14"/>
      <c r="S2615" s="14">
        <v>1</v>
      </c>
    </row>
    <row r="2616" spans="2:19" ht="20.25" hidden="1" customHeight="1">
      <c r="B2616" s="17"/>
      <c r="Q2616" s="18"/>
      <c r="R2616" s="14"/>
      <c r="S2616" s="14">
        <v>1</v>
      </c>
    </row>
    <row r="2617" spans="2:19" ht="20.25" hidden="1" customHeight="1">
      <c r="B2617" s="17"/>
      <c r="Q2617" s="18"/>
      <c r="R2617" s="14"/>
      <c r="S2617" s="14">
        <v>1</v>
      </c>
    </row>
    <row r="2618" spans="2:19" ht="20.25" hidden="1" customHeight="1">
      <c r="B2618" s="17"/>
      <c r="Q2618" s="18"/>
      <c r="R2618" s="14"/>
      <c r="S2618" s="14">
        <v>1</v>
      </c>
    </row>
    <row r="2619" spans="2:19" ht="20.25" hidden="1" customHeight="1">
      <c r="B2619" s="17"/>
      <c r="Q2619" s="18"/>
      <c r="R2619" s="14"/>
      <c r="S2619" s="14">
        <v>1</v>
      </c>
    </row>
    <row r="2620" spans="2:19" ht="20.25" hidden="1" customHeight="1">
      <c r="B2620" s="17"/>
      <c r="Q2620" s="18"/>
      <c r="R2620" s="14"/>
      <c r="S2620" s="14">
        <v>1</v>
      </c>
    </row>
    <row r="2621" spans="2:19" ht="20.25" hidden="1" customHeight="1">
      <c r="B2621" s="17"/>
      <c r="Q2621" s="18"/>
      <c r="R2621" s="14"/>
      <c r="S2621" s="14">
        <v>1</v>
      </c>
    </row>
    <row r="2622" spans="2:19" ht="20.25" hidden="1" customHeight="1">
      <c r="B2622" s="17"/>
      <c r="Q2622" s="18"/>
      <c r="R2622" s="14"/>
      <c r="S2622" s="14">
        <v>1</v>
      </c>
    </row>
    <row r="2623" spans="2:19" ht="20.25" hidden="1" customHeight="1">
      <c r="B2623" s="17"/>
      <c r="Q2623" s="18"/>
      <c r="R2623" s="14"/>
      <c r="S2623" s="14">
        <v>1</v>
      </c>
    </row>
    <row r="2624" spans="2:19" ht="20.25" hidden="1" customHeight="1">
      <c r="B2624" s="17"/>
      <c r="Q2624" s="18"/>
      <c r="R2624" s="14"/>
      <c r="S2624" s="14">
        <v>1</v>
      </c>
    </row>
    <row r="2625" spans="2:19" ht="20.25" hidden="1" customHeight="1">
      <c r="B2625" s="17"/>
      <c r="Q2625" s="18"/>
      <c r="R2625" s="14"/>
      <c r="S2625" s="14">
        <v>1</v>
      </c>
    </row>
    <row r="2626" spans="2:19" ht="20.25" hidden="1" customHeight="1">
      <c r="B2626" s="17"/>
      <c r="Q2626" s="18"/>
      <c r="R2626" s="14"/>
      <c r="S2626" s="14">
        <v>1</v>
      </c>
    </row>
    <row r="2627" spans="2:19" ht="20.25" hidden="1" customHeight="1">
      <c r="B2627" s="17"/>
      <c r="Q2627" s="18"/>
      <c r="R2627" s="14"/>
      <c r="S2627" s="14">
        <v>1</v>
      </c>
    </row>
    <row r="2628" spans="2:19" ht="20.25" hidden="1" customHeight="1">
      <c r="B2628" s="17"/>
      <c r="Q2628" s="18"/>
      <c r="R2628" s="14"/>
      <c r="S2628" s="14">
        <v>1</v>
      </c>
    </row>
    <row r="2629" spans="2:19" ht="20.25" hidden="1" customHeight="1">
      <c r="B2629" s="17"/>
      <c r="Q2629" s="18"/>
      <c r="R2629" s="14"/>
      <c r="S2629" s="14">
        <v>1</v>
      </c>
    </row>
    <row r="2630" spans="2:19" ht="20.25" hidden="1" customHeight="1">
      <c r="B2630" s="17"/>
      <c r="Q2630" s="18"/>
      <c r="R2630" s="14"/>
      <c r="S2630" s="14">
        <v>1</v>
      </c>
    </row>
    <row r="2631" spans="2:19" ht="20.25" hidden="1" customHeight="1">
      <c r="B2631" s="17"/>
      <c r="Q2631" s="18"/>
      <c r="R2631" s="14"/>
      <c r="S2631" s="14">
        <v>1</v>
      </c>
    </row>
    <row r="2632" spans="2:19" ht="20.25" hidden="1" customHeight="1">
      <c r="B2632" s="17"/>
      <c r="Q2632" s="18"/>
      <c r="R2632" s="14"/>
      <c r="S2632" s="14">
        <v>1</v>
      </c>
    </row>
    <row r="2633" spans="2:19" ht="20.25" hidden="1" customHeight="1">
      <c r="B2633" s="17"/>
      <c r="Q2633" s="18"/>
      <c r="R2633" s="14"/>
      <c r="S2633" s="14">
        <v>1</v>
      </c>
    </row>
    <row r="2634" spans="2:19" ht="20.25" hidden="1" customHeight="1">
      <c r="B2634" s="17"/>
      <c r="Q2634" s="18"/>
      <c r="R2634" s="14"/>
      <c r="S2634" s="14">
        <v>1</v>
      </c>
    </row>
    <row r="2635" spans="2:19" ht="20.25" hidden="1" customHeight="1">
      <c r="B2635" s="17"/>
      <c r="Q2635" s="18"/>
      <c r="R2635" s="14"/>
      <c r="S2635" s="14">
        <v>1</v>
      </c>
    </row>
    <row r="2636" spans="2:19" ht="20.25" hidden="1" customHeight="1">
      <c r="B2636" s="17"/>
      <c r="Q2636" s="18"/>
      <c r="R2636" s="14"/>
      <c r="S2636" s="14">
        <v>1</v>
      </c>
    </row>
    <row r="2637" spans="2:19" ht="20.25" hidden="1" customHeight="1">
      <c r="B2637" s="17"/>
      <c r="Q2637" s="18"/>
      <c r="R2637" s="14"/>
      <c r="S2637" s="14">
        <v>1</v>
      </c>
    </row>
    <row r="2638" spans="2:19" ht="20.25" hidden="1" customHeight="1">
      <c r="B2638" s="17"/>
      <c r="Q2638" s="18"/>
      <c r="R2638" s="14"/>
      <c r="S2638" s="14">
        <v>1</v>
      </c>
    </row>
    <row r="2639" spans="2:19" ht="20.25" hidden="1" customHeight="1">
      <c r="B2639" s="17"/>
      <c r="Q2639" s="18"/>
      <c r="R2639" s="14"/>
      <c r="S2639" s="14">
        <v>1</v>
      </c>
    </row>
    <row r="2640" spans="2:19" ht="20.25" hidden="1" customHeight="1">
      <c r="B2640" s="17"/>
      <c r="Q2640" s="18"/>
      <c r="R2640" s="14"/>
      <c r="S2640" s="14">
        <v>1</v>
      </c>
    </row>
    <row r="2641" spans="2:19" ht="20.25" hidden="1" customHeight="1">
      <c r="B2641" s="17"/>
      <c r="Q2641" s="18"/>
      <c r="R2641" s="14"/>
      <c r="S2641" s="14">
        <v>1</v>
      </c>
    </row>
    <row r="2642" spans="2:19" ht="20.25" hidden="1" customHeight="1">
      <c r="B2642" s="17"/>
      <c r="Q2642" s="18"/>
      <c r="R2642" s="14"/>
      <c r="S2642" s="14">
        <v>1</v>
      </c>
    </row>
    <row r="2643" spans="2:19" ht="20.25" hidden="1" customHeight="1">
      <c r="B2643" s="17"/>
      <c r="Q2643" s="18"/>
      <c r="R2643" s="14"/>
      <c r="S2643" s="14">
        <v>1</v>
      </c>
    </row>
    <row r="2644" spans="2:19" ht="20.25" hidden="1" customHeight="1">
      <c r="B2644" s="17"/>
      <c r="Q2644" s="18"/>
      <c r="R2644" s="14"/>
      <c r="S2644" s="14">
        <v>1</v>
      </c>
    </row>
    <row r="2645" spans="2:19" ht="20.25" hidden="1" customHeight="1">
      <c r="B2645" s="17"/>
      <c r="Q2645" s="18"/>
      <c r="R2645" s="14"/>
      <c r="S2645" s="14">
        <v>1</v>
      </c>
    </row>
    <row r="2646" spans="2:19" ht="20.25" hidden="1" customHeight="1">
      <c r="B2646" s="17"/>
      <c r="Q2646" s="18"/>
      <c r="R2646" s="14"/>
      <c r="S2646" s="14">
        <v>1</v>
      </c>
    </row>
    <row r="2647" spans="2:19" ht="20.25" hidden="1" customHeight="1">
      <c r="B2647" s="17"/>
      <c r="Q2647" s="18"/>
      <c r="R2647" s="14"/>
      <c r="S2647" s="14">
        <v>1</v>
      </c>
    </row>
    <row r="2648" spans="2:19" ht="20.25" hidden="1" customHeight="1">
      <c r="B2648" s="17"/>
      <c r="Q2648" s="18"/>
      <c r="R2648" s="14"/>
      <c r="S2648" s="14">
        <v>1</v>
      </c>
    </row>
    <row r="2649" spans="2:19" ht="20.25" hidden="1" customHeight="1">
      <c r="B2649" s="17"/>
      <c r="Q2649" s="18"/>
      <c r="R2649" s="14"/>
      <c r="S2649" s="14">
        <v>1</v>
      </c>
    </row>
    <row r="2650" spans="2:19" ht="20.25" hidden="1" customHeight="1">
      <c r="B2650" s="17"/>
      <c r="Q2650" s="18"/>
      <c r="R2650" s="14"/>
      <c r="S2650" s="14">
        <v>1</v>
      </c>
    </row>
    <row r="2651" spans="2:19" ht="20.25" hidden="1" customHeight="1">
      <c r="B2651" s="17"/>
      <c r="Q2651" s="18"/>
      <c r="R2651" s="14"/>
      <c r="S2651" s="14">
        <v>1</v>
      </c>
    </row>
    <row r="2652" spans="2:19" ht="20.25" hidden="1" customHeight="1">
      <c r="B2652" s="17"/>
      <c r="Q2652" s="18"/>
      <c r="R2652" s="14"/>
      <c r="S2652" s="14">
        <v>1</v>
      </c>
    </row>
    <row r="2653" spans="2:19" ht="20.25" hidden="1" customHeight="1">
      <c r="B2653" s="17"/>
      <c r="Q2653" s="18"/>
      <c r="R2653" s="14"/>
      <c r="S2653" s="14">
        <v>1</v>
      </c>
    </row>
    <row r="2654" spans="2:19" ht="20.25" hidden="1" customHeight="1">
      <c r="B2654" s="17"/>
      <c r="Q2654" s="18"/>
      <c r="R2654" s="14"/>
      <c r="S2654" s="14">
        <v>1</v>
      </c>
    </row>
    <row r="2655" spans="2:19" ht="20.25" hidden="1" customHeight="1">
      <c r="B2655" s="17"/>
      <c r="Q2655" s="18"/>
      <c r="R2655" s="14"/>
      <c r="S2655" s="14">
        <v>1</v>
      </c>
    </row>
    <row r="2656" spans="2:19" ht="20.25" hidden="1" customHeight="1">
      <c r="B2656" s="17"/>
      <c r="Q2656" s="18"/>
      <c r="R2656" s="14"/>
      <c r="S2656" s="14">
        <v>1</v>
      </c>
    </row>
    <row r="2657" spans="2:19" ht="20.25" hidden="1" customHeight="1">
      <c r="B2657" s="17"/>
      <c r="Q2657" s="18"/>
      <c r="R2657" s="14"/>
      <c r="S2657" s="14">
        <v>1</v>
      </c>
    </row>
    <row r="2658" spans="2:19" ht="20.25" hidden="1" customHeight="1">
      <c r="B2658" s="17"/>
      <c r="Q2658" s="18"/>
      <c r="R2658" s="14"/>
      <c r="S2658" s="14">
        <v>1</v>
      </c>
    </row>
    <row r="2659" spans="2:19" ht="20.25" hidden="1" customHeight="1">
      <c r="B2659" s="17"/>
      <c r="Q2659" s="18"/>
      <c r="R2659" s="14"/>
      <c r="S2659" s="14">
        <v>1</v>
      </c>
    </row>
    <row r="2660" spans="2:19" ht="20.25" hidden="1" customHeight="1">
      <c r="B2660" s="17"/>
      <c r="Q2660" s="18"/>
      <c r="R2660" s="14"/>
      <c r="S2660" s="14">
        <v>1</v>
      </c>
    </row>
    <row r="2661" spans="2:19" ht="20.25" hidden="1" customHeight="1">
      <c r="B2661" s="17"/>
      <c r="Q2661" s="18"/>
      <c r="R2661" s="14"/>
      <c r="S2661" s="14">
        <v>1</v>
      </c>
    </row>
    <row r="2662" spans="2:19" ht="20.25" hidden="1" customHeight="1">
      <c r="B2662" s="17"/>
      <c r="Q2662" s="18"/>
      <c r="R2662" s="14"/>
      <c r="S2662" s="14">
        <v>1</v>
      </c>
    </row>
    <row r="2663" spans="2:19" ht="20.25" hidden="1" customHeight="1">
      <c r="B2663" s="17"/>
      <c r="Q2663" s="18"/>
      <c r="R2663" s="14"/>
      <c r="S2663" s="14">
        <v>1</v>
      </c>
    </row>
    <row r="2664" spans="2:19" ht="20.25" hidden="1" customHeight="1">
      <c r="B2664" s="17"/>
      <c r="Q2664" s="18"/>
      <c r="R2664" s="14"/>
      <c r="S2664" s="14">
        <v>1</v>
      </c>
    </row>
    <row r="2665" spans="2:19" ht="20.25" hidden="1" customHeight="1">
      <c r="B2665" s="17"/>
      <c r="Q2665" s="18"/>
      <c r="R2665" s="14"/>
      <c r="S2665" s="14">
        <v>1</v>
      </c>
    </row>
    <row r="2666" spans="2:19" ht="20.25" hidden="1" customHeight="1">
      <c r="B2666" s="17"/>
      <c r="Q2666" s="18"/>
      <c r="R2666" s="14"/>
      <c r="S2666" s="14">
        <v>1</v>
      </c>
    </row>
    <row r="2667" spans="2:19" ht="20.25" hidden="1" customHeight="1">
      <c r="B2667" s="17"/>
      <c r="Q2667" s="18"/>
      <c r="R2667" s="14"/>
      <c r="S2667" s="14">
        <v>1</v>
      </c>
    </row>
    <row r="2668" spans="2:19" ht="20.25" hidden="1" customHeight="1">
      <c r="B2668" s="17"/>
      <c r="Q2668" s="18"/>
      <c r="R2668" s="14"/>
      <c r="S2668" s="14">
        <v>1</v>
      </c>
    </row>
    <row r="2669" spans="2:19" ht="20.25" hidden="1" customHeight="1">
      <c r="B2669" s="17"/>
      <c r="Q2669" s="18"/>
      <c r="R2669" s="14"/>
      <c r="S2669" s="14">
        <v>1</v>
      </c>
    </row>
    <row r="2670" spans="2:19" ht="20.25" hidden="1" customHeight="1">
      <c r="B2670" s="17"/>
      <c r="Q2670" s="18"/>
      <c r="R2670" s="14"/>
      <c r="S2670" s="14">
        <v>1</v>
      </c>
    </row>
    <row r="2671" spans="2:19" ht="20.25" hidden="1" customHeight="1">
      <c r="B2671" s="17"/>
      <c r="Q2671" s="18"/>
      <c r="R2671" s="14"/>
      <c r="S2671" s="14">
        <v>1</v>
      </c>
    </row>
    <row r="2672" spans="2:19" ht="20.25" hidden="1" customHeight="1">
      <c r="B2672" s="17"/>
      <c r="Q2672" s="18"/>
      <c r="R2672" s="14"/>
      <c r="S2672" s="14">
        <v>1</v>
      </c>
    </row>
    <row r="2673" spans="2:19" ht="20.25" hidden="1" customHeight="1">
      <c r="B2673" s="17"/>
      <c r="Q2673" s="18"/>
      <c r="R2673" s="14"/>
      <c r="S2673" s="14">
        <v>1</v>
      </c>
    </row>
    <row r="2674" spans="2:19" ht="20.25" hidden="1" customHeight="1">
      <c r="B2674" s="17"/>
      <c r="Q2674" s="18"/>
      <c r="R2674" s="14"/>
      <c r="S2674" s="14">
        <v>1</v>
      </c>
    </row>
    <row r="2675" spans="2:19" ht="20.25" hidden="1" customHeight="1">
      <c r="B2675" s="17"/>
      <c r="Q2675" s="18"/>
      <c r="R2675" s="14"/>
      <c r="S2675" s="14">
        <v>1</v>
      </c>
    </row>
    <row r="2676" spans="2:19" ht="20.25" hidden="1" customHeight="1">
      <c r="B2676" s="17"/>
      <c r="Q2676" s="18"/>
      <c r="R2676" s="14"/>
      <c r="S2676" s="14">
        <v>1</v>
      </c>
    </row>
    <row r="2677" spans="2:19" ht="20.25" hidden="1" customHeight="1">
      <c r="B2677" s="17"/>
      <c r="Q2677" s="18"/>
      <c r="R2677" s="14"/>
      <c r="S2677" s="14">
        <v>1</v>
      </c>
    </row>
    <row r="2678" spans="2:19" ht="20.25" hidden="1" customHeight="1">
      <c r="B2678" s="17"/>
      <c r="Q2678" s="18"/>
      <c r="R2678" s="14"/>
      <c r="S2678" s="14">
        <v>1</v>
      </c>
    </row>
    <row r="2679" spans="2:19" ht="20.25" hidden="1" customHeight="1">
      <c r="B2679" s="17"/>
      <c r="Q2679" s="18"/>
      <c r="R2679" s="14"/>
      <c r="S2679" s="14">
        <v>1</v>
      </c>
    </row>
    <row r="2680" spans="2:19" ht="20.25" hidden="1" customHeight="1">
      <c r="B2680" s="17"/>
      <c r="Q2680" s="18"/>
      <c r="R2680" s="14"/>
      <c r="S2680" s="14">
        <v>1</v>
      </c>
    </row>
    <row r="2681" spans="2:19" ht="20.25" hidden="1" customHeight="1">
      <c r="B2681" s="17"/>
      <c r="Q2681" s="18"/>
      <c r="R2681" s="14"/>
      <c r="S2681" s="14">
        <v>1</v>
      </c>
    </row>
    <row r="2682" spans="2:19" ht="20.25" hidden="1" customHeight="1">
      <c r="B2682" s="17"/>
      <c r="Q2682" s="18"/>
      <c r="R2682" s="14"/>
      <c r="S2682" s="14">
        <v>1</v>
      </c>
    </row>
    <row r="2683" spans="2:19" ht="20.25" hidden="1" customHeight="1">
      <c r="B2683" s="17"/>
      <c r="Q2683" s="18"/>
      <c r="R2683" s="14"/>
      <c r="S2683" s="14">
        <v>1</v>
      </c>
    </row>
    <row r="2684" spans="2:19" ht="20.25" hidden="1" customHeight="1">
      <c r="B2684" s="17"/>
      <c r="Q2684" s="18"/>
      <c r="R2684" s="14"/>
      <c r="S2684" s="14">
        <v>1</v>
      </c>
    </row>
    <row r="2685" spans="2:19" ht="20.25" hidden="1" customHeight="1">
      <c r="B2685" s="17"/>
      <c r="Q2685" s="18"/>
      <c r="R2685" s="14"/>
      <c r="S2685" s="14">
        <v>1</v>
      </c>
    </row>
    <row r="2686" spans="2:19" ht="20.25" hidden="1" customHeight="1">
      <c r="B2686" s="17"/>
      <c r="Q2686" s="18"/>
      <c r="R2686" s="14"/>
      <c r="S2686" s="14">
        <v>1</v>
      </c>
    </row>
    <row r="2687" spans="2:19" ht="20.25" hidden="1" customHeight="1">
      <c r="B2687" s="17"/>
      <c r="Q2687" s="18"/>
      <c r="R2687" s="14"/>
      <c r="S2687" s="14">
        <v>1</v>
      </c>
    </row>
    <row r="2688" spans="2:19" ht="20.25" hidden="1" customHeight="1">
      <c r="B2688" s="17"/>
      <c r="Q2688" s="18"/>
      <c r="R2688" s="14"/>
      <c r="S2688" s="14">
        <v>1</v>
      </c>
    </row>
    <row r="2689" spans="2:19" ht="20.25" hidden="1" customHeight="1">
      <c r="B2689" s="17"/>
      <c r="Q2689" s="18"/>
      <c r="R2689" s="14"/>
      <c r="S2689" s="14">
        <v>1</v>
      </c>
    </row>
    <row r="2690" spans="2:19" ht="20.25" hidden="1" customHeight="1">
      <c r="B2690" s="17"/>
      <c r="Q2690" s="18"/>
      <c r="R2690" s="14"/>
      <c r="S2690" s="14">
        <v>1</v>
      </c>
    </row>
    <row r="2691" spans="2:19" ht="20.25" hidden="1" customHeight="1">
      <c r="B2691" s="17"/>
      <c r="Q2691" s="18"/>
      <c r="R2691" s="14"/>
      <c r="S2691" s="14">
        <v>1</v>
      </c>
    </row>
    <row r="2692" spans="2:19" ht="20.25" hidden="1" customHeight="1">
      <c r="B2692" s="17"/>
      <c r="Q2692" s="18"/>
      <c r="R2692" s="14"/>
      <c r="S2692" s="14">
        <v>1</v>
      </c>
    </row>
    <row r="2693" spans="2:19" ht="20.25" hidden="1" customHeight="1">
      <c r="B2693" s="17"/>
      <c r="Q2693" s="18"/>
      <c r="R2693" s="14"/>
      <c r="S2693" s="14">
        <v>1</v>
      </c>
    </row>
    <row r="2694" spans="2:19" ht="20.25" hidden="1" customHeight="1">
      <c r="B2694" s="17"/>
      <c r="Q2694" s="18"/>
      <c r="R2694" s="14"/>
      <c r="S2694" s="14">
        <v>1</v>
      </c>
    </row>
    <row r="2695" spans="2:19" ht="20.25" hidden="1" customHeight="1">
      <c r="B2695" s="17"/>
      <c r="Q2695" s="18"/>
      <c r="R2695" s="14"/>
      <c r="S2695" s="14">
        <v>1</v>
      </c>
    </row>
    <row r="2696" spans="2:19" ht="20.25" hidden="1" customHeight="1">
      <c r="B2696" s="17"/>
      <c r="Q2696" s="18"/>
      <c r="R2696" s="14"/>
      <c r="S2696" s="14">
        <v>1</v>
      </c>
    </row>
    <row r="2697" spans="2:19" ht="20.25" hidden="1" customHeight="1">
      <c r="B2697" s="17"/>
      <c r="Q2697" s="18"/>
      <c r="R2697" s="14"/>
      <c r="S2697" s="14">
        <v>1</v>
      </c>
    </row>
    <row r="2698" spans="2:19" ht="20.25" hidden="1" customHeight="1">
      <c r="B2698" s="17"/>
      <c r="Q2698" s="18"/>
      <c r="R2698" s="14"/>
      <c r="S2698" s="14">
        <v>1</v>
      </c>
    </row>
    <row r="2699" spans="2:19" ht="20.25" hidden="1" customHeight="1">
      <c r="B2699" s="17"/>
      <c r="Q2699" s="18"/>
      <c r="R2699" s="14"/>
      <c r="S2699" s="14">
        <v>1</v>
      </c>
    </row>
    <row r="2700" spans="2:19" ht="20.25" hidden="1" customHeight="1">
      <c r="B2700" s="17"/>
      <c r="Q2700" s="18"/>
      <c r="R2700" s="14"/>
      <c r="S2700" s="14">
        <v>1</v>
      </c>
    </row>
    <row r="2701" spans="2:19" ht="20.25" hidden="1" customHeight="1">
      <c r="B2701" s="17"/>
      <c r="Q2701" s="18"/>
      <c r="R2701" s="14"/>
      <c r="S2701" s="14">
        <v>1</v>
      </c>
    </row>
    <row r="2702" spans="2:19" ht="20.25" hidden="1" customHeight="1">
      <c r="B2702" s="17"/>
      <c r="Q2702" s="18"/>
      <c r="R2702" s="14"/>
      <c r="S2702" s="14">
        <v>1</v>
      </c>
    </row>
    <row r="2703" spans="2:19" ht="20.25" hidden="1" customHeight="1">
      <c r="B2703" s="17"/>
      <c r="Q2703" s="18"/>
      <c r="R2703" s="14"/>
      <c r="S2703" s="14">
        <v>1</v>
      </c>
    </row>
    <row r="2704" spans="2:19" ht="20.25" hidden="1" customHeight="1">
      <c r="B2704" s="17"/>
      <c r="Q2704" s="18"/>
      <c r="R2704" s="14"/>
      <c r="S2704" s="14">
        <v>1</v>
      </c>
    </row>
    <row r="2705" spans="2:19" ht="20.25" hidden="1" customHeight="1">
      <c r="B2705" s="17"/>
      <c r="Q2705" s="18"/>
      <c r="R2705" s="14"/>
      <c r="S2705" s="14">
        <v>1</v>
      </c>
    </row>
    <row r="2706" spans="2:19" ht="20.25" hidden="1" customHeight="1">
      <c r="B2706" s="17"/>
      <c r="Q2706" s="18"/>
      <c r="R2706" s="14"/>
      <c r="S2706" s="14">
        <v>1</v>
      </c>
    </row>
    <row r="2707" spans="2:19" ht="20.25" hidden="1" customHeight="1">
      <c r="B2707" s="17"/>
      <c r="Q2707" s="18"/>
      <c r="R2707" s="14"/>
      <c r="S2707" s="14">
        <v>1</v>
      </c>
    </row>
    <row r="2708" spans="2:19" ht="20.25" hidden="1" customHeight="1">
      <c r="B2708" s="17"/>
      <c r="Q2708" s="18"/>
      <c r="R2708" s="14"/>
      <c r="S2708" s="14">
        <v>1</v>
      </c>
    </row>
    <row r="2709" spans="2:19" ht="20.25" hidden="1" customHeight="1">
      <c r="B2709" s="17"/>
      <c r="Q2709" s="18"/>
      <c r="R2709" s="14"/>
      <c r="S2709" s="14">
        <v>1</v>
      </c>
    </row>
    <row r="2710" spans="2:19" ht="20.25" hidden="1" customHeight="1">
      <c r="B2710" s="17"/>
      <c r="Q2710" s="18"/>
      <c r="R2710" s="14"/>
      <c r="S2710" s="14">
        <v>1</v>
      </c>
    </row>
    <row r="2711" spans="2:19" ht="20.25" hidden="1" customHeight="1">
      <c r="B2711" s="17"/>
      <c r="Q2711" s="18"/>
      <c r="R2711" s="14"/>
      <c r="S2711" s="14">
        <v>1</v>
      </c>
    </row>
    <row r="2712" spans="2:19" ht="20.25" hidden="1" customHeight="1">
      <c r="B2712" s="17"/>
      <c r="Q2712" s="18"/>
      <c r="R2712" s="14"/>
      <c r="S2712" s="14">
        <v>1</v>
      </c>
    </row>
    <row r="2713" spans="2:19" ht="20.25" hidden="1" customHeight="1">
      <c r="B2713" s="17"/>
      <c r="Q2713" s="18"/>
      <c r="R2713" s="14"/>
      <c r="S2713" s="14">
        <v>1</v>
      </c>
    </row>
    <row r="2714" spans="2:19" ht="20.25" hidden="1" customHeight="1">
      <c r="B2714" s="17"/>
      <c r="Q2714" s="18"/>
      <c r="R2714" s="14"/>
      <c r="S2714" s="14">
        <v>1</v>
      </c>
    </row>
    <row r="2715" spans="2:19" ht="20.25" hidden="1" customHeight="1">
      <c r="B2715" s="17"/>
      <c r="Q2715" s="18"/>
      <c r="R2715" s="14"/>
      <c r="S2715" s="14">
        <v>1</v>
      </c>
    </row>
    <row r="2716" spans="2:19" ht="20.25" hidden="1" customHeight="1">
      <c r="B2716" s="17"/>
      <c r="Q2716" s="18"/>
      <c r="R2716" s="14"/>
      <c r="S2716" s="14">
        <v>1</v>
      </c>
    </row>
    <row r="2717" spans="2:19" ht="20.25" hidden="1" customHeight="1">
      <c r="B2717" s="17"/>
      <c r="Q2717" s="18"/>
      <c r="R2717" s="14"/>
      <c r="S2717" s="14">
        <v>1</v>
      </c>
    </row>
    <row r="2718" spans="2:19" ht="20.25" hidden="1" customHeight="1">
      <c r="B2718" s="17"/>
      <c r="Q2718" s="18"/>
      <c r="R2718" s="14"/>
      <c r="S2718" s="14">
        <v>1</v>
      </c>
    </row>
    <row r="2719" spans="2:19" ht="20.25" hidden="1" customHeight="1">
      <c r="B2719" s="17"/>
      <c r="Q2719" s="18"/>
      <c r="R2719" s="14"/>
      <c r="S2719" s="14">
        <v>1</v>
      </c>
    </row>
    <row r="2720" spans="2:19" ht="20.25" hidden="1" customHeight="1">
      <c r="B2720" s="17"/>
      <c r="Q2720" s="18"/>
      <c r="R2720" s="14"/>
      <c r="S2720" s="14">
        <v>1</v>
      </c>
    </row>
    <row r="2721" spans="2:19" ht="20.25" hidden="1" customHeight="1">
      <c r="B2721" s="17"/>
      <c r="Q2721" s="18"/>
      <c r="R2721" s="14"/>
      <c r="S2721" s="14">
        <v>1</v>
      </c>
    </row>
    <row r="2722" spans="2:19" ht="20.25" hidden="1" customHeight="1">
      <c r="B2722" s="17"/>
      <c r="Q2722" s="18"/>
      <c r="R2722" s="14"/>
      <c r="S2722" s="14">
        <v>1</v>
      </c>
    </row>
    <row r="2723" spans="2:19" ht="20.25" hidden="1" customHeight="1">
      <c r="B2723" s="17"/>
      <c r="Q2723" s="18"/>
      <c r="R2723" s="14"/>
      <c r="S2723" s="14">
        <v>1</v>
      </c>
    </row>
    <row r="2724" spans="2:19" ht="20.25" hidden="1" customHeight="1">
      <c r="B2724" s="17"/>
      <c r="Q2724" s="18"/>
      <c r="R2724" s="14"/>
      <c r="S2724" s="14">
        <v>1</v>
      </c>
    </row>
    <row r="2725" spans="2:19" ht="20.25" hidden="1" customHeight="1">
      <c r="B2725" s="17"/>
      <c r="Q2725" s="18"/>
      <c r="R2725" s="14"/>
      <c r="S2725" s="14">
        <v>1</v>
      </c>
    </row>
    <row r="2726" spans="2:19" ht="20.25" hidden="1" customHeight="1">
      <c r="B2726" s="17"/>
      <c r="Q2726" s="18"/>
      <c r="R2726" s="14"/>
      <c r="S2726" s="14">
        <v>1</v>
      </c>
    </row>
    <row r="2727" spans="2:19" ht="20.25" hidden="1" customHeight="1">
      <c r="B2727" s="17"/>
      <c r="Q2727" s="18"/>
      <c r="R2727" s="14"/>
      <c r="S2727" s="14">
        <v>1</v>
      </c>
    </row>
    <row r="2728" spans="2:19" ht="20.25" hidden="1" customHeight="1">
      <c r="B2728" s="17"/>
      <c r="Q2728" s="18"/>
      <c r="R2728" s="14"/>
      <c r="S2728" s="14">
        <v>1</v>
      </c>
    </row>
    <row r="2729" spans="2:19" ht="20.25" hidden="1" customHeight="1">
      <c r="B2729" s="17"/>
      <c r="Q2729" s="18"/>
      <c r="R2729" s="14"/>
      <c r="S2729" s="14">
        <v>1</v>
      </c>
    </row>
    <row r="2730" spans="2:19" ht="20.25" hidden="1" customHeight="1">
      <c r="B2730" s="17"/>
      <c r="Q2730" s="18"/>
      <c r="R2730" s="14"/>
      <c r="S2730" s="14">
        <v>1</v>
      </c>
    </row>
    <row r="2731" spans="2:19" ht="20.25" hidden="1" customHeight="1">
      <c r="B2731" s="17"/>
      <c r="Q2731" s="18"/>
      <c r="R2731" s="14"/>
      <c r="S2731" s="14">
        <v>1</v>
      </c>
    </row>
    <row r="2732" spans="2:19" ht="20.25" hidden="1" customHeight="1">
      <c r="B2732" s="17"/>
      <c r="Q2732" s="18"/>
      <c r="R2732" s="14"/>
      <c r="S2732" s="14">
        <v>1</v>
      </c>
    </row>
    <row r="2733" spans="2:19" ht="20.25" hidden="1" customHeight="1">
      <c r="B2733" s="17"/>
      <c r="Q2733" s="18"/>
      <c r="R2733" s="14"/>
      <c r="S2733" s="14">
        <v>1</v>
      </c>
    </row>
    <row r="2734" spans="2:19" ht="20.25" hidden="1" customHeight="1">
      <c r="B2734" s="17"/>
      <c r="Q2734" s="18"/>
      <c r="R2734" s="14"/>
      <c r="S2734" s="14">
        <v>1</v>
      </c>
    </row>
    <row r="2735" spans="2:19" ht="20.25" hidden="1" customHeight="1">
      <c r="B2735" s="17"/>
      <c r="Q2735" s="18"/>
      <c r="R2735" s="14"/>
      <c r="S2735" s="14">
        <v>1</v>
      </c>
    </row>
    <row r="2736" spans="2:19" ht="20.25" hidden="1" customHeight="1">
      <c r="B2736" s="17"/>
      <c r="Q2736" s="18"/>
      <c r="R2736" s="14"/>
      <c r="S2736" s="14">
        <v>1</v>
      </c>
    </row>
    <row r="2737" spans="2:19" ht="20.25" hidden="1" customHeight="1">
      <c r="B2737" s="17"/>
      <c r="Q2737" s="18"/>
      <c r="R2737" s="14"/>
      <c r="S2737" s="14">
        <v>1</v>
      </c>
    </row>
    <row r="2738" spans="2:19" ht="20.25" hidden="1" customHeight="1">
      <c r="B2738" s="17"/>
      <c r="Q2738" s="18"/>
      <c r="R2738" s="14"/>
      <c r="S2738" s="14">
        <v>1</v>
      </c>
    </row>
    <row r="2739" spans="2:19" ht="20.25" hidden="1" customHeight="1">
      <c r="B2739" s="17"/>
      <c r="Q2739" s="18"/>
      <c r="R2739" s="14"/>
      <c r="S2739" s="14">
        <v>1</v>
      </c>
    </row>
    <row r="2740" spans="2:19" ht="20.25" hidden="1" customHeight="1">
      <c r="B2740" s="17"/>
      <c r="Q2740" s="18"/>
      <c r="R2740" s="14"/>
      <c r="S2740" s="14">
        <v>1</v>
      </c>
    </row>
    <row r="2741" spans="2:19" ht="20.25" hidden="1" customHeight="1">
      <c r="B2741" s="17"/>
      <c r="Q2741" s="18"/>
      <c r="R2741" s="14"/>
      <c r="S2741" s="14">
        <v>1</v>
      </c>
    </row>
    <row r="2742" spans="2:19" ht="20.25" hidden="1" customHeight="1">
      <c r="B2742" s="17"/>
      <c r="Q2742" s="18"/>
      <c r="R2742" s="14"/>
      <c r="S2742" s="14">
        <v>1</v>
      </c>
    </row>
    <row r="2743" spans="2:19" ht="20.25" hidden="1" customHeight="1">
      <c r="B2743" s="17"/>
      <c r="Q2743" s="18"/>
      <c r="R2743" s="14"/>
      <c r="S2743" s="14">
        <v>1</v>
      </c>
    </row>
    <row r="2744" spans="2:19" ht="20.25" hidden="1" customHeight="1">
      <c r="B2744" s="17"/>
      <c r="Q2744" s="18"/>
      <c r="R2744" s="14"/>
      <c r="S2744" s="14">
        <v>1</v>
      </c>
    </row>
    <row r="2745" spans="2:19" ht="20.25" hidden="1" customHeight="1">
      <c r="B2745" s="17"/>
      <c r="Q2745" s="18"/>
      <c r="R2745" s="14"/>
      <c r="S2745" s="14">
        <v>1</v>
      </c>
    </row>
    <row r="2746" spans="2:19" ht="20.25" hidden="1" customHeight="1">
      <c r="B2746" s="17"/>
      <c r="Q2746" s="18"/>
      <c r="R2746" s="14"/>
      <c r="S2746" s="14">
        <v>1</v>
      </c>
    </row>
    <row r="2747" spans="2:19" ht="20.25" hidden="1" customHeight="1">
      <c r="B2747" s="17"/>
      <c r="Q2747" s="18"/>
      <c r="R2747" s="14"/>
      <c r="S2747" s="14">
        <v>1</v>
      </c>
    </row>
    <row r="2748" spans="2:19" ht="20.25" hidden="1" customHeight="1">
      <c r="B2748" s="17"/>
      <c r="Q2748" s="18"/>
      <c r="R2748" s="14"/>
      <c r="S2748" s="14">
        <v>1</v>
      </c>
    </row>
    <row r="2749" spans="2:19" ht="20.25" hidden="1" customHeight="1">
      <c r="B2749" s="17"/>
      <c r="Q2749" s="18"/>
      <c r="R2749" s="14"/>
      <c r="S2749" s="14">
        <v>1</v>
      </c>
    </row>
    <row r="2750" spans="2:19" ht="20.25" hidden="1" customHeight="1">
      <c r="B2750" s="17"/>
      <c r="Q2750" s="18"/>
      <c r="R2750" s="14"/>
      <c r="S2750" s="14">
        <v>1</v>
      </c>
    </row>
    <row r="2751" spans="2:19" ht="20.25" hidden="1" customHeight="1">
      <c r="B2751" s="17"/>
      <c r="Q2751" s="18"/>
      <c r="R2751" s="14"/>
      <c r="S2751" s="14">
        <v>1</v>
      </c>
    </row>
    <row r="2752" spans="2:19" ht="20.25" hidden="1" customHeight="1">
      <c r="B2752" s="17"/>
      <c r="Q2752" s="18"/>
      <c r="R2752" s="14"/>
      <c r="S2752" s="14">
        <v>1</v>
      </c>
    </row>
    <row r="2753" spans="2:19" ht="20.25" hidden="1" customHeight="1">
      <c r="B2753" s="17"/>
      <c r="Q2753" s="18"/>
      <c r="R2753" s="14"/>
      <c r="S2753" s="14">
        <v>1</v>
      </c>
    </row>
    <row r="2754" spans="2:19" ht="20.25" hidden="1" customHeight="1">
      <c r="B2754" s="17"/>
      <c r="Q2754" s="18"/>
      <c r="R2754" s="14"/>
      <c r="S2754" s="14">
        <v>1</v>
      </c>
    </row>
    <row r="2755" spans="2:19" ht="20.25" hidden="1" customHeight="1">
      <c r="B2755" s="17"/>
      <c r="Q2755" s="18"/>
      <c r="R2755" s="14"/>
      <c r="S2755" s="14">
        <v>1</v>
      </c>
    </row>
    <row r="2756" spans="2:19" ht="20.25" hidden="1" customHeight="1">
      <c r="B2756" s="17"/>
      <c r="Q2756" s="18"/>
      <c r="R2756" s="14"/>
      <c r="S2756" s="14">
        <v>1</v>
      </c>
    </row>
    <row r="2757" spans="2:19" ht="20.25" hidden="1" customHeight="1">
      <c r="B2757" s="17"/>
      <c r="Q2757" s="18"/>
      <c r="R2757" s="14"/>
      <c r="S2757" s="14">
        <v>1</v>
      </c>
    </row>
    <row r="2758" spans="2:19" ht="20.25" hidden="1" customHeight="1">
      <c r="B2758" s="17"/>
      <c r="Q2758" s="18"/>
      <c r="R2758" s="14"/>
      <c r="S2758" s="14">
        <v>1</v>
      </c>
    </row>
    <row r="2759" spans="2:19" ht="20.25" hidden="1" customHeight="1">
      <c r="B2759" s="17"/>
      <c r="Q2759" s="18"/>
      <c r="R2759" s="14"/>
      <c r="S2759" s="14">
        <v>1</v>
      </c>
    </row>
    <row r="2760" spans="2:19" ht="20.25" hidden="1" customHeight="1">
      <c r="B2760" s="17"/>
      <c r="Q2760" s="18"/>
      <c r="R2760" s="14"/>
      <c r="S2760" s="14">
        <v>1</v>
      </c>
    </row>
    <row r="2761" spans="2:19" ht="20.25" hidden="1" customHeight="1">
      <c r="B2761" s="17"/>
      <c r="Q2761" s="18"/>
      <c r="R2761" s="14"/>
      <c r="S2761" s="14">
        <v>1</v>
      </c>
    </row>
    <row r="2762" spans="2:19" ht="20.25" hidden="1" customHeight="1">
      <c r="B2762" s="17"/>
      <c r="Q2762" s="18"/>
      <c r="R2762" s="14"/>
      <c r="S2762" s="14">
        <v>1</v>
      </c>
    </row>
    <row r="2763" spans="2:19" ht="20.25" hidden="1" customHeight="1">
      <c r="B2763" s="17"/>
      <c r="Q2763" s="18"/>
      <c r="R2763" s="14"/>
      <c r="S2763" s="14">
        <v>1</v>
      </c>
    </row>
    <row r="2764" spans="2:19" ht="20.25" hidden="1" customHeight="1">
      <c r="B2764" s="17"/>
      <c r="Q2764" s="18"/>
      <c r="R2764" s="14"/>
      <c r="S2764" s="14">
        <v>1</v>
      </c>
    </row>
    <row r="2765" spans="2:19" ht="20.25" hidden="1" customHeight="1">
      <c r="B2765" s="17"/>
      <c r="Q2765" s="18"/>
      <c r="R2765" s="14"/>
      <c r="S2765" s="14">
        <v>1</v>
      </c>
    </row>
    <row r="2766" spans="2:19" ht="20.25" hidden="1" customHeight="1">
      <c r="B2766" s="17"/>
      <c r="Q2766" s="18"/>
      <c r="R2766" s="14"/>
      <c r="S2766" s="14">
        <v>1</v>
      </c>
    </row>
    <row r="2767" spans="2:19" ht="20.25" hidden="1" customHeight="1">
      <c r="B2767" s="17"/>
      <c r="Q2767" s="18"/>
      <c r="R2767" s="14"/>
      <c r="S2767" s="14">
        <v>1</v>
      </c>
    </row>
    <row r="2768" spans="2:19" ht="20.25" hidden="1" customHeight="1">
      <c r="B2768" s="17"/>
      <c r="Q2768" s="18"/>
      <c r="R2768" s="14"/>
      <c r="S2768" s="14">
        <v>1</v>
      </c>
    </row>
    <row r="2769" spans="2:19" ht="20.25" hidden="1" customHeight="1">
      <c r="B2769" s="17"/>
      <c r="Q2769" s="18"/>
      <c r="R2769" s="14"/>
      <c r="S2769" s="14">
        <v>1</v>
      </c>
    </row>
    <row r="2770" spans="2:19" ht="20.25" hidden="1" customHeight="1">
      <c r="B2770" s="17"/>
      <c r="Q2770" s="18"/>
      <c r="R2770" s="14"/>
      <c r="S2770" s="14">
        <v>1</v>
      </c>
    </row>
    <row r="2771" spans="2:19" ht="20.25" hidden="1" customHeight="1">
      <c r="B2771" s="17"/>
      <c r="Q2771" s="18"/>
      <c r="R2771" s="14"/>
      <c r="S2771" s="14">
        <v>1</v>
      </c>
    </row>
    <row r="2772" spans="2:19" ht="20.25" hidden="1" customHeight="1">
      <c r="B2772" s="17"/>
      <c r="Q2772" s="18"/>
      <c r="R2772" s="14"/>
      <c r="S2772" s="14">
        <v>1</v>
      </c>
    </row>
    <row r="2773" spans="2:19" ht="20.25" hidden="1" customHeight="1">
      <c r="B2773" s="17"/>
      <c r="Q2773" s="18"/>
      <c r="R2773" s="14"/>
      <c r="S2773" s="14">
        <v>1</v>
      </c>
    </row>
    <row r="2774" spans="2:19" ht="20.25" hidden="1" customHeight="1">
      <c r="B2774" s="17"/>
      <c r="Q2774" s="18"/>
      <c r="R2774" s="14"/>
      <c r="S2774" s="14">
        <v>1</v>
      </c>
    </row>
    <row r="2775" spans="2:19" ht="20.25" hidden="1" customHeight="1">
      <c r="B2775" s="17"/>
      <c r="Q2775" s="18"/>
      <c r="R2775" s="14"/>
      <c r="S2775" s="14">
        <v>1</v>
      </c>
    </row>
    <row r="2776" spans="2:19" ht="20.25" hidden="1" customHeight="1">
      <c r="B2776" s="17"/>
      <c r="Q2776" s="18"/>
      <c r="R2776" s="14"/>
      <c r="S2776" s="14">
        <v>1</v>
      </c>
    </row>
    <row r="2777" spans="2:19" ht="20.25" hidden="1" customHeight="1">
      <c r="B2777" s="17"/>
      <c r="Q2777" s="18"/>
      <c r="R2777" s="14"/>
      <c r="S2777" s="14">
        <v>1</v>
      </c>
    </row>
    <row r="2778" spans="2:19" ht="20.25" hidden="1" customHeight="1">
      <c r="B2778" s="17"/>
      <c r="Q2778" s="18"/>
      <c r="R2778" s="14"/>
      <c r="S2778" s="14">
        <v>1</v>
      </c>
    </row>
    <row r="2779" spans="2:19" ht="20.25" hidden="1" customHeight="1">
      <c r="B2779" s="17"/>
      <c r="Q2779" s="18"/>
      <c r="R2779" s="14"/>
      <c r="S2779" s="14">
        <v>1</v>
      </c>
    </row>
    <row r="2780" spans="2:19" ht="20.25" hidden="1" customHeight="1">
      <c r="B2780" s="17"/>
      <c r="Q2780" s="18"/>
      <c r="R2780" s="14"/>
      <c r="S2780" s="14">
        <v>1</v>
      </c>
    </row>
    <row r="2781" spans="2:19" ht="20.25" hidden="1" customHeight="1">
      <c r="B2781" s="17"/>
      <c r="Q2781" s="18"/>
      <c r="R2781" s="14"/>
      <c r="S2781" s="14">
        <v>1</v>
      </c>
    </row>
    <row r="2782" spans="2:19" ht="20.25" hidden="1" customHeight="1">
      <c r="B2782" s="17"/>
      <c r="Q2782" s="18"/>
      <c r="R2782" s="14"/>
      <c r="S2782" s="14">
        <v>1</v>
      </c>
    </row>
    <row r="2783" spans="2:19" ht="20.25" hidden="1" customHeight="1">
      <c r="B2783" s="17"/>
      <c r="Q2783" s="18"/>
      <c r="R2783" s="14"/>
      <c r="S2783" s="14">
        <v>1</v>
      </c>
    </row>
    <row r="2784" spans="2:19" ht="20.25" hidden="1" customHeight="1">
      <c r="B2784" s="17"/>
      <c r="Q2784" s="18"/>
      <c r="R2784" s="14"/>
      <c r="S2784" s="14">
        <v>1</v>
      </c>
    </row>
    <row r="2785" spans="2:19" ht="20.25" hidden="1" customHeight="1">
      <c r="B2785" s="17"/>
      <c r="Q2785" s="18"/>
      <c r="R2785" s="14"/>
      <c r="S2785" s="14">
        <v>1</v>
      </c>
    </row>
    <row r="2786" spans="2:19" ht="20.25" hidden="1" customHeight="1">
      <c r="B2786" s="17"/>
      <c r="Q2786" s="18"/>
      <c r="R2786" s="14"/>
      <c r="S2786" s="14">
        <v>1</v>
      </c>
    </row>
    <row r="2787" spans="2:19" ht="20.25" hidden="1" customHeight="1">
      <c r="B2787" s="17"/>
      <c r="Q2787" s="18"/>
      <c r="R2787" s="14"/>
      <c r="S2787" s="14">
        <v>1</v>
      </c>
    </row>
    <row r="2788" spans="2:19" ht="20.25" hidden="1" customHeight="1">
      <c r="B2788" s="17"/>
      <c r="Q2788" s="18"/>
      <c r="R2788" s="14"/>
      <c r="S2788" s="14">
        <v>1</v>
      </c>
    </row>
    <row r="2789" spans="2:19" ht="20.25" hidden="1" customHeight="1">
      <c r="B2789" s="17"/>
      <c r="Q2789" s="18"/>
      <c r="R2789" s="14"/>
      <c r="S2789" s="14">
        <v>1</v>
      </c>
    </row>
    <row r="2790" spans="2:19" ht="20.25" hidden="1" customHeight="1">
      <c r="B2790" s="17"/>
      <c r="Q2790" s="18"/>
      <c r="R2790" s="14"/>
      <c r="S2790" s="14">
        <v>1</v>
      </c>
    </row>
    <row r="2791" spans="2:19" ht="20.25" hidden="1" customHeight="1">
      <c r="B2791" s="17"/>
      <c r="Q2791" s="18"/>
      <c r="R2791" s="14"/>
      <c r="S2791" s="14">
        <v>1</v>
      </c>
    </row>
    <row r="2792" spans="2:19" ht="20.25" hidden="1" customHeight="1">
      <c r="B2792" s="17"/>
      <c r="Q2792" s="18"/>
      <c r="R2792" s="14"/>
      <c r="S2792" s="14">
        <v>1</v>
      </c>
    </row>
    <row r="2793" spans="2:19" ht="20.25" hidden="1" customHeight="1">
      <c r="B2793" s="17"/>
      <c r="Q2793" s="18"/>
      <c r="R2793" s="14"/>
      <c r="S2793" s="14">
        <v>1</v>
      </c>
    </row>
    <row r="2794" spans="2:19" ht="20.25" hidden="1" customHeight="1">
      <c r="B2794" s="17"/>
      <c r="Q2794" s="18"/>
      <c r="R2794" s="14"/>
      <c r="S2794" s="14">
        <v>1</v>
      </c>
    </row>
    <row r="2795" spans="2:19" ht="20.25" hidden="1" customHeight="1">
      <c r="B2795" s="17"/>
      <c r="Q2795" s="18"/>
      <c r="R2795" s="14"/>
      <c r="S2795" s="14">
        <v>1</v>
      </c>
    </row>
    <row r="2796" spans="2:19" ht="20.25" hidden="1" customHeight="1">
      <c r="B2796" s="17"/>
      <c r="Q2796" s="18"/>
      <c r="R2796" s="14"/>
      <c r="S2796" s="14">
        <v>1</v>
      </c>
    </row>
    <row r="2797" spans="2:19" ht="20.25" hidden="1" customHeight="1">
      <c r="B2797" s="17"/>
      <c r="Q2797" s="18"/>
      <c r="R2797" s="14"/>
      <c r="S2797" s="14">
        <v>1</v>
      </c>
    </row>
    <row r="2798" spans="2:19" ht="20.25" hidden="1" customHeight="1">
      <c r="B2798" s="17"/>
      <c r="Q2798" s="18"/>
      <c r="R2798" s="14"/>
      <c r="S2798" s="14">
        <v>1</v>
      </c>
    </row>
    <row r="2799" spans="2:19" ht="20.25" hidden="1" customHeight="1">
      <c r="B2799" s="17"/>
      <c r="Q2799" s="18"/>
      <c r="R2799" s="14"/>
      <c r="S2799" s="14">
        <v>1</v>
      </c>
    </row>
    <row r="2800" spans="2:19" ht="20.25" hidden="1" customHeight="1">
      <c r="B2800" s="17"/>
      <c r="Q2800" s="18"/>
      <c r="R2800" s="14"/>
      <c r="S2800" s="14">
        <v>1</v>
      </c>
    </row>
    <row r="2801" spans="2:19" ht="20.25" hidden="1" customHeight="1">
      <c r="B2801" s="17"/>
      <c r="Q2801" s="18"/>
      <c r="R2801" s="14"/>
      <c r="S2801" s="14">
        <v>1</v>
      </c>
    </row>
    <row r="2802" spans="2:19" ht="20.25" hidden="1" customHeight="1">
      <c r="B2802" s="17"/>
      <c r="Q2802" s="18"/>
      <c r="R2802" s="14"/>
      <c r="S2802" s="14">
        <v>1</v>
      </c>
    </row>
    <row r="2803" spans="2:19" ht="20.25" hidden="1" customHeight="1">
      <c r="B2803" s="17"/>
      <c r="Q2803" s="18"/>
      <c r="R2803" s="14"/>
      <c r="S2803" s="14">
        <v>1</v>
      </c>
    </row>
    <row r="2804" spans="2:19" ht="20.25" hidden="1" customHeight="1">
      <c r="B2804" s="17"/>
      <c r="Q2804" s="18"/>
      <c r="R2804" s="14"/>
      <c r="S2804" s="14">
        <v>1</v>
      </c>
    </row>
    <row r="2805" spans="2:19" ht="20.25" hidden="1" customHeight="1">
      <c r="B2805" s="17"/>
      <c r="Q2805" s="18"/>
      <c r="R2805" s="14"/>
      <c r="S2805" s="14">
        <v>1</v>
      </c>
    </row>
    <row r="2806" spans="2:19" ht="20.25" hidden="1" customHeight="1">
      <c r="B2806" s="17"/>
      <c r="Q2806" s="18"/>
      <c r="R2806" s="14"/>
      <c r="S2806" s="14">
        <v>1</v>
      </c>
    </row>
    <row r="2807" spans="2:19" ht="20.25" hidden="1" customHeight="1">
      <c r="B2807" s="17"/>
      <c r="Q2807" s="18"/>
      <c r="R2807" s="14"/>
      <c r="S2807" s="14">
        <v>1</v>
      </c>
    </row>
    <row r="2808" spans="2:19" ht="20.25" hidden="1" customHeight="1">
      <c r="B2808" s="17"/>
      <c r="Q2808" s="18"/>
      <c r="R2808" s="14"/>
      <c r="S2808" s="14">
        <v>1</v>
      </c>
    </row>
    <row r="2809" spans="2:19" ht="20.25" hidden="1" customHeight="1">
      <c r="B2809" s="17"/>
      <c r="Q2809" s="18"/>
      <c r="R2809" s="14"/>
      <c r="S2809" s="14">
        <v>1</v>
      </c>
    </row>
    <row r="2810" spans="2:19" ht="20.25" hidden="1" customHeight="1">
      <c r="B2810" s="17"/>
      <c r="Q2810" s="18"/>
      <c r="R2810" s="14"/>
      <c r="S2810" s="14">
        <v>1</v>
      </c>
    </row>
    <row r="2811" spans="2:19" ht="20.25" hidden="1" customHeight="1">
      <c r="B2811" s="17"/>
      <c r="Q2811" s="18"/>
      <c r="R2811" s="14"/>
      <c r="S2811" s="14">
        <v>1</v>
      </c>
    </row>
    <row r="2812" spans="2:19" ht="20.25" hidden="1" customHeight="1">
      <c r="B2812" s="17"/>
      <c r="Q2812" s="18"/>
      <c r="R2812" s="14"/>
      <c r="S2812" s="14">
        <v>1</v>
      </c>
    </row>
    <row r="2813" spans="2:19" ht="20.25" hidden="1" customHeight="1">
      <c r="B2813" s="17"/>
      <c r="Q2813" s="18"/>
      <c r="R2813" s="14"/>
      <c r="S2813" s="14">
        <v>1</v>
      </c>
    </row>
    <row r="2814" spans="2:19" ht="20.25" hidden="1" customHeight="1">
      <c r="B2814" s="17"/>
      <c r="Q2814" s="18"/>
      <c r="R2814" s="14"/>
      <c r="S2814" s="14">
        <v>1</v>
      </c>
    </row>
    <row r="2815" spans="2:19" ht="20.25" hidden="1" customHeight="1">
      <c r="B2815" s="17"/>
      <c r="Q2815" s="18"/>
      <c r="R2815" s="14"/>
      <c r="S2815" s="14">
        <v>1</v>
      </c>
    </row>
    <row r="2816" spans="2:19" ht="20.25" hidden="1" customHeight="1">
      <c r="B2816" s="17"/>
      <c r="Q2816" s="18"/>
      <c r="R2816" s="14"/>
      <c r="S2816" s="14">
        <v>1</v>
      </c>
    </row>
    <row r="2817" spans="2:19" ht="20.25" hidden="1" customHeight="1">
      <c r="B2817" s="17"/>
      <c r="Q2817" s="18"/>
      <c r="R2817" s="14"/>
      <c r="S2817" s="14">
        <v>1</v>
      </c>
    </row>
    <row r="2818" spans="2:19" ht="20.25" hidden="1" customHeight="1">
      <c r="B2818" s="17"/>
      <c r="Q2818" s="18"/>
      <c r="R2818" s="14"/>
      <c r="S2818" s="14">
        <v>1</v>
      </c>
    </row>
    <row r="2819" spans="2:19" ht="20.25" hidden="1" customHeight="1">
      <c r="B2819" s="17"/>
      <c r="Q2819" s="18"/>
      <c r="R2819" s="14"/>
      <c r="S2819" s="14">
        <v>1</v>
      </c>
    </row>
    <row r="2820" spans="2:19" ht="20.25" hidden="1" customHeight="1">
      <c r="B2820" s="17"/>
      <c r="Q2820" s="18"/>
      <c r="R2820" s="14"/>
      <c r="S2820" s="14">
        <v>1</v>
      </c>
    </row>
    <row r="2821" spans="2:19" ht="20.25" hidden="1" customHeight="1">
      <c r="B2821" s="17"/>
      <c r="Q2821" s="18"/>
      <c r="R2821" s="14"/>
      <c r="S2821" s="14">
        <v>1</v>
      </c>
    </row>
    <row r="2822" spans="2:19" ht="20.25" hidden="1" customHeight="1">
      <c r="B2822" s="17"/>
      <c r="Q2822" s="18"/>
      <c r="R2822" s="14"/>
      <c r="S2822" s="14">
        <v>1</v>
      </c>
    </row>
    <row r="2823" spans="2:19" ht="20.25" hidden="1" customHeight="1">
      <c r="B2823" s="17"/>
      <c r="Q2823" s="18"/>
      <c r="R2823" s="14"/>
      <c r="S2823" s="14">
        <v>1</v>
      </c>
    </row>
    <row r="2824" spans="2:19" ht="20.25" hidden="1" customHeight="1">
      <c r="B2824" s="17"/>
      <c r="Q2824" s="18"/>
      <c r="R2824" s="14"/>
      <c r="S2824" s="14">
        <v>1</v>
      </c>
    </row>
    <row r="2825" spans="2:19" ht="20.25" hidden="1" customHeight="1">
      <c r="B2825" s="17"/>
      <c r="Q2825" s="18"/>
      <c r="R2825" s="14"/>
      <c r="S2825" s="14">
        <v>1</v>
      </c>
    </row>
    <row r="2826" spans="2:19" ht="20.25" hidden="1" customHeight="1">
      <c r="B2826" s="17"/>
      <c r="Q2826" s="18"/>
      <c r="R2826" s="14"/>
      <c r="S2826" s="14">
        <v>1</v>
      </c>
    </row>
    <row r="2827" spans="2:19" ht="20.25" hidden="1" customHeight="1">
      <c r="B2827" s="17"/>
      <c r="Q2827" s="18"/>
      <c r="R2827" s="14"/>
      <c r="S2827" s="14">
        <v>1</v>
      </c>
    </row>
    <row r="2828" spans="2:19" ht="20.25" hidden="1" customHeight="1">
      <c r="B2828" s="17"/>
      <c r="Q2828" s="18"/>
      <c r="R2828" s="14"/>
      <c r="S2828" s="14">
        <v>1</v>
      </c>
    </row>
    <row r="2829" spans="2:19" ht="20.25" hidden="1" customHeight="1">
      <c r="B2829" s="17"/>
      <c r="Q2829" s="18"/>
      <c r="R2829" s="14"/>
      <c r="S2829" s="14">
        <v>1</v>
      </c>
    </row>
    <row r="2830" spans="2:19" ht="20.25" hidden="1" customHeight="1">
      <c r="B2830" s="17"/>
      <c r="Q2830" s="18"/>
      <c r="R2830" s="14"/>
      <c r="S2830" s="14">
        <v>1</v>
      </c>
    </row>
    <row r="2831" spans="2:19" ht="20.25" hidden="1" customHeight="1">
      <c r="B2831" s="17"/>
      <c r="Q2831" s="18"/>
      <c r="R2831" s="14"/>
      <c r="S2831" s="14">
        <v>1</v>
      </c>
    </row>
    <row r="2832" spans="2:19" ht="20.25" hidden="1" customHeight="1">
      <c r="B2832" s="17"/>
      <c r="Q2832" s="18"/>
      <c r="R2832" s="14"/>
      <c r="S2832" s="14">
        <v>1</v>
      </c>
    </row>
    <row r="2833" spans="2:19" ht="20.25" hidden="1" customHeight="1">
      <c r="B2833" s="17"/>
      <c r="Q2833" s="18"/>
      <c r="R2833" s="14"/>
      <c r="S2833" s="14">
        <v>1</v>
      </c>
    </row>
    <row r="2834" spans="2:19" ht="20.25" hidden="1" customHeight="1">
      <c r="B2834" s="17"/>
      <c r="Q2834" s="18"/>
      <c r="R2834" s="14"/>
      <c r="S2834" s="14">
        <v>1</v>
      </c>
    </row>
    <row r="2835" spans="2:19" ht="20.25" hidden="1" customHeight="1">
      <c r="B2835" s="17"/>
      <c r="Q2835" s="18"/>
      <c r="R2835" s="14"/>
      <c r="S2835" s="14">
        <v>1</v>
      </c>
    </row>
    <row r="2836" spans="2:19" ht="20.25" hidden="1" customHeight="1">
      <c r="B2836" s="17"/>
      <c r="Q2836" s="18"/>
      <c r="R2836" s="14"/>
      <c r="S2836" s="14">
        <v>1</v>
      </c>
    </row>
    <row r="2837" spans="2:19" ht="20.25" hidden="1" customHeight="1">
      <c r="B2837" s="17"/>
      <c r="Q2837" s="18"/>
      <c r="R2837" s="14"/>
      <c r="S2837" s="14">
        <v>1</v>
      </c>
    </row>
    <row r="2838" spans="2:19" ht="20.25" hidden="1" customHeight="1">
      <c r="B2838" s="17"/>
      <c r="Q2838" s="18"/>
      <c r="R2838" s="14"/>
      <c r="S2838" s="14">
        <v>1</v>
      </c>
    </row>
    <row r="2839" spans="2:19" ht="20.25" hidden="1" customHeight="1">
      <c r="B2839" s="17"/>
      <c r="Q2839" s="18"/>
      <c r="R2839" s="14"/>
      <c r="S2839" s="14">
        <v>1</v>
      </c>
    </row>
    <row r="2840" spans="2:19" ht="20.25" hidden="1" customHeight="1">
      <c r="B2840" s="17"/>
      <c r="Q2840" s="18"/>
      <c r="R2840" s="14"/>
      <c r="S2840" s="14">
        <v>1</v>
      </c>
    </row>
    <row r="2841" spans="2:19" ht="20.25" hidden="1" customHeight="1">
      <c r="B2841" s="17"/>
      <c r="Q2841" s="18"/>
      <c r="R2841" s="14"/>
      <c r="S2841" s="14">
        <v>1</v>
      </c>
    </row>
    <row r="2842" spans="2:19" ht="20.25" hidden="1" customHeight="1">
      <c r="B2842" s="17"/>
      <c r="Q2842" s="18"/>
      <c r="R2842" s="14"/>
      <c r="S2842" s="14">
        <v>1</v>
      </c>
    </row>
    <row r="2843" spans="2:19" ht="20.25" hidden="1" customHeight="1">
      <c r="B2843" s="17"/>
      <c r="Q2843" s="18"/>
      <c r="R2843" s="14"/>
      <c r="S2843" s="14">
        <v>1</v>
      </c>
    </row>
    <row r="2844" spans="2:19" ht="20.25" hidden="1" customHeight="1">
      <c r="B2844" s="17"/>
      <c r="Q2844" s="18"/>
      <c r="R2844" s="14"/>
      <c r="S2844" s="14">
        <v>1</v>
      </c>
    </row>
    <row r="2845" spans="2:19" ht="20.25" hidden="1" customHeight="1">
      <c r="B2845" s="17"/>
      <c r="Q2845" s="18"/>
      <c r="R2845" s="14"/>
      <c r="S2845" s="14">
        <v>1</v>
      </c>
    </row>
    <row r="2846" spans="2:19" ht="20.25" hidden="1" customHeight="1">
      <c r="B2846" s="17"/>
      <c r="Q2846" s="18"/>
      <c r="R2846" s="14"/>
      <c r="S2846" s="14">
        <v>1</v>
      </c>
    </row>
    <row r="2847" spans="2:19" ht="20.25" hidden="1" customHeight="1">
      <c r="B2847" s="17"/>
      <c r="Q2847" s="18"/>
      <c r="R2847" s="14"/>
      <c r="S2847" s="14">
        <v>1</v>
      </c>
    </row>
    <row r="2848" spans="2:19" ht="20.25" hidden="1" customHeight="1">
      <c r="B2848" s="17"/>
      <c r="Q2848" s="18"/>
      <c r="R2848" s="14"/>
      <c r="S2848" s="14">
        <v>1</v>
      </c>
    </row>
    <row r="2849" spans="2:19" ht="20.25" hidden="1" customHeight="1">
      <c r="B2849" s="17"/>
      <c r="Q2849" s="18"/>
      <c r="R2849" s="14"/>
      <c r="S2849" s="14">
        <v>1</v>
      </c>
    </row>
    <row r="2850" spans="2:19" ht="20.25" hidden="1" customHeight="1">
      <c r="B2850" s="17"/>
      <c r="Q2850" s="18"/>
      <c r="R2850" s="14"/>
      <c r="S2850" s="14">
        <v>1</v>
      </c>
    </row>
    <row r="2851" spans="2:19" ht="20.25" hidden="1" customHeight="1">
      <c r="B2851" s="17"/>
      <c r="Q2851" s="18"/>
      <c r="R2851" s="14"/>
      <c r="S2851" s="14">
        <v>1</v>
      </c>
    </row>
    <row r="2852" spans="2:19" ht="20.25" hidden="1" customHeight="1">
      <c r="B2852" s="17"/>
      <c r="Q2852" s="18"/>
      <c r="R2852" s="14"/>
      <c r="S2852" s="14">
        <v>1</v>
      </c>
    </row>
    <row r="2853" spans="2:19" ht="20.25" hidden="1" customHeight="1">
      <c r="B2853" s="17"/>
      <c r="Q2853" s="18"/>
      <c r="R2853" s="14"/>
      <c r="S2853" s="14">
        <v>1</v>
      </c>
    </row>
    <row r="2854" spans="2:19" ht="20.25" hidden="1" customHeight="1">
      <c r="B2854" s="17"/>
      <c r="Q2854" s="18"/>
      <c r="R2854" s="14"/>
      <c r="S2854" s="14">
        <v>1</v>
      </c>
    </row>
    <row r="2855" spans="2:19" ht="20.25" hidden="1" customHeight="1">
      <c r="B2855" s="17"/>
      <c r="Q2855" s="18"/>
      <c r="R2855" s="14"/>
      <c r="S2855" s="14">
        <v>1</v>
      </c>
    </row>
    <row r="2856" spans="2:19" ht="20.25" hidden="1" customHeight="1">
      <c r="B2856" s="17"/>
      <c r="Q2856" s="18"/>
      <c r="R2856" s="14"/>
      <c r="S2856" s="14">
        <v>1</v>
      </c>
    </row>
    <row r="2857" spans="2:19" ht="20.25" hidden="1" customHeight="1">
      <c r="B2857" s="17"/>
      <c r="Q2857" s="18"/>
      <c r="R2857" s="14"/>
      <c r="S2857" s="14">
        <v>1</v>
      </c>
    </row>
    <row r="2858" spans="2:19" ht="20.25" hidden="1" customHeight="1">
      <c r="B2858" s="17"/>
      <c r="Q2858" s="18"/>
      <c r="R2858" s="14"/>
      <c r="S2858" s="14">
        <v>1</v>
      </c>
    </row>
    <row r="2859" spans="2:19" ht="20.25" hidden="1" customHeight="1">
      <c r="B2859" s="17"/>
      <c r="Q2859" s="18"/>
      <c r="R2859" s="14"/>
      <c r="S2859" s="14">
        <v>1</v>
      </c>
    </row>
    <row r="2860" spans="2:19" ht="20.25" hidden="1" customHeight="1">
      <c r="B2860" s="17"/>
      <c r="Q2860" s="18"/>
      <c r="R2860" s="14"/>
      <c r="S2860" s="14">
        <v>1</v>
      </c>
    </row>
    <row r="2861" spans="2:19" ht="20.25" hidden="1" customHeight="1">
      <c r="B2861" s="17"/>
      <c r="Q2861" s="18"/>
      <c r="R2861" s="14"/>
      <c r="S2861" s="14">
        <v>1</v>
      </c>
    </row>
    <row r="2862" spans="2:19" ht="20.25" hidden="1" customHeight="1">
      <c r="B2862" s="17"/>
      <c r="Q2862" s="18"/>
      <c r="R2862" s="14"/>
      <c r="S2862" s="14">
        <v>1</v>
      </c>
    </row>
    <row r="2863" spans="2:19" ht="20.25" hidden="1" customHeight="1">
      <c r="B2863" s="17"/>
      <c r="Q2863" s="18"/>
      <c r="R2863" s="14"/>
      <c r="S2863" s="14">
        <v>1</v>
      </c>
    </row>
    <row r="2864" spans="2:19" ht="20.25" hidden="1" customHeight="1">
      <c r="B2864" s="17"/>
      <c r="Q2864" s="18"/>
      <c r="R2864" s="14"/>
      <c r="S2864" s="14">
        <v>1</v>
      </c>
    </row>
    <row r="2865" spans="2:19" ht="20.25" hidden="1" customHeight="1">
      <c r="B2865" s="17"/>
      <c r="Q2865" s="18"/>
      <c r="R2865" s="14"/>
      <c r="S2865" s="14">
        <v>1</v>
      </c>
    </row>
    <row r="2866" spans="2:19" ht="20.25" hidden="1" customHeight="1">
      <c r="B2866" s="17"/>
      <c r="Q2866" s="18"/>
      <c r="R2866" s="14"/>
      <c r="S2866" s="14">
        <v>1</v>
      </c>
    </row>
    <row r="2867" spans="2:19" ht="20.25" hidden="1" customHeight="1">
      <c r="B2867" s="17"/>
      <c r="Q2867" s="18"/>
      <c r="R2867" s="14"/>
      <c r="S2867" s="14">
        <v>1</v>
      </c>
    </row>
    <row r="2868" spans="2:19" ht="20.25" hidden="1" customHeight="1">
      <c r="B2868" s="17"/>
      <c r="Q2868" s="18"/>
      <c r="R2868" s="14"/>
      <c r="S2868" s="14">
        <v>1</v>
      </c>
    </row>
    <row r="2869" spans="2:19" ht="20.25" hidden="1" customHeight="1">
      <c r="B2869" s="17"/>
      <c r="Q2869" s="18"/>
      <c r="R2869" s="14"/>
      <c r="S2869" s="14">
        <v>1</v>
      </c>
    </row>
    <row r="2870" spans="2:19" ht="20.25" hidden="1" customHeight="1">
      <c r="B2870" s="17"/>
      <c r="Q2870" s="18"/>
      <c r="R2870" s="14"/>
      <c r="S2870" s="14">
        <v>1</v>
      </c>
    </row>
    <row r="2871" spans="2:19" ht="20.25" hidden="1" customHeight="1">
      <c r="B2871" s="17"/>
      <c r="Q2871" s="18"/>
      <c r="R2871" s="14"/>
      <c r="S2871" s="14">
        <v>1</v>
      </c>
    </row>
    <row r="2872" spans="2:19" ht="20.25" hidden="1" customHeight="1">
      <c r="B2872" s="17"/>
      <c r="Q2872" s="18"/>
      <c r="R2872" s="14"/>
      <c r="S2872" s="14">
        <v>1</v>
      </c>
    </row>
    <row r="2873" spans="2:19" ht="20.25" hidden="1" customHeight="1">
      <c r="B2873" s="17"/>
      <c r="Q2873" s="18"/>
      <c r="R2873" s="14"/>
      <c r="S2873" s="14">
        <v>1</v>
      </c>
    </row>
    <row r="2874" spans="2:19" ht="20.25" hidden="1" customHeight="1">
      <c r="B2874" s="17"/>
      <c r="Q2874" s="18"/>
      <c r="R2874" s="14"/>
      <c r="S2874" s="14">
        <v>1</v>
      </c>
    </row>
    <row r="2875" spans="2:19" ht="20.25" hidden="1" customHeight="1">
      <c r="B2875" s="17"/>
      <c r="Q2875" s="18"/>
      <c r="R2875" s="14"/>
      <c r="S2875" s="14">
        <v>1</v>
      </c>
    </row>
    <row r="2876" spans="2:19" ht="20.25" hidden="1" customHeight="1">
      <c r="B2876" s="17"/>
      <c r="Q2876" s="18"/>
      <c r="R2876" s="14"/>
      <c r="S2876" s="14">
        <v>1</v>
      </c>
    </row>
    <row r="2877" spans="2:19" ht="20.25" hidden="1" customHeight="1">
      <c r="B2877" s="17"/>
      <c r="Q2877" s="18"/>
      <c r="R2877" s="14"/>
      <c r="S2877" s="14">
        <v>1</v>
      </c>
    </row>
    <row r="2878" spans="2:19" ht="20.25" hidden="1" customHeight="1">
      <c r="B2878" s="17"/>
      <c r="Q2878" s="18"/>
      <c r="R2878" s="14"/>
      <c r="S2878" s="14">
        <v>1</v>
      </c>
    </row>
    <row r="2879" spans="2:19" ht="20.25" hidden="1" customHeight="1">
      <c r="B2879" s="17"/>
      <c r="Q2879" s="18"/>
      <c r="R2879" s="14"/>
      <c r="S2879" s="14">
        <v>1</v>
      </c>
    </row>
    <row r="2880" spans="2:19" ht="20.25" hidden="1" customHeight="1">
      <c r="B2880" s="17"/>
      <c r="Q2880" s="18"/>
      <c r="R2880" s="14"/>
      <c r="S2880" s="14">
        <v>1</v>
      </c>
    </row>
    <row r="2881" spans="2:19" ht="20.25" hidden="1" customHeight="1">
      <c r="B2881" s="17"/>
      <c r="Q2881" s="18"/>
      <c r="R2881" s="14"/>
      <c r="S2881" s="14">
        <v>1</v>
      </c>
    </row>
    <row r="2882" spans="2:19" ht="20.25" hidden="1" customHeight="1">
      <c r="B2882" s="17"/>
      <c r="Q2882" s="18"/>
      <c r="R2882" s="14"/>
      <c r="S2882" s="14">
        <v>1</v>
      </c>
    </row>
    <row r="2883" spans="2:19" ht="20.25" hidden="1" customHeight="1">
      <c r="B2883" s="17"/>
      <c r="Q2883" s="18"/>
      <c r="R2883" s="14"/>
      <c r="S2883" s="14">
        <v>1</v>
      </c>
    </row>
    <row r="2884" spans="2:19" ht="20.25" hidden="1" customHeight="1">
      <c r="B2884" s="17"/>
      <c r="Q2884" s="18"/>
      <c r="R2884" s="14"/>
      <c r="S2884" s="14">
        <v>1</v>
      </c>
    </row>
    <row r="2885" spans="2:19" ht="20.25" hidden="1" customHeight="1">
      <c r="B2885" s="17"/>
      <c r="Q2885" s="18"/>
      <c r="R2885" s="14"/>
      <c r="S2885" s="14">
        <v>1</v>
      </c>
    </row>
    <row r="2886" spans="2:19" ht="20.25" hidden="1" customHeight="1">
      <c r="B2886" s="17"/>
      <c r="Q2886" s="18"/>
      <c r="R2886" s="14"/>
      <c r="S2886" s="14">
        <v>1</v>
      </c>
    </row>
    <row r="2887" spans="2:19" ht="20.25" hidden="1" customHeight="1">
      <c r="B2887" s="17"/>
      <c r="Q2887" s="18"/>
      <c r="R2887" s="14"/>
      <c r="S2887" s="14">
        <v>1</v>
      </c>
    </row>
    <row r="2888" spans="2:19" ht="20.25" hidden="1" customHeight="1">
      <c r="B2888" s="17"/>
      <c r="Q2888" s="18"/>
      <c r="R2888" s="14"/>
      <c r="S2888" s="14">
        <v>1</v>
      </c>
    </row>
    <row r="2889" spans="2:19" ht="20.25" hidden="1" customHeight="1">
      <c r="B2889" s="17"/>
      <c r="Q2889" s="18"/>
      <c r="R2889" s="14"/>
      <c r="S2889" s="14">
        <v>1</v>
      </c>
    </row>
    <row r="2890" spans="2:19" ht="20.25" hidden="1" customHeight="1">
      <c r="B2890" s="17"/>
      <c r="Q2890" s="18"/>
      <c r="R2890" s="14"/>
      <c r="S2890" s="14">
        <v>1</v>
      </c>
    </row>
    <row r="2891" spans="2:19" ht="20.25" hidden="1" customHeight="1">
      <c r="B2891" s="17"/>
      <c r="Q2891" s="18"/>
      <c r="R2891" s="14"/>
      <c r="S2891" s="14">
        <v>1</v>
      </c>
    </row>
    <row r="2892" spans="2:19" ht="20.25" hidden="1" customHeight="1">
      <c r="B2892" s="17"/>
      <c r="Q2892" s="18"/>
      <c r="R2892" s="14"/>
      <c r="S2892" s="14">
        <v>1</v>
      </c>
    </row>
    <row r="2893" spans="2:19" ht="20.25" hidden="1" customHeight="1">
      <c r="B2893" s="17"/>
      <c r="Q2893" s="18"/>
      <c r="R2893" s="14"/>
      <c r="S2893" s="14">
        <v>1</v>
      </c>
    </row>
    <row r="2894" spans="2:19" ht="20.25" hidden="1" customHeight="1">
      <c r="B2894" s="17"/>
      <c r="Q2894" s="18"/>
      <c r="R2894" s="14"/>
      <c r="S2894" s="14">
        <v>1</v>
      </c>
    </row>
    <row r="2895" spans="2:19" ht="20.25" hidden="1" customHeight="1">
      <c r="B2895" s="17"/>
      <c r="Q2895" s="18"/>
      <c r="R2895" s="14"/>
      <c r="S2895" s="14">
        <v>1</v>
      </c>
    </row>
    <row r="2896" spans="2:19" ht="20.25" hidden="1" customHeight="1">
      <c r="B2896" s="17"/>
      <c r="Q2896" s="18"/>
      <c r="R2896" s="14"/>
      <c r="S2896" s="14">
        <v>1</v>
      </c>
    </row>
    <row r="2897" spans="2:19" ht="20.25" hidden="1" customHeight="1">
      <c r="B2897" s="17"/>
      <c r="Q2897" s="18"/>
      <c r="R2897" s="14"/>
      <c r="S2897" s="14">
        <v>1</v>
      </c>
    </row>
    <row r="2898" spans="2:19" ht="20.25" hidden="1" customHeight="1">
      <c r="B2898" s="17"/>
      <c r="Q2898" s="18"/>
      <c r="R2898" s="14"/>
      <c r="S2898" s="14">
        <v>1</v>
      </c>
    </row>
    <row r="2899" spans="2:19" ht="20.25" hidden="1" customHeight="1">
      <c r="B2899" s="17"/>
      <c r="Q2899" s="18"/>
      <c r="R2899" s="14"/>
      <c r="S2899" s="14">
        <v>1</v>
      </c>
    </row>
    <row r="2900" spans="2:19" ht="20.25" hidden="1" customHeight="1">
      <c r="B2900" s="17"/>
      <c r="Q2900" s="18"/>
      <c r="R2900" s="14"/>
      <c r="S2900" s="14">
        <v>1</v>
      </c>
    </row>
    <row r="2901" spans="2:19" ht="20.25" hidden="1" customHeight="1">
      <c r="B2901" s="17"/>
      <c r="Q2901" s="18"/>
      <c r="R2901" s="14"/>
      <c r="S2901" s="14">
        <v>1</v>
      </c>
    </row>
    <row r="2902" spans="2:19" ht="20.25" hidden="1" customHeight="1">
      <c r="B2902" s="17"/>
      <c r="Q2902" s="18"/>
      <c r="R2902" s="14"/>
      <c r="S2902" s="14">
        <v>1</v>
      </c>
    </row>
    <row r="2903" spans="2:19" ht="20.25" hidden="1" customHeight="1">
      <c r="B2903" s="17"/>
      <c r="Q2903" s="18"/>
      <c r="R2903" s="14"/>
      <c r="S2903" s="14">
        <v>1</v>
      </c>
    </row>
    <row r="2904" spans="2:19" ht="20.25" hidden="1" customHeight="1">
      <c r="B2904" s="17"/>
      <c r="Q2904" s="18"/>
      <c r="R2904" s="14"/>
      <c r="S2904" s="14">
        <v>1</v>
      </c>
    </row>
    <row r="2905" spans="2:19" ht="20.25" hidden="1" customHeight="1">
      <c r="B2905" s="17"/>
      <c r="Q2905" s="18"/>
      <c r="R2905" s="14"/>
      <c r="S2905" s="14">
        <v>1</v>
      </c>
    </row>
    <row r="2906" spans="2:19" ht="20.25" hidden="1" customHeight="1">
      <c r="B2906" s="17"/>
      <c r="Q2906" s="18"/>
      <c r="R2906" s="14"/>
      <c r="S2906" s="14">
        <v>1</v>
      </c>
    </row>
    <row r="2907" spans="2:19" ht="20.25" hidden="1" customHeight="1">
      <c r="B2907" s="17"/>
      <c r="Q2907" s="18"/>
      <c r="R2907" s="14"/>
      <c r="S2907" s="14">
        <v>1</v>
      </c>
    </row>
    <row r="2908" spans="2:19" ht="20.25" hidden="1" customHeight="1">
      <c r="B2908" s="17"/>
      <c r="Q2908" s="18"/>
      <c r="R2908" s="14"/>
      <c r="S2908" s="14">
        <v>1</v>
      </c>
    </row>
    <row r="2909" spans="2:19" ht="20.25" hidden="1" customHeight="1">
      <c r="B2909" s="17"/>
      <c r="Q2909" s="18"/>
      <c r="R2909" s="14"/>
      <c r="S2909" s="14">
        <v>1</v>
      </c>
    </row>
    <row r="2910" spans="2:19" ht="20.25" hidden="1" customHeight="1">
      <c r="B2910" s="17"/>
      <c r="Q2910" s="18"/>
      <c r="R2910" s="14"/>
      <c r="S2910" s="14">
        <v>1</v>
      </c>
    </row>
    <row r="2911" spans="2:19" ht="20.25" hidden="1" customHeight="1">
      <c r="B2911" s="17"/>
      <c r="Q2911" s="18"/>
      <c r="R2911" s="14"/>
      <c r="S2911" s="14">
        <v>1</v>
      </c>
    </row>
    <row r="2912" spans="2:19" ht="20.25" hidden="1" customHeight="1">
      <c r="B2912" s="17"/>
      <c r="Q2912" s="18"/>
      <c r="R2912" s="14"/>
      <c r="S2912" s="14">
        <v>1</v>
      </c>
    </row>
    <row r="2913" spans="2:19" ht="20.25" hidden="1" customHeight="1">
      <c r="B2913" s="17"/>
      <c r="Q2913" s="18"/>
      <c r="R2913" s="14"/>
      <c r="S2913" s="14">
        <v>1</v>
      </c>
    </row>
    <row r="2914" spans="2:19" ht="20.25" hidden="1" customHeight="1">
      <c r="B2914" s="17"/>
      <c r="Q2914" s="18"/>
      <c r="R2914" s="14"/>
      <c r="S2914" s="14">
        <v>1</v>
      </c>
    </row>
    <row r="2915" spans="2:19" ht="20.25" hidden="1" customHeight="1">
      <c r="B2915" s="17"/>
      <c r="Q2915" s="18"/>
      <c r="R2915" s="14"/>
      <c r="S2915" s="14">
        <v>1</v>
      </c>
    </row>
    <row r="2916" spans="2:19" ht="20.25" hidden="1" customHeight="1">
      <c r="B2916" s="17"/>
      <c r="Q2916" s="18"/>
      <c r="R2916" s="14"/>
      <c r="S2916" s="14">
        <v>1</v>
      </c>
    </row>
    <row r="2917" spans="2:19" ht="20.25" hidden="1" customHeight="1">
      <c r="B2917" s="17"/>
      <c r="Q2917" s="18"/>
      <c r="R2917" s="14"/>
      <c r="S2917" s="14">
        <v>1</v>
      </c>
    </row>
    <row r="2918" spans="2:19" ht="20.25" hidden="1" customHeight="1">
      <c r="B2918" s="17"/>
      <c r="Q2918" s="18"/>
      <c r="R2918" s="14"/>
      <c r="S2918" s="14">
        <v>1</v>
      </c>
    </row>
    <row r="2919" spans="2:19" ht="20.25" hidden="1" customHeight="1">
      <c r="B2919" s="17"/>
      <c r="Q2919" s="18"/>
      <c r="R2919" s="14"/>
      <c r="S2919" s="14">
        <v>1</v>
      </c>
    </row>
    <row r="2920" spans="2:19" ht="20.25" hidden="1" customHeight="1">
      <c r="B2920" s="17"/>
      <c r="Q2920" s="18"/>
      <c r="R2920" s="14"/>
      <c r="S2920" s="14">
        <v>1</v>
      </c>
    </row>
    <row r="2921" spans="2:19" ht="20.25" hidden="1" customHeight="1">
      <c r="B2921" s="17"/>
      <c r="Q2921" s="18"/>
      <c r="R2921" s="14"/>
      <c r="S2921" s="14">
        <v>1</v>
      </c>
    </row>
    <row r="2922" spans="2:19" ht="20.25" hidden="1" customHeight="1">
      <c r="B2922" s="17"/>
      <c r="Q2922" s="18"/>
      <c r="R2922" s="14"/>
      <c r="S2922" s="14">
        <v>1</v>
      </c>
    </row>
    <row r="2923" spans="2:19" ht="20.25" hidden="1" customHeight="1">
      <c r="B2923" s="17"/>
      <c r="Q2923" s="18"/>
      <c r="R2923" s="14"/>
      <c r="S2923" s="14">
        <v>1</v>
      </c>
    </row>
    <row r="2924" spans="2:19" ht="20.25" hidden="1" customHeight="1">
      <c r="B2924" s="17"/>
      <c r="Q2924" s="18"/>
      <c r="R2924" s="14"/>
      <c r="S2924" s="14">
        <v>1</v>
      </c>
    </row>
    <row r="2925" spans="2:19" ht="20.25" hidden="1" customHeight="1">
      <c r="B2925" s="17"/>
      <c r="Q2925" s="18"/>
      <c r="R2925" s="14"/>
      <c r="S2925" s="14">
        <v>1</v>
      </c>
    </row>
    <row r="2926" spans="2:19" ht="20.25" hidden="1" customHeight="1">
      <c r="B2926" s="17"/>
      <c r="Q2926" s="18"/>
      <c r="R2926" s="14"/>
      <c r="S2926" s="14">
        <v>1</v>
      </c>
    </row>
    <row r="2927" spans="2:19" ht="20.25" hidden="1" customHeight="1">
      <c r="B2927" s="17"/>
      <c r="Q2927" s="18"/>
      <c r="R2927" s="14"/>
      <c r="S2927" s="14">
        <v>1</v>
      </c>
    </row>
    <row r="2928" spans="2:19" ht="20.25" hidden="1" customHeight="1">
      <c r="B2928" s="17"/>
      <c r="Q2928" s="18"/>
      <c r="R2928" s="14"/>
      <c r="S2928" s="14">
        <v>1</v>
      </c>
    </row>
    <row r="2929" spans="2:19" ht="20.25" hidden="1" customHeight="1">
      <c r="B2929" s="17"/>
      <c r="Q2929" s="18"/>
      <c r="R2929" s="14"/>
      <c r="S2929" s="14">
        <v>1</v>
      </c>
    </row>
    <row r="2930" spans="2:19" ht="20.25" hidden="1" customHeight="1">
      <c r="B2930" s="17"/>
      <c r="Q2930" s="18"/>
      <c r="R2930" s="14"/>
      <c r="S2930" s="14">
        <v>1</v>
      </c>
    </row>
    <row r="2931" spans="2:19" ht="20.25" hidden="1" customHeight="1">
      <c r="B2931" s="17"/>
      <c r="Q2931" s="18"/>
      <c r="R2931" s="14"/>
      <c r="S2931" s="14">
        <v>1</v>
      </c>
    </row>
    <row r="2932" spans="2:19" ht="20.25" hidden="1" customHeight="1">
      <c r="B2932" s="17"/>
      <c r="Q2932" s="18"/>
      <c r="R2932" s="14"/>
      <c r="S2932" s="14">
        <v>1</v>
      </c>
    </row>
    <row r="2933" spans="2:19" ht="20.25" hidden="1" customHeight="1">
      <c r="B2933" s="17"/>
      <c r="Q2933" s="18"/>
      <c r="R2933" s="14"/>
      <c r="S2933" s="14">
        <v>1</v>
      </c>
    </row>
    <row r="2934" spans="2:19" ht="20.25" hidden="1" customHeight="1">
      <c r="B2934" s="17"/>
      <c r="Q2934" s="18"/>
      <c r="R2934" s="14"/>
      <c r="S2934" s="14">
        <v>1</v>
      </c>
    </row>
    <row r="2935" spans="2:19" ht="20.25" hidden="1" customHeight="1">
      <c r="B2935" s="17"/>
      <c r="Q2935" s="18"/>
      <c r="R2935" s="14"/>
      <c r="S2935" s="14">
        <v>1</v>
      </c>
    </row>
    <row r="2936" spans="2:19" ht="20.25" hidden="1" customHeight="1">
      <c r="B2936" s="17"/>
      <c r="Q2936" s="18"/>
      <c r="R2936" s="14"/>
      <c r="S2936" s="14">
        <v>1</v>
      </c>
    </row>
    <row r="2937" spans="2:19" ht="20.25" hidden="1" customHeight="1">
      <c r="B2937" s="17"/>
      <c r="Q2937" s="18"/>
      <c r="R2937" s="14"/>
      <c r="S2937" s="14">
        <v>1</v>
      </c>
    </row>
    <row r="2938" spans="2:19" ht="20.25" hidden="1" customHeight="1">
      <c r="B2938" s="17"/>
      <c r="Q2938" s="18"/>
      <c r="R2938" s="14"/>
      <c r="S2938" s="14">
        <v>1</v>
      </c>
    </row>
    <row r="2939" spans="2:19" ht="20.25" hidden="1" customHeight="1">
      <c r="B2939" s="17"/>
      <c r="Q2939" s="18"/>
      <c r="R2939" s="14"/>
      <c r="S2939" s="14">
        <v>1</v>
      </c>
    </row>
    <row r="2940" spans="2:19" ht="20.25" hidden="1" customHeight="1">
      <c r="B2940" s="17"/>
      <c r="Q2940" s="18"/>
      <c r="R2940" s="14"/>
      <c r="S2940" s="14">
        <v>1</v>
      </c>
    </row>
    <row r="2941" spans="2:19" ht="20.25" hidden="1" customHeight="1">
      <c r="B2941" s="17"/>
      <c r="Q2941" s="18"/>
      <c r="R2941" s="14"/>
      <c r="S2941" s="14">
        <v>1</v>
      </c>
    </row>
    <row r="2942" spans="2:19" ht="20.25" hidden="1" customHeight="1">
      <c r="B2942" s="17"/>
      <c r="Q2942" s="18"/>
      <c r="R2942" s="14"/>
      <c r="S2942" s="14">
        <v>1</v>
      </c>
    </row>
    <row r="2943" spans="2:19" ht="20.25" hidden="1" customHeight="1">
      <c r="B2943" s="17"/>
      <c r="Q2943" s="18"/>
      <c r="R2943" s="14"/>
      <c r="S2943" s="14">
        <v>1</v>
      </c>
    </row>
    <row r="2944" spans="2:19" ht="20.25" hidden="1" customHeight="1">
      <c r="B2944" s="17"/>
      <c r="Q2944" s="18"/>
      <c r="R2944" s="14"/>
      <c r="S2944" s="14">
        <v>1</v>
      </c>
    </row>
    <row r="2945" spans="2:19" ht="20.25" hidden="1" customHeight="1">
      <c r="B2945" s="17"/>
      <c r="Q2945" s="18"/>
      <c r="R2945" s="14"/>
      <c r="S2945" s="14">
        <v>1</v>
      </c>
    </row>
    <row r="2946" spans="2:19" ht="20.25" hidden="1" customHeight="1">
      <c r="B2946" s="17"/>
      <c r="Q2946" s="18"/>
      <c r="R2946" s="14"/>
      <c r="S2946" s="14">
        <v>1</v>
      </c>
    </row>
    <row r="2947" spans="2:19" ht="20.25" hidden="1" customHeight="1">
      <c r="B2947" s="17"/>
      <c r="Q2947" s="18"/>
      <c r="R2947" s="14"/>
      <c r="S2947" s="14">
        <v>1</v>
      </c>
    </row>
    <row r="2948" spans="2:19" ht="20.25" hidden="1" customHeight="1">
      <c r="B2948" s="17"/>
      <c r="Q2948" s="18"/>
      <c r="R2948" s="14"/>
      <c r="S2948" s="14">
        <v>1</v>
      </c>
    </row>
    <row r="2949" spans="2:19" ht="20.25" hidden="1" customHeight="1">
      <c r="B2949" s="17"/>
      <c r="Q2949" s="18"/>
      <c r="R2949" s="14"/>
      <c r="S2949" s="14">
        <v>1</v>
      </c>
    </row>
    <row r="2950" spans="2:19" ht="20.25" hidden="1" customHeight="1">
      <c r="B2950" s="17"/>
      <c r="Q2950" s="18"/>
      <c r="R2950" s="14"/>
      <c r="S2950" s="14">
        <v>1</v>
      </c>
    </row>
    <row r="2951" spans="2:19" ht="20.25" hidden="1" customHeight="1">
      <c r="B2951" s="17"/>
      <c r="Q2951" s="18"/>
      <c r="R2951" s="14"/>
      <c r="S2951" s="14">
        <v>1</v>
      </c>
    </row>
    <row r="2952" spans="2:19" ht="20.25" hidden="1" customHeight="1">
      <c r="B2952" s="17"/>
      <c r="Q2952" s="18"/>
      <c r="R2952" s="14"/>
      <c r="S2952" s="14">
        <v>1</v>
      </c>
    </row>
    <row r="2953" spans="2:19" ht="20.25" hidden="1" customHeight="1">
      <c r="B2953" s="17"/>
      <c r="Q2953" s="18"/>
      <c r="R2953" s="14"/>
      <c r="S2953" s="14">
        <v>1</v>
      </c>
    </row>
    <row r="2954" spans="2:19" ht="20.25" hidden="1" customHeight="1">
      <c r="B2954" s="17"/>
      <c r="Q2954" s="18"/>
      <c r="R2954" s="14"/>
      <c r="S2954" s="14">
        <v>1</v>
      </c>
    </row>
    <row r="2955" spans="2:19" ht="20.25" hidden="1" customHeight="1">
      <c r="B2955" s="17"/>
      <c r="Q2955" s="18"/>
      <c r="R2955" s="14"/>
      <c r="S2955" s="14">
        <v>1</v>
      </c>
    </row>
    <row r="2956" spans="2:19" ht="20.25" hidden="1" customHeight="1">
      <c r="B2956" s="17"/>
      <c r="Q2956" s="18"/>
      <c r="R2956" s="14"/>
      <c r="S2956" s="14">
        <v>1</v>
      </c>
    </row>
    <row r="2957" spans="2:19" ht="20.25" hidden="1" customHeight="1">
      <c r="B2957" s="17"/>
      <c r="Q2957" s="18"/>
      <c r="R2957" s="14"/>
      <c r="S2957" s="14">
        <v>1</v>
      </c>
    </row>
    <row r="2958" spans="2:19" ht="20.25" hidden="1" customHeight="1">
      <c r="B2958" s="17"/>
      <c r="Q2958" s="18"/>
      <c r="R2958" s="14"/>
      <c r="S2958" s="14">
        <v>1</v>
      </c>
    </row>
    <row r="2959" spans="2:19" ht="20.25" hidden="1" customHeight="1">
      <c r="B2959" s="17"/>
      <c r="Q2959" s="18"/>
      <c r="R2959" s="14"/>
      <c r="S2959" s="14">
        <v>1</v>
      </c>
    </row>
    <row r="2960" spans="2:19" ht="20.25" hidden="1" customHeight="1">
      <c r="B2960" s="17"/>
      <c r="Q2960" s="18"/>
      <c r="R2960" s="14"/>
      <c r="S2960" s="14">
        <v>1</v>
      </c>
    </row>
    <row r="2961" spans="2:19" ht="20.25" hidden="1" customHeight="1">
      <c r="B2961" s="17"/>
      <c r="Q2961" s="18"/>
      <c r="R2961" s="14"/>
      <c r="S2961" s="14">
        <v>1</v>
      </c>
    </row>
    <row r="2962" spans="2:19" ht="20.25" hidden="1" customHeight="1">
      <c r="B2962" s="17"/>
      <c r="Q2962" s="18"/>
      <c r="R2962" s="14"/>
      <c r="S2962" s="14">
        <v>1</v>
      </c>
    </row>
    <row r="2963" spans="2:19" ht="20.25" hidden="1" customHeight="1">
      <c r="B2963" s="17"/>
      <c r="Q2963" s="18"/>
      <c r="R2963" s="14"/>
      <c r="S2963" s="14">
        <v>1</v>
      </c>
    </row>
    <row r="2964" spans="2:19" ht="20.25" hidden="1" customHeight="1">
      <c r="B2964" s="17"/>
      <c r="Q2964" s="18"/>
      <c r="R2964" s="14"/>
      <c r="S2964" s="14">
        <v>1</v>
      </c>
    </row>
    <row r="2965" spans="2:19" ht="20.25" hidden="1" customHeight="1">
      <c r="B2965" s="17"/>
      <c r="Q2965" s="18"/>
      <c r="R2965" s="14"/>
      <c r="S2965" s="14">
        <v>1</v>
      </c>
    </row>
    <row r="2966" spans="2:19" ht="20.25" hidden="1" customHeight="1">
      <c r="B2966" s="17"/>
      <c r="Q2966" s="18"/>
      <c r="R2966" s="14"/>
      <c r="S2966" s="14">
        <v>1</v>
      </c>
    </row>
    <row r="2967" spans="2:19" ht="20.25" hidden="1" customHeight="1">
      <c r="B2967" s="17"/>
      <c r="Q2967" s="18"/>
      <c r="R2967" s="14"/>
      <c r="S2967" s="14">
        <v>1</v>
      </c>
    </row>
    <row r="2968" spans="2:19" ht="20.25" hidden="1" customHeight="1">
      <c r="B2968" s="17"/>
      <c r="Q2968" s="18"/>
      <c r="R2968" s="14"/>
      <c r="S2968" s="14">
        <v>1</v>
      </c>
    </row>
    <row r="2969" spans="2:19" ht="20.25" hidden="1" customHeight="1">
      <c r="B2969" s="17"/>
      <c r="Q2969" s="18"/>
      <c r="R2969" s="14"/>
      <c r="S2969" s="14">
        <v>1</v>
      </c>
    </row>
    <row r="2970" spans="2:19" ht="20.25" hidden="1" customHeight="1">
      <c r="B2970" s="17"/>
      <c r="Q2970" s="18"/>
      <c r="R2970" s="14"/>
      <c r="S2970" s="14">
        <v>1</v>
      </c>
    </row>
    <row r="2971" spans="2:19" ht="20.25" hidden="1" customHeight="1">
      <c r="B2971" s="17"/>
      <c r="Q2971" s="18"/>
      <c r="R2971" s="14"/>
      <c r="S2971" s="14">
        <v>1</v>
      </c>
    </row>
    <row r="2972" spans="2:19" ht="20.25" hidden="1" customHeight="1">
      <c r="B2972" s="17"/>
      <c r="Q2972" s="18"/>
      <c r="R2972" s="14"/>
      <c r="S2972" s="14">
        <v>1</v>
      </c>
    </row>
    <row r="2973" spans="2:19" ht="20.25" hidden="1" customHeight="1">
      <c r="B2973" s="17"/>
      <c r="Q2973" s="18"/>
      <c r="R2973" s="14"/>
      <c r="S2973" s="14">
        <v>1</v>
      </c>
    </row>
    <row r="2974" spans="2:19" ht="20.25" hidden="1" customHeight="1">
      <c r="B2974" s="17"/>
      <c r="Q2974" s="18"/>
      <c r="R2974" s="14"/>
      <c r="S2974" s="14">
        <v>1</v>
      </c>
    </row>
    <row r="2975" spans="2:19" ht="20.25" hidden="1" customHeight="1">
      <c r="B2975" s="17"/>
      <c r="Q2975" s="18"/>
      <c r="R2975" s="14"/>
      <c r="S2975" s="14">
        <v>1</v>
      </c>
    </row>
    <row r="2976" spans="2:19" ht="20.25" hidden="1" customHeight="1">
      <c r="B2976" s="17"/>
      <c r="Q2976" s="18"/>
      <c r="R2976" s="14"/>
      <c r="S2976" s="14">
        <v>1</v>
      </c>
    </row>
    <row r="2977" spans="2:19" ht="20.25" hidden="1" customHeight="1">
      <c r="B2977" s="17"/>
      <c r="Q2977" s="18"/>
      <c r="R2977" s="14"/>
      <c r="S2977" s="14">
        <v>1</v>
      </c>
    </row>
    <row r="2978" spans="2:19" ht="20.25" hidden="1" customHeight="1">
      <c r="B2978" s="17"/>
      <c r="Q2978" s="18"/>
      <c r="R2978" s="14"/>
      <c r="S2978" s="14">
        <v>1</v>
      </c>
    </row>
    <row r="2979" spans="2:19" ht="20.25" hidden="1" customHeight="1">
      <c r="B2979" s="17"/>
      <c r="Q2979" s="18"/>
      <c r="R2979" s="14"/>
      <c r="S2979" s="14">
        <v>1</v>
      </c>
    </row>
    <row r="2980" spans="2:19" ht="20.25" hidden="1" customHeight="1">
      <c r="B2980" s="17"/>
      <c r="Q2980" s="18"/>
      <c r="R2980" s="14"/>
      <c r="S2980" s="14">
        <v>1</v>
      </c>
    </row>
    <row r="2981" spans="2:19" ht="20.25" hidden="1" customHeight="1">
      <c r="B2981" s="17"/>
      <c r="Q2981" s="18"/>
      <c r="R2981" s="14"/>
      <c r="S2981" s="14">
        <v>1</v>
      </c>
    </row>
    <row r="2982" spans="2:19" ht="20.25" hidden="1" customHeight="1">
      <c r="B2982" s="17"/>
      <c r="Q2982" s="18"/>
      <c r="R2982" s="14"/>
      <c r="S2982" s="14">
        <v>1</v>
      </c>
    </row>
    <row r="2983" spans="2:19" ht="20.25" hidden="1" customHeight="1">
      <c r="B2983" s="17"/>
      <c r="Q2983" s="18"/>
      <c r="R2983" s="14"/>
      <c r="S2983" s="14">
        <v>1</v>
      </c>
    </row>
    <row r="2984" spans="2:19" ht="20.25" hidden="1" customHeight="1">
      <c r="B2984" s="17"/>
      <c r="Q2984" s="18"/>
      <c r="R2984" s="14"/>
      <c r="S2984" s="14">
        <v>1</v>
      </c>
    </row>
    <row r="2985" spans="2:19" ht="20.25" hidden="1" customHeight="1">
      <c r="B2985" s="17"/>
      <c r="Q2985" s="18"/>
      <c r="R2985" s="14"/>
      <c r="S2985" s="14">
        <v>1</v>
      </c>
    </row>
    <row r="2986" spans="2:19" ht="20.25" hidden="1" customHeight="1">
      <c r="B2986" s="17"/>
      <c r="Q2986" s="18"/>
      <c r="R2986" s="14"/>
      <c r="S2986" s="14">
        <v>1</v>
      </c>
    </row>
    <row r="2987" spans="2:19" ht="20.25" hidden="1" customHeight="1">
      <c r="B2987" s="17"/>
      <c r="Q2987" s="18"/>
      <c r="R2987" s="14"/>
      <c r="S2987" s="14">
        <v>1</v>
      </c>
    </row>
    <row r="2988" spans="2:19" ht="20.25" hidden="1" customHeight="1">
      <c r="B2988" s="17"/>
      <c r="Q2988" s="18"/>
      <c r="R2988" s="14"/>
      <c r="S2988" s="14">
        <v>1</v>
      </c>
    </row>
    <row r="2989" spans="2:19" ht="20.25" hidden="1" customHeight="1">
      <c r="B2989" s="17"/>
      <c r="Q2989" s="18"/>
      <c r="R2989" s="14"/>
      <c r="S2989" s="14">
        <v>1</v>
      </c>
    </row>
    <row r="2990" spans="2:19" ht="20.25" hidden="1" customHeight="1">
      <c r="B2990" s="17"/>
      <c r="Q2990" s="18"/>
      <c r="R2990" s="14"/>
      <c r="S2990" s="14">
        <v>1</v>
      </c>
    </row>
    <row r="2991" spans="2:19" ht="20.25" hidden="1" customHeight="1">
      <c r="B2991" s="17"/>
      <c r="Q2991" s="18"/>
      <c r="R2991" s="14"/>
      <c r="S2991" s="14">
        <v>1</v>
      </c>
    </row>
    <row r="2992" spans="2:19" ht="20.25" hidden="1" customHeight="1">
      <c r="B2992" s="17"/>
      <c r="Q2992" s="18"/>
      <c r="R2992" s="14"/>
      <c r="S2992" s="14">
        <v>1</v>
      </c>
    </row>
    <row r="2993" spans="2:19" ht="20.25" hidden="1" customHeight="1">
      <c r="B2993" s="17"/>
      <c r="Q2993" s="18"/>
      <c r="R2993" s="14"/>
      <c r="S2993" s="14">
        <v>1</v>
      </c>
    </row>
    <row r="2994" spans="2:19" ht="20.25" hidden="1" customHeight="1">
      <c r="B2994" s="17"/>
      <c r="Q2994" s="18"/>
      <c r="R2994" s="14"/>
      <c r="S2994" s="14">
        <v>1</v>
      </c>
    </row>
    <row r="2995" spans="2:19" ht="20.25" hidden="1" customHeight="1">
      <c r="B2995" s="17"/>
      <c r="Q2995" s="18"/>
      <c r="R2995" s="14"/>
      <c r="S2995" s="14">
        <v>1</v>
      </c>
    </row>
    <row r="2996" spans="2:19" ht="20.25" hidden="1" customHeight="1">
      <c r="B2996" s="17"/>
      <c r="Q2996" s="18"/>
      <c r="R2996" s="14"/>
      <c r="S2996" s="14">
        <v>1</v>
      </c>
    </row>
    <row r="2997" spans="2:19" ht="20.25" hidden="1" customHeight="1">
      <c r="B2997" s="17"/>
      <c r="Q2997" s="18"/>
      <c r="R2997" s="14"/>
      <c r="S2997" s="14">
        <v>1</v>
      </c>
    </row>
    <row r="2998" spans="2:19" ht="20.25" hidden="1" customHeight="1">
      <c r="B2998" s="17"/>
      <c r="Q2998" s="18"/>
      <c r="R2998" s="14"/>
      <c r="S2998" s="14">
        <v>1</v>
      </c>
    </row>
    <row r="2999" spans="2:19" ht="20.25" hidden="1" customHeight="1">
      <c r="B2999" s="17"/>
      <c r="Q2999" s="18"/>
      <c r="R2999" s="14"/>
      <c r="S2999" s="14">
        <v>1</v>
      </c>
    </row>
    <row r="3000" spans="2:19" ht="20.25" hidden="1" customHeight="1">
      <c r="B3000" s="17"/>
      <c r="Q3000" s="18"/>
      <c r="R3000" s="14"/>
      <c r="S3000" s="14">
        <v>1</v>
      </c>
    </row>
    <row r="3001" spans="2:19" ht="20.25" hidden="1" customHeight="1">
      <c r="B3001" s="17"/>
      <c r="Q3001" s="18"/>
      <c r="R3001" s="14"/>
      <c r="S3001" s="14">
        <v>1</v>
      </c>
    </row>
    <row r="3002" spans="2:19" ht="20.25" hidden="1" customHeight="1">
      <c r="B3002" s="17"/>
      <c r="Q3002" s="18"/>
      <c r="R3002" s="14"/>
      <c r="S3002" s="14">
        <v>1</v>
      </c>
    </row>
    <row r="3003" spans="2:19" ht="20.25" hidden="1" customHeight="1">
      <c r="B3003" s="17"/>
      <c r="Q3003" s="18"/>
      <c r="R3003" s="14"/>
      <c r="S3003" s="14">
        <v>1</v>
      </c>
    </row>
    <row r="3004" spans="2:19" ht="20.25" hidden="1" customHeight="1">
      <c r="B3004" s="17"/>
      <c r="Q3004" s="18"/>
      <c r="R3004" s="14"/>
      <c r="S3004" s="14">
        <v>1</v>
      </c>
    </row>
    <row r="3005" spans="2:19" ht="20.25" hidden="1" customHeight="1">
      <c r="B3005" s="17"/>
      <c r="Q3005" s="18"/>
      <c r="R3005" s="14"/>
      <c r="S3005" s="14">
        <v>1</v>
      </c>
    </row>
    <row r="3006" spans="2:19" ht="20.25" hidden="1" customHeight="1">
      <c r="B3006" s="17"/>
      <c r="Q3006" s="18"/>
      <c r="R3006" s="14"/>
      <c r="S3006" s="14">
        <v>1</v>
      </c>
    </row>
    <row r="3007" spans="2:19" ht="20.25" hidden="1" customHeight="1">
      <c r="B3007" s="17"/>
      <c r="Q3007" s="18"/>
      <c r="R3007" s="14"/>
      <c r="S3007" s="14">
        <v>1</v>
      </c>
    </row>
    <row r="3008" spans="2:19" ht="20.25" hidden="1" customHeight="1">
      <c r="B3008" s="17"/>
      <c r="Q3008" s="18"/>
      <c r="R3008" s="14"/>
      <c r="S3008" s="14">
        <v>1</v>
      </c>
    </row>
    <row r="3009" spans="2:19" ht="20.25" hidden="1" customHeight="1">
      <c r="B3009" s="17"/>
      <c r="Q3009" s="18"/>
      <c r="R3009" s="14"/>
      <c r="S3009" s="14">
        <v>1</v>
      </c>
    </row>
    <row r="3010" spans="2:19" ht="20.25" hidden="1" customHeight="1">
      <c r="B3010" s="17"/>
      <c r="Q3010" s="18"/>
      <c r="R3010" s="14"/>
      <c r="S3010" s="14">
        <v>1</v>
      </c>
    </row>
    <row r="3011" spans="2:19" ht="20.25" hidden="1" customHeight="1">
      <c r="B3011" s="17"/>
      <c r="Q3011" s="18"/>
      <c r="R3011" s="14"/>
      <c r="S3011" s="14">
        <v>1</v>
      </c>
    </row>
    <row r="3012" spans="2:19" ht="20.25" hidden="1" customHeight="1">
      <c r="B3012" s="17"/>
      <c r="Q3012" s="18"/>
      <c r="R3012" s="14"/>
      <c r="S3012" s="14">
        <v>1</v>
      </c>
    </row>
    <row r="3013" spans="2:19" ht="20.25" hidden="1" customHeight="1">
      <c r="B3013" s="17"/>
      <c r="Q3013" s="18"/>
      <c r="R3013" s="14"/>
      <c r="S3013" s="14">
        <v>1</v>
      </c>
    </row>
    <row r="3014" spans="2:19" ht="20.25" hidden="1" customHeight="1">
      <c r="B3014" s="17"/>
      <c r="Q3014" s="18"/>
      <c r="R3014" s="14"/>
      <c r="S3014" s="14">
        <v>1</v>
      </c>
    </row>
    <row r="3015" spans="2:19" ht="20.25" hidden="1" customHeight="1">
      <c r="B3015" s="17"/>
      <c r="Q3015" s="18"/>
      <c r="R3015" s="14"/>
      <c r="S3015" s="14">
        <v>1</v>
      </c>
    </row>
    <row r="3016" spans="2:19" ht="20.25" hidden="1" customHeight="1">
      <c r="B3016" s="17"/>
      <c r="Q3016" s="18"/>
      <c r="R3016" s="14"/>
      <c r="S3016" s="14">
        <v>1</v>
      </c>
    </row>
    <row r="3017" spans="2:19" ht="20.25" hidden="1" customHeight="1">
      <c r="B3017" s="17"/>
      <c r="Q3017" s="18"/>
      <c r="R3017" s="14"/>
      <c r="S3017" s="14">
        <v>1</v>
      </c>
    </row>
    <row r="3018" spans="2:19" ht="20.25" hidden="1" customHeight="1">
      <c r="B3018" s="17"/>
      <c r="Q3018" s="18"/>
      <c r="R3018" s="14"/>
      <c r="S3018" s="14">
        <v>1</v>
      </c>
    </row>
    <row r="3019" spans="2:19" ht="20.25" hidden="1" customHeight="1">
      <c r="B3019" s="17"/>
      <c r="Q3019" s="18"/>
      <c r="R3019" s="14"/>
      <c r="S3019" s="14">
        <v>1</v>
      </c>
    </row>
    <row r="3020" spans="2:19" ht="20.25" hidden="1" customHeight="1">
      <c r="B3020" s="17"/>
      <c r="Q3020" s="18"/>
      <c r="R3020" s="14"/>
      <c r="S3020" s="14">
        <v>1</v>
      </c>
    </row>
    <row r="3021" spans="2:19" ht="20.25" hidden="1" customHeight="1">
      <c r="B3021" s="17"/>
      <c r="Q3021" s="18"/>
      <c r="R3021" s="14"/>
      <c r="S3021" s="14">
        <v>1</v>
      </c>
    </row>
    <row r="3022" spans="2:19" ht="20.25" hidden="1" customHeight="1">
      <c r="B3022" s="17"/>
      <c r="Q3022" s="18"/>
      <c r="R3022" s="14"/>
      <c r="S3022" s="14">
        <v>1</v>
      </c>
    </row>
    <row r="3023" spans="2:19" ht="20.25" hidden="1" customHeight="1">
      <c r="B3023" s="17"/>
      <c r="Q3023" s="18"/>
      <c r="R3023" s="14"/>
      <c r="S3023" s="14">
        <v>1</v>
      </c>
    </row>
    <row r="3024" spans="2:19" ht="20.25" hidden="1" customHeight="1">
      <c r="B3024" s="17"/>
      <c r="Q3024" s="18"/>
      <c r="R3024" s="14"/>
      <c r="S3024" s="14">
        <v>1</v>
      </c>
    </row>
    <row r="3025" spans="2:19" ht="20.25" hidden="1" customHeight="1">
      <c r="B3025" s="17"/>
      <c r="Q3025" s="18"/>
      <c r="R3025" s="14"/>
      <c r="S3025" s="14">
        <v>1</v>
      </c>
    </row>
    <row r="3026" spans="2:19" ht="20.25" hidden="1" customHeight="1">
      <c r="B3026" s="17"/>
      <c r="Q3026" s="18"/>
      <c r="R3026" s="14"/>
      <c r="S3026" s="14">
        <v>1</v>
      </c>
    </row>
    <row r="3027" spans="2:19" ht="20.25" hidden="1" customHeight="1">
      <c r="B3027" s="17"/>
      <c r="Q3027" s="18"/>
      <c r="R3027" s="14"/>
      <c r="S3027" s="14">
        <v>1</v>
      </c>
    </row>
    <row r="3028" spans="2:19" ht="20.25" hidden="1" customHeight="1">
      <c r="B3028" s="17"/>
      <c r="Q3028" s="18"/>
      <c r="R3028" s="14"/>
      <c r="S3028" s="14">
        <v>1</v>
      </c>
    </row>
    <row r="3029" spans="2:19" ht="20.25" hidden="1" customHeight="1">
      <c r="B3029" s="17"/>
      <c r="Q3029" s="18"/>
      <c r="R3029" s="14"/>
      <c r="S3029" s="14">
        <v>1</v>
      </c>
    </row>
    <row r="3030" spans="2:19" ht="20.25" hidden="1" customHeight="1">
      <c r="B3030" s="17"/>
      <c r="Q3030" s="18"/>
      <c r="R3030" s="14"/>
      <c r="S3030" s="14">
        <v>1</v>
      </c>
    </row>
    <row r="3031" spans="2:19" ht="20.25" hidden="1" customHeight="1">
      <c r="B3031" s="17"/>
      <c r="Q3031" s="18"/>
      <c r="R3031" s="14"/>
      <c r="S3031" s="14">
        <v>1</v>
      </c>
    </row>
    <row r="3032" spans="2:19" ht="20.25" hidden="1" customHeight="1">
      <c r="B3032" s="17"/>
      <c r="Q3032" s="18"/>
      <c r="R3032" s="14"/>
      <c r="S3032" s="14">
        <v>1</v>
      </c>
    </row>
    <row r="3033" spans="2:19" ht="20.25" hidden="1" customHeight="1">
      <c r="B3033" s="17"/>
      <c r="Q3033" s="18"/>
      <c r="R3033" s="14"/>
      <c r="S3033" s="14">
        <v>1</v>
      </c>
    </row>
    <row r="3034" spans="2:19" ht="20.25" hidden="1" customHeight="1">
      <c r="B3034" s="17"/>
      <c r="Q3034" s="18"/>
      <c r="R3034" s="14"/>
      <c r="S3034" s="14">
        <v>1</v>
      </c>
    </row>
    <row r="3035" spans="2:19" ht="20.25" hidden="1" customHeight="1">
      <c r="B3035" s="17"/>
      <c r="Q3035" s="18"/>
      <c r="R3035" s="14"/>
      <c r="S3035" s="14">
        <v>1</v>
      </c>
    </row>
    <row r="3036" spans="2:19" ht="20.25" hidden="1" customHeight="1">
      <c r="B3036" s="17"/>
      <c r="Q3036" s="18"/>
      <c r="R3036" s="14"/>
      <c r="S3036" s="14">
        <v>1</v>
      </c>
    </row>
    <row r="3037" spans="2:19" ht="20.25" hidden="1" customHeight="1">
      <c r="B3037" s="17"/>
      <c r="Q3037" s="18"/>
      <c r="R3037" s="14"/>
      <c r="S3037" s="14">
        <v>1</v>
      </c>
    </row>
    <row r="3038" spans="2:19" ht="20.25" hidden="1" customHeight="1">
      <c r="B3038" s="17"/>
      <c r="Q3038" s="18"/>
      <c r="R3038" s="14"/>
      <c r="S3038" s="14">
        <v>1</v>
      </c>
    </row>
    <row r="3039" spans="2:19" ht="20.25" hidden="1" customHeight="1">
      <c r="B3039" s="17"/>
      <c r="Q3039" s="18"/>
      <c r="R3039" s="14"/>
      <c r="S3039" s="14">
        <v>1</v>
      </c>
    </row>
    <row r="3040" spans="2:19" ht="20.25" hidden="1" customHeight="1">
      <c r="B3040" s="17"/>
      <c r="Q3040" s="18"/>
      <c r="R3040" s="14"/>
      <c r="S3040" s="14">
        <v>1</v>
      </c>
    </row>
    <row r="3041" spans="2:19" ht="20.25" hidden="1" customHeight="1">
      <c r="B3041" s="17"/>
      <c r="Q3041" s="18"/>
      <c r="R3041" s="14"/>
      <c r="S3041" s="14">
        <v>1</v>
      </c>
    </row>
    <row r="3042" spans="2:19" ht="20.25" hidden="1" customHeight="1">
      <c r="B3042" s="17"/>
      <c r="Q3042" s="18"/>
      <c r="R3042" s="14"/>
      <c r="S3042" s="14">
        <v>1</v>
      </c>
    </row>
    <row r="3043" spans="2:19" ht="20.25" hidden="1" customHeight="1">
      <c r="B3043" s="17"/>
      <c r="Q3043" s="18"/>
      <c r="R3043" s="14"/>
      <c r="S3043" s="14">
        <v>1</v>
      </c>
    </row>
    <row r="3044" spans="2:19" ht="20.25" hidden="1" customHeight="1">
      <c r="B3044" s="17"/>
      <c r="Q3044" s="18"/>
      <c r="R3044" s="14"/>
      <c r="S3044" s="14">
        <v>1</v>
      </c>
    </row>
    <row r="3045" spans="2:19" ht="20.25" hidden="1" customHeight="1">
      <c r="B3045" s="17"/>
      <c r="Q3045" s="18"/>
      <c r="R3045" s="14"/>
      <c r="S3045" s="14">
        <v>1</v>
      </c>
    </row>
    <row r="3046" spans="2:19" ht="20.25" hidden="1" customHeight="1">
      <c r="B3046" s="17"/>
      <c r="Q3046" s="18"/>
      <c r="R3046" s="14"/>
      <c r="S3046" s="14">
        <v>1</v>
      </c>
    </row>
    <row r="3047" spans="2:19" ht="20.25" hidden="1" customHeight="1">
      <c r="B3047" s="17"/>
      <c r="Q3047" s="18"/>
      <c r="R3047" s="14"/>
      <c r="S3047" s="14">
        <v>1</v>
      </c>
    </row>
    <row r="3048" spans="2:19" ht="20.25" hidden="1" customHeight="1">
      <c r="B3048" s="17"/>
      <c r="Q3048" s="18"/>
      <c r="R3048" s="14"/>
      <c r="S3048" s="14">
        <v>1</v>
      </c>
    </row>
    <row r="3049" spans="2:19" ht="20.25" hidden="1" customHeight="1">
      <c r="B3049" s="17"/>
      <c r="Q3049" s="18"/>
      <c r="R3049" s="14"/>
      <c r="S3049" s="14">
        <v>1</v>
      </c>
    </row>
    <row r="3050" spans="2:19" ht="20.25" hidden="1" customHeight="1">
      <c r="B3050" s="17"/>
      <c r="Q3050" s="18"/>
      <c r="R3050" s="14"/>
      <c r="S3050" s="14">
        <v>1</v>
      </c>
    </row>
    <row r="3051" spans="2:19" ht="20.25" hidden="1" customHeight="1">
      <c r="B3051" s="17"/>
      <c r="Q3051" s="18"/>
      <c r="R3051" s="14"/>
      <c r="S3051" s="14">
        <v>1</v>
      </c>
    </row>
    <row r="3052" spans="2:19" ht="20.25" hidden="1" customHeight="1">
      <c r="B3052" s="17"/>
      <c r="Q3052" s="18"/>
      <c r="R3052" s="14"/>
      <c r="S3052" s="14">
        <v>1</v>
      </c>
    </row>
    <row r="3053" spans="2:19" ht="20.25" hidden="1" customHeight="1">
      <c r="B3053" s="17"/>
      <c r="Q3053" s="18"/>
      <c r="R3053" s="14"/>
      <c r="S3053" s="14">
        <v>1</v>
      </c>
    </row>
    <row r="3054" spans="2:19" ht="20.25" hidden="1" customHeight="1">
      <c r="B3054" s="17"/>
      <c r="Q3054" s="18"/>
      <c r="R3054" s="14"/>
      <c r="S3054" s="14">
        <v>1</v>
      </c>
    </row>
    <row r="3055" spans="2:19" ht="20.25" hidden="1" customHeight="1">
      <c r="B3055" s="17"/>
      <c r="Q3055" s="18"/>
      <c r="R3055" s="14"/>
      <c r="S3055" s="14">
        <v>1</v>
      </c>
    </row>
    <row r="3056" spans="2:19" ht="20.25" hidden="1" customHeight="1">
      <c r="B3056" s="17"/>
      <c r="Q3056" s="18"/>
      <c r="R3056" s="14"/>
      <c r="S3056" s="14">
        <v>1</v>
      </c>
    </row>
    <row r="3057" spans="2:19" ht="20.25" hidden="1" customHeight="1">
      <c r="B3057" s="17"/>
      <c r="Q3057" s="18"/>
      <c r="R3057" s="14"/>
      <c r="S3057" s="14">
        <v>1</v>
      </c>
    </row>
    <row r="3058" spans="2:19" ht="20.25" hidden="1" customHeight="1">
      <c r="B3058" s="17"/>
      <c r="Q3058" s="18"/>
      <c r="R3058" s="14"/>
      <c r="S3058" s="14">
        <v>1</v>
      </c>
    </row>
    <row r="3059" spans="2:19" ht="20.25" hidden="1" customHeight="1">
      <c r="B3059" s="17"/>
      <c r="Q3059" s="18"/>
      <c r="R3059" s="14"/>
      <c r="S3059" s="14">
        <v>1</v>
      </c>
    </row>
    <row r="3060" spans="2:19" ht="20.25" hidden="1" customHeight="1">
      <c r="B3060" s="17"/>
      <c r="Q3060" s="18"/>
      <c r="R3060" s="14"/>
      <c r="S3060" s="14">
        <v>1</v>
      </c>
    </row>
    <row r="3061" spans="2:19" ht="20.25" hidden="1" customHeight="1">
      <c r="B3061" s="17"/>
      <c r="Q3061" s="18"/>
      <c r="R3061" s="14"/>
      <c r="S3061" s="14">
        <v>1</v>
      </c>
    </row>
    <row r="3062" spans="2:19" ht="20.25" hidden="1" customHeight="1">
      <c r="B3062" s="17"/>
      <c r="Q3062" s="18"/>
      <c r="R3062" s="14"/>
      <c r="S3062" s="14">
        <v>1</v>
      </c>
    </row>
    <row r="3063" spans="2:19" ht="20.25" hidden="1" customHeight="1">
      <c r="B3063" s="17"/>
      <c r="Q3063" s="18"/>
      <c r="R3063" s="14"/>
      <c r="S3063" s="14">
        <v>1</v>
      </c>
    </row>
    <row r="3064" spans="2:19" ht="20.25" hidden="1" customHeight="1">
      <c r="B3064" s="17"/>
      <c r="Q3064" s="18"/>
      <c r="R3064" s="14"/>
      <c r="S3064" s="14">
        <v>1</v>
      </c>
    </row>
    <row r="3065" spans="2:19" ht="20.25" hidden="1" customHeight="1">
      <c r="B3065" s="17"/>
      <c r="Q3065" s="18"/>
      <c r="R3065" s="14"/>
      <c r="S3065" s="14">
        <v>1</v>
      </c>
    </row>
    <row r="3066" spans="2:19" ht="20.25" hidden="1" customHeight="1">
      <c r="B3066" s="17"/>
      <c r="Q3066" s="18"/>
      <c r="R3066" s="14"/>
      <c r="S3066" s="14">
        <v>1</v>
      </c>
    </row>
    <row r="3067" spans="2:19" ht="20.25" hidden="1" customHeight="1">
      <c r="B3067" s="17"/>
      <c r="Q3067" s="18"/>
      <c r="R3067" s="14"/>
      <c r="S3067" s="14">
        <v>1</v>
      </c>
    </row>
    <row r="3068" spans="2:19" ht="20.25" hidden="1" customHeight="1">
      <c r="B3068" s="17"/>
      <c r="Q3068" s="18"/>
      <c r="R3068" s="14"/>
      <c r="S3068" s="14">
        <v>1</v>
      </c>
    </row>
    <row r="3069" spans="2:19" ht="20.25" hidden="1" customHeight="1">
      <c r="B3069" s="17"/>
      <c r="Q3069" s="18"/>
      <c r="R3069" s="14"/>
      <c r="S3069" s="14">
        <v>1</v>
      </c>
    </row>
    <row r="3070" spans="2:19" ht="20.25" hidden="1" customHeight="1">
      <c r="B3070" s="17"/>
      <c r="Q3070" s="18"/>
      <c r="R3070" s="14"/>
      <c r="S3070" s="14">
        <v>1</v>
      </c>
    </row>
    <row r="3071" spans="2:19" ht="20.25" hidden="1" customHeight="1">
      <c r="B3071" s="17"/>
      <c r="Q3071" s="18"/>
      <c r="R3071" s="14"/>
      <c r="S3071" s="14">
        <v>1</v>
      </c>
    </row>
    <row r="3072" spans="2:19" ht="20.25" hidden="1" customHeight="1">
      <c r="B3072" s="17"/>
      <c r="Q3072" s="18"/>
      <c r="R3072" s="14"/>
      <c r="S3072" s="14">
        <v>1</v>
      </c>
    </row>
    <row r="3073" spans="2:19" ht="20.25" hidden="1" customHeight="1">
      <c r="B3073" s="17"/>
      <c r="Q3073" s="18"/>
      <c r="R3073" s="14"/>
      <c r="S3073" s="14">
        <v>1</v>
      </c>
    </row>
    <row r="3074" spans="2:19" ht="20.25" hidden="1" customHeight="1">
      <c r="B3074" s="17"/>
      <c r="Q3074" s="18"/>
      <c r="R3074" s="14"/>
      <c r="S3074" s="14">
        <v>1</v>
      </c>
    </row>
    <row r="3075" spans="2:19" ht="20.25" hidden="1" customHeight="1">
      <c r="B3075" s="17"/>
      <c r="Q3075" s="18"/>
      <c r="R3075" s="14"/>
      <c r="S3075" s="14">
        <v>1</v>
      </c>
    </row>
    <row r="3076" spans="2:19" ht="20.25" hidden="1" customHeight="1">
      <c r="B3076" s="17"/>
      <c r="Q3076" s="18"/>
      <c r="R3076" s="14"/>
      <c r="S3076" s="14">
        <v>1</v>
      </c>
    </row>
    <row r="3077" spans="2:19" ht="20.25" hidden="1" customHeight="1">
      <c r="B3077" s="17"/>
      <c r="Q3077" s="18"/>
      <c r="R3077" s="14"/>
      <c r="S3077" s="14">
        <v>1</v>
      </c>
    </row>
    <row r="3078" spans="2:19" ht="20.25" hidden="1" customHeight="1">
      <c r="B3078" s="17"/>
      <c r="Q3078" s="18"/>
      <c r="R3078" s="14"/>
      <c r="S3078" s="14">
        <v>1</v>
      </c>
    </row>
    <row r="3079" spans="2:19" ht="20.25" hidden="1" customHeight="1">
      <c r="B3079" s="17"/>
      <c r="Q3079" s="18"/>
      <c r="R3079" s="14"/>
      <c r="S3079" s="14">
        <v>1</v>
      </c>
    </row>
    <row r="3080" spans="2:19" ht="20.25" hidden="1" customHeight="1">
      <c r="B3080" s="17"/>
      <c r="Q3080" s="18"/>
      <c r="R3080" s="14"/>
      <c r="S3080" s="14">
        <v>1</v>
      </c>
    </row>
    <row r="3081" spans="2:19" ht="20.25" hidden="1" customHeight="1">
      <c r="B3081" s="17"/>
      <c r="Q3081" s="18"/>
      <c r="R3081" s="14"/>
      <c r="S3081" s="14">
        <v>1</v>
      </c>
    </row>
    <row r="3082" spans="2:19" ht="20.25" hidden="1" customHeight="1">
      <c r="B3082" s="17"/>
      <c r="Q3082" s="18"/>
      <c r="R3082" s="14"/>
      <c r="S3082" s="14">
        <v>1</v>
      </c>
    </row>
    <row r="3083" spans="2:19" ht="20.25" hidden="1" customHeight="1">
      <c r="B3083" s="17"/>
      <c r="Q3083" s="18"/>
      <c r="R3083" s="14"/>
      <c r="S3083" s="14">
        <v>1</v>
      </c>
    </row>
    <row r="3084" spans="2:19" ht="20.25" hidden="1" customHeight="1">
      <c r="B3084" s="17"/>
      <c r="Q3084" s="18"/>
      <c r="R3084" s="14"/>
      <c r="S3084" s="14">
        <v>1</v>
      </c>
    </row>
    <row r="3085" spans="2:19" ht="20.25" hidden="1" customHeight="1">
      <c r="B3085" s="17"/>
      <c r="Q3085" s="18"/>
      <c r="R3085" s="14"/>
      <c r="S3085" s="14">
        <v>1</v>
      </c>
    </row>
    <row r="3086" spans="2:19" ht="20.25" hidden="1" customHeight="1">
      <c r="B3086" s="17"/>
      <c r="Q3086" s="18"/>
      <c r="R3086" s="14"/>
      <c r="S3086" s="14">
        <v>1</v>
      </c>
    </row>
    <row r="3087" spans="2:19" ht="20.25" hidden="1" customHeight="1">
      <c r="B3087" s="17"/>
      <c r="Q3087" s="18"/>
      <c r="R3087" s="14"/>
      <c r="S3087" s="14">
        <v>1</v>
      </c>
    </row>
    <row r="3088" spans="2:19" ht="20.25" hidden="1" customHeight="1">
      <c r="B3088" s="17"/>
      <c r="Q3088" s="18"/>
      <c r="R3088" s="14"/>
      <c r="S3088" s="14">
        <v>1</v>
      </c>
    </row>
    <row r="3089" spans="2:19" ht="20.25" hidden="1" customHeight="1">
      <c r="B3089" s="17"/>
      <c r="Q3089" s="18"/>
      <c r="R3089" s="14"/>
      <c r="S3089" s="14">
        <v>1</v>
      </c>
    </row>
    <row r="3090" spans="2:19" ht="20.25" hidden="1" customHeight="1">
      <c r="B3090" s="17"/>
      <c r="Q3090" s="18"/>
      <c r="R3090" s="14"/>
      <c r="S3090" s="14">
        <v>1</v>
      </c>
    </row>
    <row r="3091" spans="2:19" ht="20.25" hidden="1" customHeight="1">
      <c r="B3091" s="17"/>
      <c r="Q3091" s="18"/>
      <c r="R3091" s="14"/>
      <c r="S3091" s="14">
        <v>1</v>
      </c>
    </row>
    <row r="3092" spans="2:19" ht="20.25" hidden="1" customHeight="1">
      <c r="B3092" s="17"/>
      <c r="Q3092" s="18"/>
      <c r="R3092" s="14"/>
      <c r="S3092" s="14">
        <v>1</v>
      </c>
    </row>
    <row r="3093" spans="2:19" ht="20.25" hidden="1" customHeight="1">
      <c r="B3093" s="17"/>
      <c r="Q3093" s="18"/>
      <c r="R3093" s="14"/>
      <c r="S3093" s="14">
        <v>1</v>
      </c>
    </row>
    <row r="3094" spans="2:19" ht="20.25" hidden="1" customHeight="1">
      <c r="B3094" s="17"/>
      <c r="Q3094" s="18"/>
      <c r="R3094" s="14"/>
      <c r="S3094" s="14">
        <v>1</v>
      </c>
    </row>
    <row r="3095" spans="2:19" ht="20.25" hidden="1" customHeight="1">
      <c r="B3095" s="17"/>
      <c r="Q3095" s="18"/>
      <c r="R3095" s="14"/>
      <c r="S3095" s="14">
        <v>1</v>
      </c>
    </row>
    <row r="3096" spans="2:19" ht="20.25" hidden="1" customHeight="1">
      <c r="B3096" s="17"/>
      <c r="Q3096" s="18"/>
      <c r="R3096" s="14"/>
      <c r="S3096" s="14">
        <v>1</v>
      </c>
    </row>
    <row r="3097" spans="2:19" ht="20.25" hidden="1" customHeight="1">
      <c r="B3097" s="17"/>
      <c r="Q3097" s="18"/>
      <c r="R3097" s="14"/>
      <c r="S3097" s="14">
        <v>1</v>
      </c>
    </row>
    <row r="3098" spans="2:19" ht="20.25" hidden="1" customHeight="1">
      <c r="B3098" s="17"/>
      <c r="Q3098" s="18"/>
      <c r="R3098" s="14"/>
      <c r="S3098" s="14">
        <v>1</v>
      </c>
    </row>
    <row r="3099" spans="2:19" ht="20.25" hidden="1" customHeight="1">
      <c r="B3099" s="17"/>
      <c r="Q3099" s="18"/>
      <c r="R3099" s="14"/>
      <c r="S3099" s="14">
        <v>1</v>
      </c>
    </row>
    <row r="3100" spans="2:19" ht="20.25" hidden="1" customHeight="1">
      <c r="B3100" s="17"/>
      <c r="Q3100" s="18"/>
      <c r="R3100" s="14"/>
      <c r="S3100" s="14">
        <v>1</v>
      </c>
    </row>
    <row r="3101" spans="2:19" ht="20.25" hidden="1" customHeight="1">
      <c r="B3101" s="17"/>
      <c r="Q3101" s="18"/>
      <c r="R3101" s="14"/>
      <c r="S3101" s="14">
        <v>1</v>
      </c>
    </row>
    <row r="3102" spans="2:19" ht="20.25" hidden="1" customHeight="1">
      <c r="B3102" s="17"/>
      <c r="Q3102" s="18"/>
      <c r="R3102" s="14"/>
      <c r="S3102" s="14">
        <v>1</v>
      </c>
    </row>
    <row r="3103" spans="2:19" ht="20.25" hidden="1" customHeight="1">
      <c r="B3103" s="17"/>
      <c r="Q3103" s="18"/>
      <c r="R3103" s="14"/>
      <c r="S3103" s="14">
        <v>1</v>
      </c>
    </row>
    <row r="3104" spans="2:19" ht="20.25" hidden="1" customHeight="1">
      <c r="B3104" s="17"/>
      <c r="Q3104" s="18"/>
      <c r="R3104" s="14"/>
      <c r="S3104" s="14">
        <v>1</v>
      </c>
    </row>
    <row r="3105" spans="2:19" ht="20.25" hidden="1" customHeight="1">
      <c r="B3105" s="17"/>
      <c r="Q3105" s="18"/>
      <c r="R3105" s="14"/>
      <c r="S3105" s="14">
        <v>1</v>
      </c>
    </row>
    <row r="3106" spans="2:19" ht="20.25" hidden="1" customHeight="1">
      <c r="B3106" s="17"/>
      <c r="Q3106" s="18"/>
      <c r="R3106" s="14"/>
      <c r="S3106" s="14">
        <v>1</v>
      </c>
    </row>
    <row r="3107" spans="2:19" ht="20.25" hidden="1" customHeight="1">
      <c r="B3107" s="17"/>
      <c r="Q3107" s="18"/>
      <c r="R3107" s="14"/>
      <c r="S3107" s="14">
        <v>1</v>
      </c>
    </row>
    <row r="3108" spans="2:19" ht="20.25" hidden="1" customHeight="1">
      <c r="B3108" s="17"/>
      <c r="Q3108" s="18"/>
      <c r="R3108" s="14"/>
      <c r="S3108" s="14">
        <v>1</v>
      </c>
    </row>
    <row r="3109" spans="2:19" ht="20.25" hidden="1" customHeight="1">
      <c r="B3109" s="17"/>
      <c r="Q3109" s="18"/>
      <c r="R3109" s="14"/>
      <c r="S3109" s="14">
        <v>1</v>
      </c>
    </row>
    <row r="3110" spans="2:19" ht="20.25" hidden="1" customHeight="1">
      <c r="B3110" s="17"/>
      <c r="Q3110" s="18"/>
      <c r="R3110" s="14"/>
      <c r="S3110" s="14">
        <v>1</v>
      </c>
    </row>
    <row r="3111" spans="2:19" ht="20.25" hidden="1" customHeight="1">
      <c r="B3111" s="17"/>
      <c r="Q3111" s="18"/>
      <c r="R3111" s="14"/>
      <c r="S3111" s="14">
        <v>1</v>
      </c>
    </row>
    <row r="3112" spans="2:19" ht="20.25" hidden="1" customHeight="1">
      <c r="B3112" s="17"/>
      <c r="Q3112" s="18"/>
      <c r="R3112" s="14"/>
      <c r="S3112" s="14">
        <v>1</v>
      </c>
    </row>
    <row r="3113" spans="2:19" ht="20.25" hidden="1" customHeight="1">
      <c r="B3113" s="17"/>
      <c r="Q3113" s="18"/>
      <c r="R3113" s="14"/>
      <c r="S3113" s="14">
        <v>1</v>
      </c>
    </row>
    <row r="3114" spans="2:19" ht="20.25" hidden="1" customHeight="1">
      <c r="B3114" s="17"/>
      <c r="Q3114" s="18"/>
      <c r="R3114" s="14"/>
      <c r="S3114" s="14">
        <v>1</v>
      </c>
    </row>
    <row r="3115" spans="2:19" ht="20.25" hidden="1" customHeight="1">
      <c r="B3115" s="17"/>
      <c r="Q3115" s="18"/>
      <c r="R3115" s="14"/>
      <c r="S3115" s="14">
        <v>1</v>
      </c>
    </row>
    <row r="3116" spans="2:19" ht="20.25" hidden="1" customHeight="1">
      <c r="B3116" s="17"/>
      <c r="Q3116" s="18"/>
      <c r="R3116" s="14"/>
      <c r="S3116" s="14">
        <v>1</v>
      </c>
    </row>
    <row r="3117" spans="2:19" ht="20.25" hidden="1" customHeight="1">
      <c r="B3117" s="17"/>
      <c r="Q3117" s="18"/>
      <c r="R3117" s="14"/>
      <c r="S3117" s="14">
        <v>1</v>
      </c>
    </row>
    <row r="3118" spans="2:19" ht="20.25" hidden="1" customHeight="1">
      <c r="B3118" s="17"/>
      <c r="Q3118" s="18"/>
      <c r="R3118" s="14"/>
      <c r="S3118" s="14">
        <v>1</v>
      </c>
    </row>
    <row r="3119" spans="2:19" ht="20.25" hidden="1" customHeight="1">
      <c r="B3119" s="17"/>
      <c r="Q3119" s="18"/>
      <c r="R3119" s="14"/>
      <c r="S3119" s="14">
        <v>1</v>
      </c>
    </row>
    <row r="3120" spans="2:19" ht="20.25" hidden="1" customHeight="1">
      <c r="B3120" s="17"/>
      <c r="Q3120" s="18"/>
      <c r="R3120" s="14"/>
      <c r="S3120" s="14">
        <v>1</v>
      </c>
    </row>
    <row r="3121" spans="2:19" ht="20.25" hidden="1" customHeight="1">
      <c r="B3121" s="17"/>
      <c r="Q3121" s="18"/>
      <c r="R3121" s="14"/>
      <c r="S3121" s="14">
        <v>1</v>
      </c>
    </row>
    <row r="3122" spans="2:19" ht="20.25" hidden="1" customHeight="1">
      <c r="B3122" s="17"/>
      <c r="Q3122" s="18"/>
      <c r="R3122" s="14"/>
      <c r="S3122" s="14">
        <v>1</v>
      </c>
    </row>
    <row r="3123" spans="2:19" ht="20.25" hidden="1" customHeight="1">
      <c r="B3123" s="17"/>
      <c r="Q3123" s="18"/>
      <c r="R3123" s="14"/>
      <c r="S3123" s="14">
        <v>1</v>
      </c>
    </row>
    <row r="3124" spans="2:19" ht="20.25" hidden="1" customHeight="1">
      <c r="B3124" s="17"/>
      <c r="Q3124" s="18"/>
      <c r="R3124" s="14"/>
      <c r="S3124" s="14">
        <v>1</v>
      </c>
    </row>
    <row r="3125" spans="2:19" ht="20.25" hidden="1" customHeight="1">
      <c r="B3125" s="17"/>
      <c r="Q3125" s="18"/>
      <c r="R3125" s="14"/>
      <c r="S3125" s="14">
        <v>1</v>
      </c>
    </row>
    <row r="3126" spans="2:19" ht="20.25" hidden="1" customHeight="1">
      <c r="B3126" s="17"/>
      <c r="Q3126" s="18"/>
      <c r="R3126" s="14"/>
      <c r="S3126" s="14">
        <v>1</v>
      </c>
    </row>
    <row r="3127" spans="2:19" ht="20.25" hidden="1" customHeight="1">
      <c r="B3127" s="17"/>
      <c r="Q3127" s="18"/>
      <c r="R3127" s="14"/>
      <c r="S3127" s="14">
        <v>1</v>
      </c>
    </row>
    <row r="3128" spans="2:19" ht="20.25" hidden="1" customHeight="1">
      <c r="B3128" s="17"/>
      <c r="Q3128" s="18"/>
      <c r="R3128" s="14"/>
      <c r="S3128" s="14">
        <v>1</v>
      </c>
    </row>
    <row r="3129" spans="2:19" ht="20.25" hidden="1" customHeight="1">
      <c r="B3129" s="17"/>
      <c r="Q3129" s="18"/>
      <c r="R3129" s="14"/>
      <c r="S3129" s="14">
        <v>1</v>
      </c>
    </row>
    <row r="3130" spans="2:19" ht="20.25" hidden="1" customHeight="1">
      <c r="B3130" s="17"/>
      <c r="Q3130" s="18"/>
      <c r="R3130" s="14"/>
      <c r="S3130" s="14">
        <v>1</v>
      </c>
    </row>
    <row r="3131" spans="2:19" ht="20.25" hidden="1" customHeight="1">
      <c r="B3131" s="17"/>
      <c r="Q3131" s="18"/>
      <c r="R3131" s="14"/>
      <c r="S3131" s="14">
        <v>1</v>
      </c>
    </row>
    <row r="3132" spans="2:19" ht="20.25" hidden="1" customHeight="1">
      <c r="B3132" s="17"/>
      <c r="Q3132" s="18"/>
      <c r="R3132" s="14"/>
      <c r="S3132" s="14">
        <v>1</v>
      </c>
    </row>
    <row r="3133" spans="2:19" ht="20.25" hidden="1" customHeight="1">
      <c r="B3133" s="17"/>
      <c r="Q3133" s="18"/>
      <c r="R3133" s="14"/>
      <c r="S3133" s="14">
        <v>1</v>
      </c>
    </row>
    <row r="3134" spans="2:19" ht="20.25" hidden="1" customHeight="1">
      <c r="B3134" s="17"/>
      <c r="Q3134" s="18"/>
      <c r="R3134" s="14"/>
      <c r="S3134" s="14">
        <v>1</v>
      </c>
    </row>
    <row r="3135" spans="2:19" ht="20.25" hidden="1" customHeight="1">
      <c r="B3135" s="17"/>
      <c r="Q3135" s="18"/>
      <c r="R3135" s="14"/>
      <c r="S3135" s="14">
        <v>1</v>
      </c>
    </row>
    <row r="3136" spans="2:19" ht="20.25" hidden="1" customHeight="1">
      <c r="B3136" s="17"/>
      <c r="Q3136" s="18"/>
      <c r="R3136" s="14"/>
      <c r="S3136" s="14">
        <v>1</v>
      </c>
    </row>
    <row r="3137" spans="2:19" ht="20.25" hidden="1" customHeight="1">
      <c r="B3137" s="17"/>
      <c r="Q3137" s="18"/>
      <c r="R3137" s="14"/>
      <c r="S3137" s="14">
        <v>1</v>
      </c>
    </row>
    <row r="3138" spans="2:19" ht="20.25" hidden="1" customHeight="1">
      <c r="B3138" s="17"/>
      <c r="Q3138" s="18"/>
      <c r="R3138" s="14"/>
      <c r="S3138" s="14">
        <v>1</v>
      </c>
    </row>
    <row r="3139" spans="2:19" ht="20.25" hidden="1" customHeight="1">
      <c r="B3139" s="17"/>
      <c r="Q3139" s="18"/>
      <c r="R3139" s="14"/>
      <c r="S3139" s="14">
        <v>1</v>
      </c>
    </row>
    <row r="3140" spans="2:19" ht="20.25" hidden="1" customHeight="1">
      <c r="B3140" s="17"/>
      <c r="Q3140" s="18"/>
      <c r="R3140" s="14"/>
      <c r="S3140" s="14">
        <v>1</v>
      </c>
    </row>
    <row r="3141" spans="2:19" ht="20.25" hidden="1" customHeight="1">
      <c r="B3141" s="17"/>
      <c r="Q3141" s="18"/>
      <c r="R3141" s="14"/>
      <c r="S3141" s="14">
        <v>1</v>
      </c>
    </row>
    <row r="3142" spans="2:19" ht="20.25" hidden="1" customHeight="1">
      <c r="B3142" s="17"/>
      <c r="Q3142" s="18"/>
      <c r="R3142" s="14"/>
      <c r="S3142" s="14">
        <v>1</v>
      </c>
    </row>
    <row r="3143" spans="2:19" ht="20.25" hidden="1" customHeight="1">
      <c r="B3143" s="17"/>
      <c r="Q3143" s="18"/>
      <c r="R3143" s="14"/>
      <c r="S3143" s="14">
        <v>1</v>
      </c>
    </row>
    <row r="3144" spans="2:19" ht="20.25" hidden="1" customHeight="1">
      <c r="B3144" s="17"/>
      <c r="Q3144" s="18"/>
      <c r="R3144" s="14"/>
      <c r="S3144" s="14">
        <v>1</v>
      </c>
    </row>
    <row r="3145" spans="2:19" ht="20.25" hidden="1" customHeight="1">
      <c r="B3145" s="17"/>
      <c r="Q3145" s="18"/>
      <c r="R3145" s="14"/>
      <c r="S3145" s="14">
        <v>1</v>
      </c>
    </row>
    <row r="3146" spans="2:19" ht="20.25" hidden="1" customHeight="1">
      <c r="B3146" s="17"/>
      <c r="Q3146" s="18"/>
      <c r="R3146" s="14"/>
      <c r="S3146" s="14">
        <v>1</v>
      </c>
    </row>
    <row r="3147" spans="2:19" ht="20.25" hidden="1" customHeight="1">
      <c r="B3147" s="17"/>
      <c r="Q3147" s="18"/>
      <c r="R3147" s="14"/>
      <c r="S3147" s="14">
        <v>1</v>
      </c>
    </row>
    <row r="3148" spans="2:19" ht="20.25" hidden="1" customHeight="1">
      <c r="B3148" s="17"/>
      <c r="Q3148" s="18"/>
      <c r="R3148" s="14"/>
      <c r="S3148" s="14">
        <v>1</v>
      </c>
    </row>
    <row r="3149" spans="2:19" ht="20.25" hidden="1" customHeight="1">
      <c r="B3149" s="17"/>
      <c r="Q3149" s="18"/>
      <c r="R3149" s="14"/>
      <c r="S3149" s="14">
        <v>1</v>
      </c>
    </row>
    <row r="3150" spans="2:19" ht="20.25" hidden="1" customHeight="1">
      <c r="B3150" s="17"/>
      <c r="Q3150" s="18"/>
      <c r="R3150" s="14"/>
      <c r="S3150" s="14">
        <v>1</v>
      </c>
    </row>
    <row r="3151" spans="2:19" ht="20.25" hidden="1" customHeight="1">
      <c r="B3151" s="17"/>
      <c r="Q3151" s="18"/>
      <c r="R3151" s="14"/>
      <c r="S3151" s="14">
        <v>1</v>
      </c>
    </row>
    <row r="3152" spans="2:19" ht="20.25" hidden="1" customHeight="1">
      <c r="B3152" s="17"/>
      <c r="Q3152" s="18"/>
      <c r="R3152" s="14"/>
      <c r="S3152" s="14">
        <v>1</v>
      </c>
    </row>
    <row r="3153" spans="2:19" ht="20.25" hidden="1" customHeight="1">
      <c r="B3153" s="17"/>
      <c r="Q3153" s="18"/>
      <c r="R3153" s="14"/>
      <c r="S3153" s="14">
        <v>1</v>
      </c>
    </row>
    <row r="3154" spans="2:19" ht="20.25" hidden="1" customHeight="1">
      <c r="B3154" s="17"/>
      <c r="Q3154" s="18"/>
      <c r="R3154" s="14"/>
      <c r="S3154" s="14">
        <v>1</v>
      </c>
    </row>
    <row r="3155" spans="2:19" ht="20.25" hidden="1" customHeight="1">
      <c r="B3155" s="17"/>
      <c r="Q3155" s="18"/>
      <c r="R3155" s="14"/>
      <c r="S3155" s="14">
        <v>1</v>
      </c>
    </row>
    <row r="3156" spans="2:19" ht="20.25" hidden="1" customHeight="1">
      <c r="B3156" s="17"/>
      <c r="Q3156" s="18"/>
      <c r="R3156" s="14"/>
      <c r="S3156" s="14">
        <v>1</v>
      </c>
    </row>
    <row r="3157" spans="2:19" ht="20.25" hidden="1" customHeight="1">
      <c r="B3157" s="17"/>
      <c r="Q3157" s="18"/>
      <c r="R3157" s="14"/>
      <c r="S3157" s="14">
        <v>1</v>
      </c>
    </row>
    <row r="3158" spans="2:19" ht="20.25" hidden="1" customHeight="1">
      <c r="B3158" s="17"/>
      <c r="Q3158" s="18"/>
      <c r="R3158" s="14"/>
      <c r="S3158" s="14">
        <v>1</v>
      </c>
    </row>
    <row r="3159" spans="2:19" ht="20.25" hidden="1" customHeight="1">
      <c r="B3159" s="17"/>
      <c r="Q3159" s="18"/>
      <c r="R3159" s="14"/>
      <c r="S3159" s="14">
        <v>1</v>
      </c>
    </row>
    <row r="3160" spans="2:19" ht="20.25" hidden="1" customHeight="1">
      <c r="B3160" s="17"/>
      <c r="Q3160" s="18"/>
      <c r="R3160" s="14"/>
      <c r="S3160" s="14">
        <v>1</v>
      </c>
    </row>
    <row r="3161" spans="2:19" ht="20.25" hidden="1" customHeight="1">
      <c r="B3161" s="17"/>
      <c r="Q3161" s="18"/>
      <c r="R3161" s="14"/>
      <c r="S3161" s="14">
        <v>1</v>
      </c>
    </row>
    <row r="3162" spans="2:19" ht="20.25" hidden="1" customHeight="1">
      <c r="B3162" s="17"/>
      <c r="Q3162" s="18"/>
      <c r="R3162" s="14"/>
      <c r="S3162" s="14">
        <v>1</v>
      </c>
    </row>
    <row r="3163" spans="2:19" ht="20.25" hidden="1" customHeight="1">
      <c r="B3163" s="17"/>
      <c r="Q3163" s="18"/>
      <c r="R3163" s="14"/>
      <c r="S3163" s="14">
        <v>1</v>
      </c>
    </row>
    <row r="3164" spans="2:19" ht="20.25" hidden="1" customHeight="1">
      <c r="B3164" s="17"/>
      <c r="Q3164" s="18"/>
      <c r="R3164" s="14"/>
      <c r="S3164" s="14">
        <v>1</v>
      </c>
    </row>
    <row r="3165" spans="2:19" ht="20.25" hidden="1" customHeight="1">
      <c r="B3165" s="17"/>
      <c r="Q3165" s="18"/>
      <c r="R3165" s="14"/>
      <c r="S3165" s="14">
        <v>1</v>
      </c>
    </row>
    <row r="3166" spans="2:19" ht="20.25" hidden="1" customHeight="1">
      <c r="B3166" s="17"/>
      <c r="Q3166" s="18"/>
      <c r="R3166" s="14"/>
      <c r="S3166" s="14">
        <v>1</v>
      </c>
    </row>
    <row r="3167" spans="2:19" ht="20.25" hidden="1" customHeight="1">
      <c r="B3167" s="17"/>
      <c r="Q3167" s="18"/>
      <c r="R3167" s="14"/>
      <c r="S3167" s="14">
        <v>1</v>
      </c>
    </row>
    <row r="3168" spans="2:19" ht="20.25" hidden="1" customHeight="1">
      <c r="B3168" s="17"/>
      <c r="Q3168" s="18"/>
      <c r="R3168" s="14"/>
      <c r="S3168" s="14">
        <v>1</v>
      </c>
    </row>
    <row r="3169" spans="2:19" ht="20.25" hidden="1" customHeight="1">
      <c r="B3169" s="17"/>
      <c r="Q3169" s="18"/>
      <c r="R3169" s="14"/>
      <c r="S3169" s="14">
        <v>1</v>
      </c>
    </row>
    <row r="3170" spans="2:19" ht="20.25" hidden="1" customHeight="1">
      <c r="B3170" s="17"/>
      <c r="Q3170" s="18"/>
      <c r="R3170" s="14"/>
      <c r="S3170" s="14">
        <v>1</v>
      </c>
    </row>
    <row r="3171" spans="2:19" ht="20.25" hidden="1" customHeight="1">
      <c r="B3171" s="17"/>
      <c r="Q3171" s="18"/>
      <c r="R3171" s="14"/>
      <c r="S3171" s="14">
        <v>1</v>
      </c>
    </row>
    <row r="3172" spans="2:19" ht="20.25" hidden="1" customHeight="1">
      <c r="B3172" s="17"/>
      <c r="Q3172" s="18"/>
      <c r="R3172" s="14"/>
      <c r="S3172" s="14">
        <v>1</v>
      </c>
    </row>
    <row r="3173" spans="2:19" ht="20.25" hidden="1" customHeight="1">
      <c r="B3173" s="17"/>
      <c r="Q3173" s="18"/>
      <c r="R3173" s="14"/>
      <c r="S3173" s="14">
        <v>1</v>
      </c>
    </row>
    <row r="3174" spans="2:19" ht="20.25" hidden="1" customHeight="1">
      <c r="B3174" s="17"/>
      <c r="Q3174" s="18"/>
      <c r="R3174" s="14"/>
      <c r="S3174" s="14">
        <v>1</v>
      </c>
    </row>
    <row r="3175" spans="2:19" ht="20.25" hidden="1" customHeight="1">
      <c r="B3175" s="17"/>
      <c r="Q3175" s="18"/>
      <c r="R3175" s="14"/>
      <c r="S3175" s="14">
        <v>1</v>
      </c>
    </row>
    <row r="3176" spans="2:19" ht="20.25" hidden="1" customHeight="1">
      <c r="B3176" s="17"/>
      <c r="Q3176" s="18"/>
      <c r="R3176" s="14"/>
      <c r="S3176" s="14">
        <v>1</v>
      </c>
    </row>
    <row r="3177" spans="2:19" ht="20.25" hidden="1" customHeight="1">
      <c r="B3177" s="17"/>
      <c r="Q3177" s="18"/>
      <c r="R3177" s="14"/>
      <c r="S3177" s="14">
        <v>1</v>
      </c>
    </row>
    <row r="3178" spans="2:19" ht="20.25" hidden="1" customHeight="1">
      <c r="B3178" s="17"/>
      <c r="Q3178" s="18"/>
      <c r="R3178" s="14"/>
      <c r="S3178" s="14">
        <v>1</v>
      </c>
    </row>
    <row r="3179" spans="2:19" ht="20.25" hidden="1" customHeight="1">
      <c r="B3179" s="17"/>
      <c r="Q3179" s="18"/>
      <c r="R3179" s="14"/>
      <c r="S3179" s="14">
        <v>1</v>
      </c>
    </row>
    <row r="3180" spans="2:19" ht="20.25" hidden="1" customHeight="1">
      <c r="B3180" s="17"/>
      <c r="Q3180" s="18"/>
      <c r="R3180" s="14"/>
      <c r="S3180" s="14">
        <v>1</v>
      </c>
    </row>
    <row r="3181" spans="2:19" ht="20.25" hidden="1" customHeight="1">
      <c r="B3181" s="17"/>
      <c r="Q3181" s="18"/>
      <c r="R3181" s="14"/>
      <c r="S3181" s="14">
        <v>1</v>
      </c>
    </row>
    <row r="3182" spans="2:19" ht="20.25" hidden="1" customHeight="1">
      <c r="B3182" s="17"/>
      <c r="Q3182" s="18"/>
      <c r="R3182" s="14"/>
      <c r="S3182" s="14">
        <v>1</v>
      </c>
    </row>
    <row r="3183" spans="2:19" ht="20.25" hidden="1" customHeight="1">
      <c r="B3183" s="17"/>
      <c r="Q3183" s="18"/>
      <c r="R3183" s="14"/>
      <c r="S3183" s="14">
        <v>1</v>
      </c>
    </row>
    <row r="3184" spans="2:19" ht="20.25" hidden="1" customHeight="1">
      <c r="B3184" s="17"/>
      <c r="Q3184" s="18"/>
      <c r="R3184" s="14"/>
      <c r="S3184" s="14">
        <v>1</v>
      </c>
    </row>
    <row r="3185" spans="2:19" ht="20.25" hidden="1" customHeight="1">
      <c r="B3185" s="17"/>
      <c r="Q3185" s="18"/>
      <c r="R3185" s="14"/>
      <c r="S3185" s="14">
        <v>1</v>
      </c>
    </row>
    <row r="3186" spans="2:19" ht="20.25" hidden="1" customHeight="1">
      <c r="B3186" s="17"/>
      <c r="Q3186" s="18"/>
      <c r="R3186" s="14"/>
      <c r="S3186" s="14">
        <v>1</v>
      </c>
    </row>
    <row r="3187" spans="2:19" ht="20.25" hidden="1" customHeight="1">
      <c r="B3187" s="17"/>
      <c r="Q3187" s="18"/>
      <c r="R3187" s="14"/>
      <c r="S3187" s="14">
        <v>1</v>
      </c>
    </row>
    <row r="3188" spans="2:19" ht="20.25" hidden="1" customHeight="1">
      <c r="B3188" s="17"/>
      <c r="Q3188" s="18"/>
      <c r="R3188" s="14"/>
      <c r="S3188" s="14">
        <v>1</v>
      </c>
    </row>
    <row r="3189" spans="2:19" ht="20.25" hidden="1" customHeight="1">
      <c r="B3189" s="17"/>
      <c r="Q3189" s="18"/>
      <c r="R3189" s="14"/>
      <c r="S3189" s="14">
        <v>1</v>
      </c>
    </row>
    <row r="3190" spans="2:19" ht="20.25" hidden="1" customHeight="1">
      <c r="B3190" s="17"/>
      <c r="Q3190" s="18"/>
      <c r="R3190" s="14"/>
      <c r="S3190" s="14">
        <v>1</v>
      </c>
    </row>
    <row r="3191" spans="2:19" ht="20.25" hidden="1" customHeight="1">
      <c r="B3191" s="17"/>
      <c r="Q3191" s="18"/>
      <c r="R3191" s="14"/>
      <c r="S3191" s="14">
        <v>1</v>
      </c>
    </row>
    <row r="3192" spans="2:19" ht="20.25" hidden="1" customHeight="1">
      <c r="B3192" s="17"/>
      <c r="Q3192" s="18"/>
      <c r="R3192" s="14"/>
      <c r="S3192" s="14">
        <v>1</v>
      </c>
    </row>
    <row r="3193" spans="2:19" ht="20.25" hidden="1" customHeight="1">
      <c r="B3193" s="17"/>
      <c r="Q3193" s="18"/>
      <c r="R3193" s="14"/>
      <c r="S3193" s="14">
        <v>1</v>
      </c>
    </row>
    <row r="3194" spans="2:19" ht="20.25" hidden="1" customHeight="1">
      <c r="B3194" s="17"/>
      <c r="Q3194" s="18"/>
      <c r="R3194" s="14"/>
      <c r="S3194" s="14">
        <v>1</v>
      </c>
    </row>
    <row r="3195" spans="2:19" ht="20.25" hidden="1" customHeight="1">
      <c r="B3195" s="17"/>
      <c r="Q3195" s="18"/>
      <c r="R3195" s="14"/>
      <c r="S3195" s="14">
        <v>1</v>
      </c>
    </row>
    <row r="3196" spans="2:19" ht="20.25" hidden="1" customHeight="1">
      <c r="B3196" s="17"/>
      <c r="Q3196" s="18"/>
      <c r="R3196" s="14"/>
      <c r="S3196" s="14">
        <v>1</v>
      </c>
    </row>
    <row r="3197" spans="2:19" ht="20.25" hidden="1" customHeight="1">
      <c r="B3197" s="17"/>
      <c r="Q3197" s="18"/>
      <c r="R3197" s="14"/>
      <c r="S3197" s="14">
        <v>1</v>
      </c>
    </row>
    <row r="3198" spans="2:19" ht="20.25" hidden="1" customHeight="1">
      <c r="B3198" s="17"/>
      <c r="Q3198" s="18"/>
      <c r="R3198" s="14"/>
      <c r="S3198" s="14">
        <v>1</v>
      </c>
    </row>
    <row r="3199" spans="2:19" ht="20.25" hidden="1" customHeight="1">
      <c r="B3199" s="17"/>
      <c r="Q3199" s="18"/>
      <c r="R3199" s="14"/>
      <c r="S3199" s="14">
        <v>1</v>
      </c>
    </row>
    <row r="3200" spans="2:19" ht="20.25" hidden="1" customHeight="1">
      <c r="B3200" s="17"/>
      <c r="Q3200" s="18"/>
      <c r="R3200" s="14"/>
      <c r="S3200" s="14">
        <v>1</v>
      </c>
    </row>
    <row r="3201" spans="2:19" ht="20.25" hidden="1" customHeight="1">
      <c r="B3201" s="17"/>
      <c r="Q3201" s="18"/>
      <c r="R3201" s="14"/>
      <c r="S3201" s="14">
        <v>1</v>
      </c>
    </row>
    <row r="3202" spans="2:19" ht="20.25" hidden="1" customHeight="1">
      <c r="B3202" s="17"/>
      <c r="Q3202" s="18"/>
      <c r="R3202" s="14"/>
      <c r="S3202" s="14">
        <v>1</v>
      </c>
    </row>
    <row r="3203" spans="2:19" ht="20.25" hidden="1" customHeight="1">
      <c r="B3203" s="17"/>
      <c r="Q3203" s="18"/>
      <c r="R3203" s="14"/>
      <c r="S3203" s="14">
        <v>1</v>
      </c>
    </row>
    <row r="3204" spans="2:19" ht="20.25" hidden="1" customHeight="1">
      <c r="B3204" s="17"/>
      <c r="Q3204" s="18"/>
      <c r="R3204" s="14"/>
      <c r="S3204" s="14">
        <v>1</v>
      </c>
    </row>
    <row r="3205" spans="2:19" ht="20.25" hidden="1" customHeight="1">
      <c r="B3205" s="17"/>
      <c r="Q3205" s="18"/>
      <c r="R3205" s="14"/>
      <c r="S3205" s="14">
        <v>1</v>
      </c>
    </row>
    <row r="3206" spans="2:19" ht="20.25" hidden="1" customHeight="1">
      <c r="B3206" s="17"/>
      <c r="Q3206" s="18"/>
      <c r="R3206" s="14"/>
      <c r="S3206" s="14">
        <v>1</v>
      </c>
    </row>
    <row r="3207" spans="2:19" ht="20.25" hidden="1" customHeight="1">
      <c r="B3207" s="17"/>
      <c r="Q3207" s="18"/>
      <c r="R3207" s="14"/>
      <c r="S3207" s="14">
        <v>1</v>
      </c>
    </row>
    <row r="3208" spans="2:19" ht="20.25" hidden="1" customHeight="1">
      <c r="B3208" s="17"/>
      <c r="Q3208" s="18"/>
      <c r="R3208" s="14"/>
      <c r="S3208" s="14">
        <v>1</v>
      </c>
    </row>
    <row r="3209" spans="2:19" ht="20.25" hidden="1" customHeight="1">
      <c r="B3209" s="17"/>
      <c r="Q3209" s="18"/>
      <c r="R3209" s="14"/>
      <c r="S3209" s="14">
        <v>1</v>
      </c>
    </row>
    <row r="3210" spans="2:19" ht="20.25" hidden="1" customHeight="1">
      <c r="B3210" s="17"/>
      <c r="Q3210" s="18"/>
      <c r="R3210" s="14"/>
      <c r="S3210" s="14">
        <v>1</v>
      </c>
    </row>
    <row r="3211" spans="2:19" ht="20.25" hidden="1" customHeight="1">
      <c r="B3211" s="17"/>
      <c r="Q3211" s="18"/>
      <c r="R3211" s="14"/>
      <c r="S3211" s="14">
        <v>1</v>
      </c>
    </row>
    <row r="3212" spans="2:19" ht="20.25" hidden="1" customHeight="1">
      <c r="B3212" s="17"/>
      <c r="Q3212" s="18"/>
      <c r="R3212" s="14"/>
      <c r="S3212" s="14">
        <v>1</v>
      </c>
    </row>
    <row r="3213" spans="2:19" ht="20.25" hidden="1" customHeight="1">
      <c r="B3213" s="17"/>
      <c r="Q3213" s="18"/>
      <c r="R3213" s="14"/>
      <c r="S3213" s="14">
        <v>1</v>
      </c>
    </row>
    <row r="3214" spans="2:19" ht="20.25" hidden="1" customHeight="1">
      <c r="B3214" s="17"/>
      <c r="Q3214" s="18"/>
      <c r="R3214" s="14"/>
      <c r="S3214" s="14">
        <v>1</v>
      </c>
    </row>
    <row r="3215" spans="2:19" ht="20.25" hidden="1" customHeight="1">
      <c r="B3215" s="17"/>
      <c r="Q3215" s="18"/>
      <c r="R3215" s="14"/>
      <c r="S3215" s="14">
        <v>1</v>
      </c>
    </row>
    <row r="3216" spans="2:19" ht="20.25" hidden="1" customHeight="1">
      <c r="B3216" s="17"/>
      <c r="Q3216" s="18"/>
      <c r="R3216" s="14"/>
      <c r="S3216" s="14">
        <v>1</v>
      </c>
    </row>
    <row r="3217" spans="2:19" ht="20.25" hidden="1" customHeight="1">
      <c r="B3217" s="17"/>
      <c r="Q3217" s="18"/>
      <c r="R3217" s="14"/>
      <c r="S3217" s="14">
        <v>1</v>
      </c>
    </row>
    <row r="3218" spans="2:19" ht="20.25" hidden="1" customHeight="1">
      <c r="B3218" s="17"/>
      <c r="Q3218" s="18"/>
      <c r="R3218" s="14"/>
      <c r="S3218" s="14">
        <v>1</v>
      </c>
    </row>
    <row r="3219" spans="2:19" ht="20.25" hidden="1" customHeight="1">
      <c r="B3219" s="17"/>
      <c r="Q3219" s="18"/>
      <c r="R3219" s="14"/>
      <c r="S3219" s="14">
        <v>1</v>
      </c>
    </row>
    <row r="3220" spans="2:19" ht="20.25" hidden="1" customHeight="1">
      <c r="B3220" s="17"/>
      <c r="Q3220" s="18"/>
      <c r="R3220" s="14"/>
      <c r="S3220" s="14">
        <v>1</v>
      </c>
    </row>
    <row r="3221" spans="2:19" ht="20.25" hidden="1" customHeight="1">
      <c r="B3221" s="17"/>
      <c r="Q3221" s="18"/>
      <c r="R3221" s="14"/>
      <c r="S3221" s="14">
        <v>1</v>
      </c>
    </row>
    <row r="3222" spans="2:19" ht="20.25" hidden="1" customHeight="1">
      <c r="B3222" s="17"/>
      <c r="Q3222" s="18"/>
      <c r="R3222" s="14"/>
      <c r="S3222" s="14">
        <v>1</v>
      </c>
    </row>
    <row r="3223" spans="2:19" ht="20.25" hidden="1" customHeight="1">
      <c r="B3223" s="17"/>
      <c r="Q3223" s="18"/>
      <c r="R3223" s="14"/>
      <c r="S3223" s="14">
        <v>1</v>
      </c>
    </row>
    <row r="3224" spans="2:19" ht="20.25" hidden="1" customHeight="1">
      <c r="B3224" s="17"/>
      <c r="Q3224" s="18"/>
      <c r="R3224" s="14"/>
      <c r="S3224" s="14">
        <v>1</v>
      </c>
    </row>
    <row r="3225" spans="2:19" ht="20.25" hidden="1" customHeight="1">
      <c r="B3225" s="17"/>
      <c r="Q3225" s="18"/>
      <c r="R3225" s="14"/>
      <c r="S3225" s="14">
        <v>1</v>
      </c>
    </row>
    <row r="3226" spans="2:19" ht="20.25" hidden="1" customHeight="1">
      <c r="B3226" s="17"/>
      <c r="Q3226" s="18"/>
      <c r="R3226" s="14"/>
      <c r="S3226" s="14">
        <v>1</v>
      </c>
    </row>
    <row r="3227" spans="2:19" ht="20.25" hidden="1" customHeight="1">
      <c r="B3227" s="17"/>
      <c r="Q3227" s="18"/>
      <c r="R3227" s="14"/>
      <c r="S3227" s="14">
        <v>1</v>
      </c>
    </row>
    <row r="3228" spans="2:19" ht="20.25" hidden="1" customHeight="1">
      <c r="B3228" s="17"/>
      <c r="Q3228" s="18"/>
      <c r="R3228" s="14"/>
      <c r="S3228" s="14">
        <v>1</v>
      </c>
    </row>
    <row r="3229" spans="2:19" ht="20.25" hidden="1" customHeight="1">
      <c r="B3229" s="17"/>
      <c r="Q3229" s="18"/>
      <c r="R3229" s="14"/>
      <c r="S3229" s="14">
        <v>1</v>
      </c>
    </row>
    <row r="3230" spans="2:19" ht="20.25" hidden="1" customHeight="1">
      <c r="B3230" s="17"/>
      <c r="Q3230" s="18"/>
      <c r="R3230" s="14"/>
      <c r="S3230" s="14">
        <v>1</v>
      </c>
    </row>
    <row r="3231" spans="2:19" ht="20.25" hidden="1" customHeight="1">
      <c r="B3231" s="17"/>
      <c r="Q3231" s="18"/>
      <c r="R3231" s="14"/>
      <c r="S3231" s="14">
        <v>1</v>
      </c>
    </row>
    <row r="3232" spans="2:19" ht="20.25" hidden="1" customHeight="1">
      <c r="B3232" s="17"/>
      <c r="Q3232" s="18"/>
      <c r="R3232" s="14"/>
      <c r="S3232" s="14">
        <v>1</v>
      </c>
    </row>
    <row r="3233" spans="2:19" ht="20.25" hidden="1" customHeight="1">
      <c r="B3233" s="17"/>
      <c r="Q3233" s="18"/>
      <c r="R3233" s="14"/>
      <c r="S3233" s="14">
        <v>1</v>
      </c>
    </row>
    <row r="3234" spans="2:19" ht="20.25" hidden="1" customHeight="1">
      <c r="B3234" s="17"/>
      <c r="Q3234" s="18"/>
      <c r="R3234" s="14"/>
      <c r="S3234" s="14">
        <v>1</v>
      </c>
    </row>
    <row r="3235" spans="2:19" ht="20.25" hidden="1" customHeight="1">
      <c r="B3235" s="17"/>
      <c r="Q3235" s="18"/>
      <c r="R3235" s="14"/>
      <c r="S3235" s="14">
        <v>1</v>
      </c>
    </row>
    <row r="3236" spans="2:19" ht="20.25" hidden="1" customHeight="1">
      <c r="B3236" s="17"/>
      <c r="Q3236" s="18"/>
      <c r="R3236" s="14"/>
      <c r="S3236" s="14">
        <v>1</v>
      </c>
    </row>
    <row r="3237" spans="2:19" ht="20.25" hidden="1" customHeight="1">
      <c r="B3237" s="17"/>
      <c r="Q3237" s="18"/>
      <c r="R3237" s="14"/>
      <c r="S3237" s="14">
        <v>1</v>
      </c>
    </row>
    <row r="3238" spans="2:19" ht="20.25" hidden="1" customHeight="1">
      <c r="B3238" s="17"/>
      <c r="Q3238" s="18"/>
      <c r="R3238" s="14"/>
      <c r="S3238" s="14">
        <v>1</v>
      </c>
    </row>
    <row r="3239" spans="2:19" ht="20.25" hidden="1" customHeight="1">
      <c r="B3239" s="17"/>
      <c r="Q3239" s="18"/>
      <c r="R3239" s="14"/>
      <c r="S3239" s="14">
        <v>1</v>
      </c>
    </row>
    <row r="3240" spans="2:19" ht="20.25" hidden="1" customHeight="1">
      <c r="B3240" s="17"/>
      <c r="Q3240" s="18"/>
      <c r="R3240" s="14"/>
      <c r="S3240" s="14">
        <v>1</v>
      </c>
    </row>
    <row r="3241" spans="2:19" ht="20.25" hidden="1" customHeight="1">
      <c r="B3241" s="17"/>
      <c r="Q3241" s="18"/>
      <c r="R3241" s="14"/>
      <c r="S3241" s="14">
        <v>1</v>
      </c>
    </row>
    <row r="3242" spans="2:19" ht="20.25" hidden="1" customHeight="1">
      <c r="B3242" s="17"/>
      <c r="Q3242" s="18"/>
      <c r="R3242" s="14"/>
      <c r="S3242" s="14">
        <v>1</v>
      </c>
    </row>
    <row r="3243" spans="2:19" ht="20.25" hidden="1" customHeight="1">
      <c r="B3243" s="17"/>
      <c r="Q3243" s="18"/>
      <c r="R3243" s="14"/>
      <c r="S3243" s="14">
        <v>1</v>
      </c>
    </row>
    <row r="3244" spans="2:19" ht="20.25" hidden="1" customHeight="1">
      <c r="B3244" s="17"/>
      <c r="Q3244" s="18"/>
      <c r="R3244" s="14"/>
      <c r="S3244" s="14">
        <v>1</v>
      </c>
    </row>
    <row r="3245" spans="2:19" ht="20.25" hidden="1" customHeight="1">
      <c r="B3245" s="17"/>
      <c r="Q3245" s="18"/>
      <c r="R3245" s="14"/>
      <c r="S3245" s="14">
        <v>1</v>
      </c>
    </row>
    <row r="3246" spans="2:19" ht="20.25" hidden="1" customHeight="1">
      <c r="B3246" s="17"/>
      <c r="Q3246" s="18"/>
      <c r="R3246" s="14"/>
      <c r="S3246" s="14">
        <v>1</v>
      </c>
    </row>
    <row r="3247" spans="2:19" ht="20.25" hidden="1" customHeight="1">
      <c r="B3247" s="17"/>
      <c r="Q3247" s="18"/>
      <c r="R3247" s="14"/>
      <c r="S3247" s="14">
        <v>1</v>
      </c>
    </row>
    <row r="3248" spans="2:19" ht="20.25" hidden="1" customHeight="1">
      <c r="B3248" s="17"/>
      <c r="Q3248" s="18"/>
      <c r="R3248" s="14"/>
      <c r="S3248" s="14">
        <v>1</v>
      </c>
    </row>
    <row r="3249" spans="2:19" ht="20.25" hidden="1" customHeight="1">
      <c r="B3249" s="17"/>
      <c r="Q3249" s="18"/>
      <c r="R3249" s="14"/>
      <c r="S3249" s="14">
        <v>1</v>
      </c>
    </row>
    <row r="3250" spans="2:19" ht="20.25" hidden="1" customHeight="1">
      <c r="B3250" s="17"/>
      <c r="Q3250" s="18"/>
      <c r="R3250" s="14"/>
      <c r="S3250" s="14">
        <v>1</v>
      </c>
    </row>
    <row r="3251" spans="2:19" ht="20.25" hidden="1" customHeight="1">
      <c r="B3251" s="17"/>
      <c r="Q3251" s="18"/>
      <c r="R3251" s="14"/>
      <c r="S3251" s="14">
        <v>1</v>
      </c>
    </row>
    <row r="3252" spans="2:19" ht="20.25" hidden="1" customHeight="1">
      <c r="B3252" s="17"/>
      <c r="Q3252" s="18"/>
      <c r="R3252" s="14"/>
      <c r="S3252" s="14">
        <v>1</v>
      </c>
    </row>
    <row r="3253" spans="2:19" ht="20.25" hidden="1" customHeight="1">
      <c r="B3253" s="17"/>
      <c r="Q3253" s="18"/>
      <c r="R3253" s="14"/>
      <c r="S3253" s="14">
        <v>1</v>
      </c>
    </row>
    <row r="3254" spans="2:19" ht="20.25" hidden="1" customHeight="1">
      <c r="B3254" s="17"/>
      <c r="Q3254" s="18"/>
      <c r="R3254" s="14"/>
      <c r="S3254" s="14">
        <v>1</v>
      </c>
    </row>
    <row r="3255" spans="2:19" ht="20.25" hidden="1" customHeight="1">
      <c r="B3255" s="17"/>
      <c r="Q3255" s="18"/>
      <c r="R3255" s="14"/>
      <c r="S3255" s="14">
        <v>1</v>
      </c>
    </row>
    <row r="3256" spans="2:19" ht="20.25" hidden="1" customHeight="1">
      <c r="B3256" s="17"/>
      <c r="Q3256" s="18"/>
      <c r="R3256" s="14"/>
      <c r="S3256" s="14">
        <v>1</v>
      </c>
    </row>
    <row r="3257" spans="2:19" ht="20.25" hidden="1" customHeight="1">
      <c r="B3257" s="17"/>
      <c r="Q3257" s="18"/>
      <c r="R3257" s="14"/>
      <c r="S3257" s="14">
        <v>1</v>
      </c>
    </row>
    <row r="3258" spans="2:19" ht="20.25" hidden="1" customHeight="1">
      <c r="B3258" s="17"/>
      <c r="Q3258" s="18"/>
      <c r="R3258" s="14"/>
      <c r="S3258" s="14">
        <v>1</v>
      </c>
    </row>
    <row r="3259" spans="2:19" ht="20.25" hidden="1" customHeight="1">
      <c r="B3259" s="17"/>
      <c r="Q3259" s="18"/>
      <c r="R3259" s="14"/>
      <c r="S3259" s="14">
        <v>1</v>
      </c>
    </row>
    <row r="3260" spans="2:19" ht="20.25" hidden="1" customHeight="1">
      <c r="B3260" s="17"/>
      <c r="Q3260" s="18"/>
      <c r="R3260" s="14"/>
      <c r="S3260" s="14">
        <v>1</v>
      </c>
    </row>
    <row r="3261" spans="2:19" ht="20.25" hidden="1" customHeight="1">
      <c r="B3261" s="17"/>
      <c r="Q3261" s="18"/>
      <c r="R3261" s="14"/>
      <c r="S3261" s="14">
        <v>1</v>
      </c>
    </row>
    <row r="3262" spans="2:19" ht="20.25" hidden="1" customHeight="1">
      <c r="B3262" s="17"/>
      <c r="Q3262" s="18"/>
      <c r="R3262" s="14"/>
      <c r="S3262" s="14">
        <v>1</v>
      </c>
    </row>
    <row r="3263" spans="2:19" ht="20.25" hidden="1" customHeight="1">
      <c r="B3263" s="17"/>
      <c r="Q3263" s="18"/>
      <c r="R3263" s="14"/>
      <c r="S3263" s="14">
        <v>1</v>
      </c>
    </row>
    <row r="3264" spans="2:19" ht="20.25" hidden="1" customHeight="1">
      <c r="B3264" s="17"/>
      <c r="Q3264" s="18"/>
      <c r="R3264" s="14"/>
      <c r="S3264" s="14">
        <v>1</v>
      </c>
    </row>
    <row r="3265" spans="2:19" ht="20.25" hidden="1" customHeight="1">
      <c r="B3265" s="17"/>
      <c r="Q3265" s="18"/>
      <c r="R3265" s="14"/>
      <c r="S3265" s="14">
        <v>1</v>
      </c>
    </row>
    <row r="3266" spans="2:19" ht="20.25" hidden="1" customHeight="1">
      <c r="B3266" s="17"/>
      <c r="Q3266" s="18"/>
      <c r="R3266" s="14"/>
      <c r="S3266" s="14">
        <v>1</v>
      </c>
    </row>
    <row r="3267" spans="2:19" ht="20.25" hidden="1" customHeight="1">
      <c r="B3267" s="17"/>
      <c r="Q3267" s="18"/>
      <c r="R3267" s="14"/>
      <c r="S3267" s="14">
        <v>1</v>
      </c>
    </row>
    <row r="3268" spans="2:19" ht="20.25" hidden="1" customHeight="1">
      <c r="B3268" s="17"/>
      <c r="Q3268" s="18"/>
      <c r="R3268" s="14"/>
      <c r="S3268" s="14">
        <v>1</v>
      </c>
    </row>
    <row r="3269" spans="2:19" ht="20.25" hidden="1" customHeight="1">
      <c r="B3269" s="17"/>
      <c r="Q3269" s="18"/>
      <c r="R3269" s="14"/>
      <c r="S3269" s="14">
        <v>1</v>
      </c>
    </row>
    <row r="3270" spans="2:19" ht="20.25" hidden="1" customHeight="1">
      <c r="B3270" s="17"/>
      <c r="Q3270" s="18"/>
      <c r="R3270" s="14"/>
      <c r="S3270" s="14">
        <v>1</v>
      </c>
    </row>
    <row r="3271" spans="2:19" ht="20.25" hidden="1" customHeight="1">
      <c r="B3271" s="17"/>
      <c r="Q3271" s="18"/>
      <c r="R3271" s="14"/>
      <c r="S3271" s="14">
        <v>1</v>
      </c>
    </row>
    <row r="3272" spans="2:19" ht="20.25" hidden="1" customHeight="1">
      <c r="B3272" s="17"/>
      <c r="Q3272" s="18"/>
      <c r="R3272" s="14"/>
      <c r="S3272" s="14">
        <v>1</v>
      </c>
    </row>
    <row r="3273" spans="2:19" ht="20.25" hidden="1" customHeight="1">
      <c r="B3273" s="17"/>
      <c r="Q3273" s="18"/>
      <c r="R3273" s="14"/>
      <c r="S3273" s="14">
        <v>1</v>
      </c>
    </row>
    <row r="3274" spans="2:19" ht="20.25" hidden="1" customHeight="1">
      <c r="B3274" s="17"/>
      <c r="Q3274" s="18"/>
      <c r="R3274" s="14"/>
      <c r="S3274" s="14">
        <v>1</v>
      </c>
    </row>
    <row r="3275" spans="2:19" ht="20.25" hidden="1" customHeight="1">
      <c r="B3275" s="17"/>
      <c r="Q3275" s="18"/>
      <c r="R3275" s="14"/>
      <c r="S3275" s="14">
        <v>1</v>
      </c>
    </row>
    <row r="3276" spans="2:19" ht="20.25" hidden="1" customHeight="1">
      <c r="B3276" s="17"/>
      <c r="Q3276" s="18"/>
      <c r="R3276" s="14"/>
      <c r="S3276" s="14">
        <v>1</v>
      </c>
    </row>
    <row r="3277" spans="2:19" ht="20.25" hidden="1" customHeight="1">
      <c r="B3277" s="17"/>
      <c r="Q3277" s="18"/>
      <c r="R3277" s="14"/>
      <c r="S3277" s="14">
        <v>1</v>
      </c>
    </row>
    <row r="3278" spans="2:19" ht="20.25" hidden="1" customHeight="1">
      <c r="B3278" s="17"/>
      <c r="Q3278" s="18"/>
      <c r="R3278" s="14"/>
      <c r="S3278" s="14">
        <v>1</v>
      </c>
    </row>
    <row r="3279" spans="2:19" ht="20.25" hidden="1" customHeight="1">
      <c r="B3279" s="17"/>
      <c r="Q3279" s="18"/>
      <c r="R3279" s="14"/>
      <c r="S3279" s="14">
        <v>1</v>
      </c>
    </row>
    <row r="3280" spans="2:19" ht="20.25" hidden="1" customHeight="1">
      <c r="B3280" s="17"/>
      <c r="Q3280" s="18"/>
      <c r="R3280" s="14"/>
      <c r="S3280" s="14">
        <v>1</v>
      </c>
    </row>
    <row r="3281" spans="2:19" ht="20.25" hidden="1" customHeight="1">
      <c r="B3281" s="17"/>
      <c r="Q3281" s="18"/>
      <c r="R3281" s="14"/>
      <c r="S3281" s="14">
        <v>1</v>
      </c>
    </row>
    <row r="3282" spans="2:19" ht="20.25" hidden="1" customHeight="1">
      <c r="B3282" s="17"/>
      <c r="Q3282" s="18"/>
      <c r="R3282" s="14"/>
      <c r="S3282" s="14">
        <v>1</v>
      </c>
    </row>
    <row r="3283" spans="2:19" ht="20.25" hidden="1" customHeight="1">
      <c r="B3283" s="17"/>
      <c r="Q3283" s="18"/>
      <c r="R3283" s="14"/>
      <c r="S3283" s="14">
        <v>1</v>
      </c>
    </row>
    <row r="3284" spans="2:19" ht="20.25" hidden="1" customHeight="1">
      <c r="B3284" s="17"/>
      <c r="Q3284" s="18"/>
      <c r="R3284" s="14"/>
      <c r="S3284" s="14">
        <v>1</v>
      </c>
    </row>
    <row r="3285" spans="2:19" ht="20.25" hidden="1" customHeight="1">
      <c r="B3285" s="17"/>
      <c r="Q3285" s="18"/>
      <c r="R3285" s="14"/>
      <c r="S3285" s="14">
        <v>1</v>
      </c>
    </row>
    <row r="3286" spans="2:19" ht="20.25" hidden="1" customHeight="1">
      <c r="B3286" s="17"/>
      <c r="Q3286" s="18"/>
      <c r="R3286" s="14"/>
      <c r="S3286" s="14">
        <v>1</v>
      </c>
    </row>
    <row r="3287" spans="2:19" ht="20.25" hidden="1" customHeight="1">
      <c r="B3287" s="17"/>
      <c r="Q3287" s="18"/>
      <c r="R3287" s="14"/>
      <c r="S3287" s="14">
        <v>1</v>
      </c>
    </row>
    <row r="3288" spans="2:19" ht="20.25" hidden="1" customHeight="1">
      <c r="B3288" s="17"/>
      <c r="Q3288" s="18"/>
      <c r="R3288" s="14"/>
      <c r="S3288" s="14">
        <v>1</v>
      </c>
    </row>
    <row r="3289" spans="2:19" ht="20.25" hidden="1" customHeight="1">
      <c r="B3289" s="17"/>
      <c r="Q3289" s="18"/>
      <c r="R3289" s="14"/>
      <c r="S3289" s="14">
        <v>1</v>
      </c>
    </row>
    <row r="3290" spans="2:19" ht="20.25" hidden="1" customHeight="1">
      <c r="B3290" s="17"/>
      <c r="Q3290" s="18"/>
      <c r="R3290" s="14"/>
      <c r="S3290" s="14">
        <v>1</v>
      </c>
    </row>
    <row r="3291" spans="2:19" ht="20.25" hidden="1" customHeight="1">
      <c r="B3291" s="17"/>
      <c r="Q3291" s="18"/>
      <c r="R3291" s="14"/>
      <c r="S3291" s="14">
        <v>1</v>
      </c>
    </row>
    <row r="3292" spans="2:19" ht="20.25" hidden="1" customHeight="1">
      <c r="B3292" s="17"/>
      <c r="Q3292" s="18"/>
      <c r="R3292" s="14"/>
      <c r="S3292" s="14">
        <v>1</v>
      </c>
    </row>
    <row r="3293" spans="2:19" ht="20.25" hidden="1" customHeight="1">
      <c r="B3293" s="17"/>
      <c r="Q3293" s="18"/>
      <c r="R3293" s="14"/>
      <c r="S3293" s="14">
        <v>1</v>
      </c>
    </row>
    <row r="3294" spans="2:19" ht="20.25" hidden="1" customHeight="1">
      <c r="B3294" s="17"/>
      <c r="Q3294" s="18"/>
      <c r="R3294" s="14"/>
      <c r="S3294" s="14">
        <v>1</v>
      </c>
    </row>
    <row r="3295" spans="2:19" ht="20.25" hidden="1" customHeight="1">
      <c r="B3295" s="17"/>
      <c r="Q3295" s="18"/>
      <c r="R3295" s="14"/>
      <c r="S3295" s="14">
        <v>1</v>
      </c>
    </row>
    <row r="3296" spans="2:19" ht="20.25" hidden="1" customHeight="1">
      <c r="B3296" s="17"/>
      <c r="Q3296" s="18"/>
      <c r="R3296" s="14"/>
      <c r="S3296" s="14">
        <v>1</v>
      </c>
    </row>
    <row r="3297" spans="2:19" ht="20.25" hidden="1" customHeight="1">
      <c r="B3297" s="17"/>
      <c r="Q3297" s="18"/>
      <c r="R3297" s="14"/>
      <c r="S3297" s="14">
        <v>1</v>
      </c>
    </row>
    <row r="3298" spans="2:19" ht="20.25" hidden="1" customHeight="1">
      <c r="B3298" s="17"/>
      <c r="Q3298" s="18"/>
      <c r="R3298" s="14"/>
      <c r="S3298" s="14">
        <v>1</v>
      </c>
    </row>
    <row r="3299" spans="2:19" ht="20.25" hidden="1" customHeight="1">
      <c r="B3299" s="17"/>
      <c r="Q3299" s="18"/>
      <c r="R3299" s="14"/>
      <c r="S3299" s="14">
        <v>1</v>
      </c>
    </row>
    <row r="3300" spans="2:19" ht="20.25" hidden="1" customHeight="1">
      <c r="B3300" s="17"/>
      <c r="Q3300" s="18"/>
      <c r="R3300" s="14"/>
      <c r="S3300" s="14">
        <v>1</v>
      </c>
    </row>
    <row r="3301" spans="2:19" ht="20.25" hidden="1" customHeight="1">
      <c r="B3301" s="17"/>
      <c r="Q3301" s="18"/>
      <c r="R3301" s="14"/>
      <c r="S3301" s="14">
        <v>1</v>
      </c>
    </row>
    <row r="3302" spans="2:19" ht="20.25" hidden="1" customHeight="1">
      <c r="B3302" s="17"/>
      <c r="Q3302" s="18"/>
      <c r="R3302" s="14"/>
      <c r="S3302" s="14">
        <v>1</v>
      </c>
    </row>
    <row r="3303" spans="2:19" ht="20.25" hidden="1" customHeight="1">
      <c r="B3303" s="17"/>
      <c r="Q3303" s="18"/>
      <c r="R3303" s="14"/>
      <c r="S3303" s="14">
        <v>1</v>
      </c>
    </row>
    <row r="3304" spans="2:19" ht="20.25" hidden="1" customHeight="1">
      <c r="B3304" s="17"/>
      <c r="Q3304" s="18"/>
      <c r="R3304" s="14"/>
      <c r="S3304" s="14">
        <v>1</v>
      </c>
    </row>
    <row r="3305" spans="2:19" ht="20.25" hidden="1" customHeight="1">
      <c r="B3305" s="17"/>
      <c r="Q3305" s="18"/>
      <c r="R3305" s="14"/>
      <c r="S3305" s="14">
        <v>1</v>
      </c>
    </row>
    <row r="3306" spans="2:19" ht="20.25" hidden="1" customHeight="1">
      <c r="B3306" s="17"/>
      <c r="Q3306" s="18"/>
      <c r="R3306" s="14"/>
      <c r="S3306" s="14">
        <v>1</v>
      </c>
    </row>
    <row r="3307" spans="2:19" ht="20.25" hidden="1" customHeight="1">
      <c r="B3307" s="17"/>
      <c r="Q3307" s="18"/>
      <c r="R3307" s="14"/>
      <c r="S3307" s="14">
        <v>1</v>
      </c>
    </row>
    <row r="3308" spans="2:19" ht="20.25" hidden="1" customHeight="1">
      <c r="B3308" s="17"/>
      <c r="Q3308" s="18"/>
      <c r="R3308" s="14"/>
      <c r="S3308" s="14">
        <v>1</v>
      </c>
    </row>
    <row r="3309" spans="2:19" ht="20.25" hidden="1" customHeight="1">
      <c r="B3309" s="17"/>
      <c r="Q3309" s="18"/>
      <c r="R3309" s="14"/>
      <c r="S3309" s="14">
        <v>1</v>
      </c>
    </row>
    <row r="3310" spans="2:19" ht="20.25" hidden="1" customHeight="1">
      <c r="B3310" s="17"/>
      <c r="Q3310" s="18"/>
      <c r="R3310" s="14"/>
      <c r="S3310" s="14">
        <v>1</v>
      </c>
    </row>
    <row r="3311" spans="2:19" ht="20.25" hidden="1" customHeight="1">
      <c r="B3311" s="17"/>
      <c r="Q3311" s="18"/>
      <c r="R3311" s="14"/>
      <c r="S3311" s="14">
        <v>1</v>
      </c>
    </row>
    <row r="3312" spans="2:19" ht="20.25" hidden="1" customHeight="1">
      <c r="B3312" s="17"/>
      <c r="Q3312" s="18"/>
      <c r="R3312" s="14"/>
      <c r="S3312" s="14">
        <v>1</v>
      </c>
    </row>
    <row r="3313" spans="2:19" ht="20.25" hidden="1" customHeight="1">
      <c r="B3313" s="17"/>
      <c r="Q3313" s="18"/>
      <c r="R3313" s="14"/>
      <c r="S3313" s="14">
        <v>1</v>
      </c>
    </row>
    <row r="3314" spans="2:19" ht="20.25" hidden="1" customHeight="1">
      <c r="B3314" s="17"/>
      <c r="Q3314" s="18"/>
      <c r="R3314" s="14"/>
      <c r="S3314" s="14">
        <v>1</v>
      </c>
    </row>
    <row r="3315" spans="2:19" ht="20.25" hidden="1" customHeight="1">
      <c r="B3315" s="17"/>
      <c r="Q3315" s="18"/>
      <c r="R3315" s="14"/>
      <c r="S3315" s="14">
        <v>1</v>
      </c>
    </row>
    <row r="3316" spans="2:19" ht="20.25" hidden="1" customHeight="1">
      <c r="B3316" s="17"/>
      <c r="Q3316" s="18"/>
      <c r="R3316" s="14"/>
      <c r="S3316" s="14">
        <v>1</v>
      </c>
    </row>
    <row r="3317" spans="2:19" ht="20.25" hidden="1" customHeight="1">
      <c r="B3317" s="17"/>
      <c r="Q3317" s="18"/>
      <c r="R3317" s="14"/>
      <c r="S3317" s="14">
        <v>1</v>
      </c>
    </row>
    <row r="3318" spans="2:19" ht="20.25" hidden="1" customHeight="1">
      <c r="B3318" s="17"/>
      <c r="Q3318" s="18"/>
      <c r="R3318" s="14"/>
      <c r="S3318" s="14">
        <v>1</v>
      </c>
    </row>
    <row r="3319" spans="2:19" ht="20.25" hidden="1" customHeight="1">
      <c r="B3319" s="17"/>
      <c r="Q3319" s="18"/>
      <c r="R3319" s="14"/>
      <c r="S3319" s="14">
        <v>1</v>
      </c>
    </row>
    <row r="3320" spans="2:19" ht="20.25" hidden="1" customHeight="1">
      <c r="B3320" s="17"/>
      <c r="Q3320" s="18"/>
      <c r="R3320" s="14"/>
      <c r="S3320" s="14">
        <v>1</v>
      </c>
    </row>
    <row r="3321" spans="2:19" ht="20.25" hidden="1" customHeight="1">
      <c r="B3321" s="17"/>
      <c r="Q3321" s="18"/>
      <c r="R3321" s="14"/>
      <c r="S3321" s="14">
        <v>1</v>
      </c>
    </row>
    <row r="3322" spans="2:19" ht="20.25" hidden="1" customHeight="1">
      <c r="B3322" s="17"/>
      <c r="Q3322" s="18"/>
      <c r="R3322" s="14"/>
      <c r="S3322" s="14">
        <v>1</v>
      </c>
    </row>
    <row r="3323" spans="2:19" ht="20.25" hidden="1" customHeight="1">
      <c r="B3323" s="17"/>
      <c r="Q3323" s="18"/>
      <c r="R3323" s="14"/>
      <c r="S3323" s="14">
        <v>1</v>
      </c>
    </row>
    <row r="3324" spans="2:19" ht="20.25" hidden="1" customHeight="1">
      <c r="B3324" s="17"/>
      <c r="Q3324" s="18"/>
      <c r="R3324" s="14"/>
      <c r="S3324" s="14">
        <v>1</v>
      </c>
    </row>
    <row r="3325" spans="2:19" ht="20.25" hidden="1" customHeight="1">
      <c r="B3325" s="17"/>
      <c r="Q3325" s="18"/>
      <c r="R3325" s="14"/>
      <c r="S3325" s="14">
        <v>1</v>
      </c>
    </row>
    <row r="3326" spans="2:19" ht="20.25" hidden="1" customHeight="1">
      <c r="B3326" s="17"/>
      <c r="Q3326" s="18"/>
      <c r="R3326" s="14"/>
      <c r="S3326" s="14">
        <v>1</v>
      </c>
    </row>
    <row r="3327" spans="2:19" ht="20.25" hidden="1" customHeight="1">
      <c r="B3327" s="17"/>
      <c r="Q3327" s="18"/>
      <c r="R3327" s="14"/>
      <c r="S3327" s="14">
        <v>1</v>
      </c>
    </row>
    <row r="3328" spans="2:19" ht="20.25" hidden="1" customHeight="1">
      <c r="B3328" s="17"/>
      <c r="Q3328" s="18"/>
      <c r="R3328" s="14"/>
      <c r="S3328" s="14">
        <v>1</v>
      </c>
    </row>
    <row r="3329" spans="2:19" ht="20.25" hidden="1" customHeight="1">
      <c r="B3329" s="17"/>
      <c r="Q3329" s="18"/>
      <c r="R3329" s="14"/>
      <c r="S3329" s="14">
        <v>1</v>
      </c>
    </row>
    <row r="3330" spans="2:19" ht="20.25" hidden="1" customHeight="1">
      <c r="B3330" s="17"/>
      <c r="Q3330" s="18"/>
      <c r="R3330" s="14"/>
      <c r="S3330" s="14">
        <v>1</v>
      </c>
    </row>
    <row r="3331" spans="2:19" ht="20.25" hidden="1" customHeight="1">
      <c r="B3331" s="17"/>
      <c r="Q3331" s="18"/>
      <c r="R3331" s="14"/>
      <c r="S3331" s="14">
        <v>1</v>
      </c>
    </row>
    <row r="3332" spans="2:19" ht="20.25" hidden="1" customHeight="1">
      <c r="B3332" s="17"/>
      <c r="Q3332" s="18"/>
      <c r="R3332" s="14"/>
      <c r="S3332" s="14">
        <v>1</v>
      </c>
    </row>
    <row r="3333" spans="2:19" ht="20.25" hidden="1" customHeight="1">
      <c r="B3333" s="17"/>
      <c r="Q3333" s="18"/>
      <c r="R3333" s="14"/>
      <c r="S3333" s="14">
        <v>1</v>
      </c>
    </row>
    <row r="3334" spans="2:19" ht="20.25" hidden="1" customHeight="1">
      <c r="B3334" s="17"/>
      <c r="Q3334" s="18"/>
      <c r="R3334" s="14"/>
      <c r="S3334" s="14">
        <v>1</v>
      </c>
    </row>
    <row r="3335" spans="2:19" ht="20.25" hidden="1" customHeight="1">
      <c r="B3335" s="17"/>
      <c r="Q3335" s="18"/>
      <c r="R3335" s="14"/>
      <c r="S3335" s="14">
        <v>1</v>
      </c>
    </row>
    <row r="3336" spans="2:19" ht="20.25" hidden="1" customHeight="1">
      <c r="B3336" s="17"/>
      <c r="Q3336" s="18"/>
      <c r="R3336" s="14"/>
      <c r="S3336" s="14">
        <v>1</v>
      </c>
    </row>
    <row r="3337" spans="2:19" ht="20.25" hidden="1" customHeight="1">
      <c r="B3337" s="17"/>
      <c r="Q3337" s="18"/>
      <c r="R3337" s="14"/>
      <c r="S3337" s="14">
        <v>1</v>
      </c>
    </row>
    <row r="3338" spans="2:19" ht="20.25" hidden="1" customHeight="1">
      <c r="B3338" s="17"/>
      <c r="Q3338" s="18"/>
      <c r="R3338" s="14"/>
      <c r="S3338" s="14">
        <v>1</v>
      </c>
    </row>
    <row r="3339" spans="2:19" ht="20.25" hidden="1" customHeight="1">
      <c r="B3339" s="17"/>
      <c r="Q3339" s="18"/>
      <c r="R3339" s="14"/>
      <c r="S3339" s="14">
        <v>1</v>
      </c>
    </row>
    <row r="3340" spans="2:19" ht="20.25" hidden="1" customHeight="1">
      <c r="B3340" s="17"/>
      <c r="Q3340" s="18"/>
      <c r="R3340" s="14"/>
      <c r="S3340" s="14">
        <v>1</v>
      </c>
    </row>
    <row r="3341" spans="2:19" ht="20.25" hidden="1" customHeight="1">
      <c r="B3341" s="17"/>
      <c r="Q3341" s="18"/>
      <c r="R3341" s="14"/>
      <c r="S3341" s="14">
        <v>1</v>
      </c>
    </row>
    <row r="3342" spans="2:19" ht="20.25" hidden="1" customHeight="1">
      <c r="B3342" s="17"/>
      <c r="Q3342" s="18"/>
      <c r="R3342" s="14"/>
      <c r="S3342" s="14">
        <v>1</v>
      </c>
    </row>
    <row r="3343" spans="2:19" ht="20.25" hidden="1" customHeight="1">
      <c r="B3343" s="17"/>
      <c r="Q3343" s="18"/>
      <c r="R3343" s="14"/>
      <c r="S3343" s="14">
        <v>1</v>
      </c>
    </row>
    <row r="3344" spans="2:19" ht="20.25" hidden="1" customHeight="1">
      <c r="B3344" s="17"/>
      <c r="Q3344" s="18"/>
      <c r="R3344" s="14"/>
      <c r="S3344" s="14">
        <v>1</v>
      </c>
    </row>
    <row r="3345" spans="2:19" ht="20.25" hidden="1" customHeight="1">
      <c r="B3345" s="17"/>
      <c r="Q3345" s="18"/>
      <c r="R3345" s="14"/>
      <c r="S3345" s="14">
        <v>1</v>
      </c>
    </row>
    <row r="3346" spans="2:19" ht="20.25" hidden="1" customHeight="1">
      <c r="B3346" s="17"/>
      <c r="Q3346" s="18"/>
      <c r="R3346" s="14"/>
      <c r="S3346" s="14">
        <v>1</v>
      </c>
    </row>
    <row r="3347" spans="2:19" ht="20.25" hidden="1" customHeight="1">
      <c r="B3347" s="17"/>
      <c r="Q3347" s="18"/>
      <c r="R3347" s="14"/>
      <c r="S3347" s="14">
        <v>1</v>
      </c>
    </row>
    <row r="3348" spans="2:19" ht="20.25" hidden="1" customHeight="1">
      <c r="B3348" s="17"/>
      <c r="Q3348" s="18"/>
      <c r="R3348" s="14"/>
      <c r="S3348" s="14">
        <v>1</v>
      </c>
    </row>
    <row r="3349" spans="2:19" ht="20.25" hidden="1" customHeight="1">
      <c r="B3349" s="17"/>
      <c r="Q3349" s="18"/>
      <c r="R3349" s="14"/>
      <c r="S3349" s="14">
        <v>1</v>
      </c>
    </row>
    <row r="3350" spans="2:19" ht="20.25" hidden="1" customHeight="1">
      <c r="B3350" s="17"/>
      <c r="Q3350" s="18"/>
      <c r="R3350" s="14"/>
      <c r="S3350" s="14">
        <v>1</v>
      </c>
    </row>
    <row r="3351" spans="2:19" ht="20.25" hidden="1" customHeight="1">
      <c r="B3351" s="17"/>
      <c r="Q3351" s="18"/>
      <c r="R3351" s="14"/>
      <c r="S3351" s="14">
        <v>1</v>
      </c>
    </row>
    <row r="3352" spans="2:19" ht="20.25" hidden="1" customHeight="1">
      <c r="B3352" s="17"/>
      <c r="Q3352" s="18"/>
      <c r="R3352" s="14"/>
      <c r="S3352" s="14">
        <v>1</v>
      </c>
    </row>
    <row r="3353" spans="2:19" ht="20.25" hidden="1" customHeight="1">
      <c r="B3353" s="17"/>
      <c r="Q3353" s="18"/>
      <c r="R3353" s="14"/>
      <c r="S3353" s="14">
        <v>1</v>
      </c>
    </row>
    <row r="3354" spans="2:19" ht="20.25" hidden="1" customHeight="1">
      <c r="B3354" s="17"/>
      <c r="Q3354" s="18"/>
      <c r="R3354" s="14"/>
      <c r="S3354" s="14">
        <v>1</v>
      </c>
    </row>
    <row r="3355" spans="2:19" ht="20.25" hidden="1" customHeight="1">
      <c r="B3355" s="17"/>
      <c r="Q3355" s="18"/>
      <c r="R3355" s="14"/>
      <c r="S3355" s="14">
        <v>1</v>
      </c>
    </row>
    <row r="3356" spans="2:19" ht="20.25" hidden="1" customHeight="1">
      <c r="B3356" s="17"/>
      <c r="Q3356" s="18"/>
      <c r="R3356" s="14"/>
      <c r="S3356" s="14">
        <v>1</v>
      </c>
    </row>
    <row r="3357" spans="2:19" ht="20.25" hidden="1" customHeight="1">
      <c r="B3357" s="17"/>
      <c r="Q3357" s="18"/>
      <c r="R3357" s="14"/>
      <c r="S3357" s="14">
        <v>1</v>
      </c>
    </row>
    <row r="3358" spans="2:19" ht="20.25" hidden="1" customHeight="1">
      <c r="B3358" s="17"/>
      <c r="Q3358" s="18"/>
      <c r="R3358" s="14"/>
      <c r="S3358" s="14">
        <v>1</v>
      </c>
    </row>
    <row r="3359" spans="2:19" ht="20.25" hidden="1" customHeight="1">
      <c r="B3359" s="17"/>
      <c r="Q3359" s="18"/>
      <c r="R3359" s="14"/>
      <c r="S3359" s="14">
        <v>1</v>
      </c>
    </row>
    <row r="3360" spans="2:19" ht="20.25" hidden="1" customHeight="1">
      <c r="B3360" s="17"/>
      <c r="Q3360" s="18"/>
      <c r="R3360" s="14"/>
      <c r="S3360" s="14">
        <v>1</v>
      </c>
    </row>
    <row r="3361" spans="2:19" ht="20.25" hidden="1" customHeight="1">
      <c r="B3361" s="17"/>
      <c r="Q3361" s="18"/>
      <c r="R3361" s="14"/>
      <c r="S3361" s="14">
        <v>1</v>
      </c>
    </row>
    <row r="3362" spans="2:19" ht="20.25" hidden="1" customHeight="1">
      <c r="B3362" s="17"/>
      <c r="Q3362" s="18"/>
      <c r="R3362" s="14"/>
      <c r="S3362" s="14">
        <v>1</v>
      </c>
    </row>
    <row r="3363" spans="2:19" ht="20.25" hidden="1" customHeight="1">
      <c r="B3363" s="17"/>
      <c r="Q3363" s="18"/>
      <c r="R3363" s="14"/>
      <c r="S3363" s="14">
        <v>1</v>
      </c>
    </row>
    <row r="3364" spans="2:19" ht="20.25" hidden="1" customHeight="1">
      <c r="B3364" s="17"/>
      <c r="Q3364" s="18"/>
      <c r="R3364" s="14"/>
      <c r="S3364" s="14">
        <v>1</v>
      </c>
    </row>
    <row r="3365" spans="2:19" ht="20.25" hidden="1" customHeight="1">
      <c r="B3365" s="17"/>
      <c r="Q3365" s="18"/>
      <c r="R3365" s="14"/>
      <c r="S3365" s="14">
        <v>1</v>
      </c>
    </row>
    <row r="3366" spans="2:19" ht="20.25" hidden="1" customHeight="1">
      <c r="B3366" s="17"/>
      <c r="Q3366" s="18"/>
      <c r="R3366" s="14"/>
      <c r="S3366" s="14">
        <v>1</v>
      </c>
    </row>
    <row r="3367" spans="2:19" ht="20.25" hidden="1" customHeight="1">
      <c r="B3367" s="17"/>
      <c r="Q3367" s="18"/>
      <c r="R3367" s="14"/>
      <c r="S3367" s="14">
        <v>1</v>
      </c>
    </row>
    <row r="3368" spans="2:19" ht="20.25" hidden="1" customHeight="1">
      <c r="B3368" s="17"/>
      <c r="Q3368" s="18"/>
      <c r="R3368" s="14"/>
      <c r="S3368" s="14">
        <v>1</v>
      </c>
    </row>
    <row r="3369" spans="2:19" ht="20.25" hidden="1" customHeight="1">
      <c r="B3369" s="17"/>
      <c r="Q3369" s="18"/>
      <c r="R3369" s="14"/>
      <c r="S3369" s="14">
        <v>1</v>
      </c>
    </row>
    <row r="3370" spans="2:19" ht="20.25" hidden="1" customHeight="1">
      <c r="B3370" s="17"/>
      <c r="Q3370" s="18"/>
      <c r="R3370" s="14"/>
      <c r="S3370" s="14">
        <v>1</v>
      </c>
    </row>
    <row r="3371" spans="2:19" ht="20.25" hidden="1" customHeight="1">
      <c r="B3371" s="17"/>
      <c r="Q3371" s="18"/>
      <c r="R3371" s="14"/>
      <c r="S3371" s="14">
        <v>1</v>
      </c>
    </row>
    <row r="3372" spans="2:19" ht="20.25" hidden="1" customHeight="1">
      <c r="B3372" s="17"/>
      <c r="Q3372" s="18"/>
      <c r="R3372" s="14"/>
      <c r="S3372" s="14">
        <v>1</v>
      </c>
    </row>
    <row r="3373" spans="2:19" ht="20.25" hidden="1" customHeight="1">
      <c r="B3373" s="17"/>
      <c r="Q3373" s="18"/>
      <c r="R3373" s="14"/>
      <c r="S3373" s="14">
        <v>1</v>
      </c>
    </row>
    <row r="3374" spans="2:19" ht="20.25" hidden="1" customHeight="1">
      <c r="B3374" s="17"/>
      <c r="Q3374" s="18"/>
      <c r="R3374" s="14"/>
      <c r="S3374" s="14">
        <v>1</v>
      </c>
    </row>
    <row r="3375" spans="2:19" ht="20.25" hidden="1" customHeight="1">
      <c r="B3375" s="17"/>
      <c r="Q3375" s="18"/>
      <c r="R3375" s="14"/>
      <c r="S3375" s="14">
        <v>1</v>
      </c>
    </row>
    <row r="3376" spans="2:19" ht="20.25" hidden="1" customHeight="1">
      <c r="B3376" s="17"/>
      <c r="Q3376" s="18"/>
      <c r="R3376" s="14"/>
      <c r="S3376" s="14">
        <v>1</v>
      </c>
    </row>
    <row r="3377" spans="2:19" ht="20.25" hidden="1" customHeight="1">
      <c r="B3377" s="17"/>
      <c r="Q3377" s="18"/>
      <c r="R3377" s="14"/>
      <c r="S3377" s="14">
        <v>1</v>
      </c>
    </row>
    <row r="3378" spans="2:19" ht="20.25" hidden="1" customHeight="1">
      <c r="B3378" s="17"/>
      <c r="Q3378" s="18"/>
      <c r="R3378" s="14"/>
      <c r="S3378" s="14">
        <v>1</v>
      </c>
    </row>
    <row r="3379" spans="2:19" ht="20.25" hidden="1" customHeight="1">
      <c r="B3379" s="17"/>
      <c r="Q3379" s="18"/>
      <c r="R3379" s="14"/>
      <c r="S3379" s="14">
        <v>1</v>
      </c>
    </row>
    <row r="3380" spans="2:19" ht="20.25" hidden="1" customHeight="1">
      <c r="B3380" s="17"/>
      <c r="Q3380" s="18"/>
      <c r="R3380" s="14"/>
      <c r="S3380" s="14">
        <v>1</v>
      </c>
    </row>
    <row r="3381" spans="2:19" ht="20.25" hidden="1" customHeight="1">
      <c r="B3381" s="17"/>
      <c r="Q3381" s="18"/>
      <c r="R3381" s="14"/>
      <c r="S3381" s="14">
        <v>1</v>
      </c>
    </row>
    <row r="3382" spans="2:19" ht="20.25" hidden="1" customHeight="1">
      <c r="B3382" s="17"/>
      <c r="Q3382" s="18"/>
      <c r="R3382" s="14"/>
      <c r="S3382" s="14">
        <v>1</v>
      </c>
    </row>
    <row r="3383" spans="2:19" ht="20.25" hidden="1" customHeight="1">
      <c r="B3383" s="17"/>
      <c r="Q3383" s="18"/>
      <c r="R3383" s="14"/>
      <c r="S3383" s="14">
        <v>1</v>
      </c>
    </row>
    <row r="3384" spans="2:19" ht="20.25" hidden="1" customHeight="1">
      <c r="B3384" s="17"/>
      <c r="Q3384" s="18"/>
      <c r="R3384" s="14"/>
      <c r="S3384" s="14">
        <v>1</v>
      </c>
    </row>
    <row r="3385" spans="2:19" ht="20.25" hidden="1" customHeight="1">
      <c r="B3385" s="17"/>
      <c r="Q3385" s="18"/>
      <c r="R3385" s="14"/>
      <c r="S3385" s="14">
        <v>1</v>
      </c>
    </row>
    <row r="3386" spans="2:19" ht="20.25" hidden="1" customHeight="1">
      <c r="B3386" s="17"/>
      <c r="Q3386" s="18"/>
      <c r="R3386" s="14"/>
      <c r="S3386" s="14">
        <v>1</v>
      </c>
    </row>
    <row r="3387" spans="2:19" ht="20.25" hidden="1" customHeight="1">
      <c r="B3387" s="17"/>
      <c r="Q3387" s="18"/>
      <c r="R3387" s="14"/>
      <c r="S3387" s="14">
        <v>1</v>
      </c>
    </row>
    <row r="3388" spans="2:19" ht="20.25" hidden="1" customHeight="1">
      <c r="B3388" s="17"/>
      <c r="Q3388" s="18"/>
      <c r="R3388" s="14"/>
      <c r="S3388" s="14">
        <v>1</v>
      </c>
    </row>
    <row r="3389" spans="2:19" ht="20.25" hidden="1" customHeight="1">
      <c r="B3389" s="17"/>
      <c r="Q3389" s="18"/>
      <c r="R3389" s="14"/>
      <c r="S3389" s="14">
        <v>1</v>
      </c>
    </row>
    <row r="3390" spans="2:19" ht="20.25" hidden="1" customHeight="1">
      <c r="B3390" s="17"/>
      <c r="Q3390" s="18"/>
      <c r="R3390" s="14"/>
      <c r="S3390" s="14">
        <v>1</v>
      </c>
    </row>
    <row r="3391" spans="2:19" ht="20.25" hidden="1" customHeight="1">
      <c r="B3391" s="17"/>
      <c r="Q3391" s="18"/>
      <c r="R3391" s="14"/>
      <c r="S3391" s="14">
        <v>1</v>
      </c>
    </row>
    <row r="3392" spans="2:19" ht="20.25" hidden="1" customHeight="1">
      <c r="B3392" s="17"/>
      <c r="Q3392" s="18"/>
      <c r="R3392" s="14"/>
      <c r="S3392" s="14">
        <v>1</v>
      </c>
    </row>
    <row r="3393" spans="2:19" ht="20.25" hidden="1" customHeight="1">
      <c r="B3393" s="17"/>
      <c r="Q3393" s="18"/>
      <c r="R3393" s="14"/>
      <c r="S3393" s="14">
        <v>1</v>
      </c>
    </row>
    <row r="3394" spans="2:19" ht="20.25" hidden="1" customHeight="1">
      <c r="B3394" s="17"/>
      <c r="Q3394" s="18"/>
      <c r="R3394" s="14"/>
      <c r="S3394" s="14">
        <v>1</v>
      </c>
    </row>
    <row r="3395" spans="2:19" ht="20.25" hidden="1" customHeight="1">
      <c r="B3395" s="17"/>
      <c r="Q3395" s="18"/>
      <c r="R3395" s="14"/>
      <c r="S3395" s="14">
        <v>1</v>
      </c>
    </row>
    <row r="3396" spans="2:19" ht="20.25" hidden="1" customHeight="1">
      <c r="B3396" s="17"/>
      <c r="Q3396" s="18"/>
      <c r="R3396" s="14"/>
      <c r="S3396" s="14">
        <v>1</v>
      </c>
    </row>
    <row r="3397" spans="2:19" ht="20.25" hidden="1" customHeight="1">
      <c r="B3397" s="17"/>
      <c r="Q3397" s="18"/>
      <c r="R3397" s="14"/>
      <c r="S3397" s="14">
        <v>1</v>
      </c>
    </row>
    <row r="3398" spans="2:19" ht="20.25" hidden="1" customHeight="1">
      <c r="B3398" s="17"/>
      <c r="Q3398" s="18"/>
      <c r="R3398" s="14"/>
      <c r="S3398" s="14">
        <v>1</v>
      </c>
    </row>
    <row r="3399" spans="2:19" ht="20.25" hidden="1" customHeight="1">
      <c r="B3399" s="17"/>
      <c r="Q3399" s="18"/>
      <c r="R3399" s="14"/>
      <c r="S3399" s="14">
        <v>1</v>
      </c>
    </row>
    <row r="3400" spans="2:19" ht="20.25" hidden="1" customHeight="1">
      <c r="B3400" s="17"/>
      <c r="Q3400" s="18"/>
      <c r="R3400" s="14"/>
      <c r="S3400" s="14">
        <v>1</v>
      </c>
    </row>
    <row r="3401" spans="2:19" ht="20.25" hidden="1" customHeight="1">
      <c r="B3401" s="17"/>
      <c r="Q3401" s="18"/>
      <c r="R3401" s="14"/>
      <c r="S3401" s="14">
        <v>1</v>
      </c>
    </row>
    <row r="3402" spans="2:19" ht="20.25" hidden="1" customHeight="1">
      <c r="B3402" s="17"/>
      <c r="Q3402" s="18"/>
      <c r="R3402" s="14"/>
      <c r="S3402" s="14">
        <v>1</v>
      </c>
    </row>
    <row r="3403" spans="2:19" ht="20.25" hidden="1" customHeight="1">
      <c r="B3403" s="17"/>
      <c r="Q3403" s="18"/>
      <c r="R3403" s="14"/>
      <c r="S3403" s="14">
        <v>1</v>
      </c>
    </row>
    <row r="3404" spans="2:19" ht="20.25" hidden="1" customHeight="1">
      <c r="B3404" s="17"/>
      <c r="Q3404" s="18"/>
      <c r="R3404" s="14"/>
      <c r="S3404" s="14">
        <v>1</v>
      </c>
    </row>
    <row r="3405" spans="2:19" ht="20.25" hidden="1" customHeight="1">
      <c r="B3405" s="17"/>
      <c r="Q3405" s="18"/>
      <c r="R3405" s="14"/>
      <c r="S3405" s="14">
        <v>1</v>
      </c>
    </row>
    <row r="3406" spans="2:19" ht="20.25" hidden="1" customHeight="1">
      <c r="B3406" s="17"/>
      <c r="Q3406" s="18"/>
      <c r="R3406" s="14"/>
      <c r="S3406" s="14">
        <v>1</v>
      </c>
    </row>
    <row r="3407" spans="2:19" ht="20.25" hidden="1" customHeight="1">
      <c r="B3407" s="17"/>
      <c r="Q3407" s="18"/>
      <c r="R3407" s="14"/>
      <c r="S3407" s="14">
        <v>1</v>
      </c>
    </row>
    <row r="3408" spans="2:19" ht="20.25" hidden="1" customHeight="1">
      <c r="B3408" s="17"/>
      <c r="Q3408" s="18"/>
      <c r="R3408" s="14"/>
      <c r="S3408" s="14">
        <v>1</v>
      </c>
    </row>
    <row r="3409" spans="2:19" ht="20.25" hidden="1" customHeight="1">
      <c r="B3409" s="17"/>
      <c r="Q3409" s="18"/>
      <c r="R3409" s="14"/>
      <c r="S3409" s="14">
        <v>1</v>
      </c>
    </row>
    <row r="3410" spans="2:19" ht="20.25" hidden="1" customHeight="1">
      <c r="B3410" s="17"/>
      <c r="Q3410" s="18"/>
      <c r="R3410" s="14"/>
      <c r="S3410" s="14">
        <v>1</v>
      </c>
    </row>
    <row r="3411" spans="2:19" ht="20.25" hidden="1" customHeight="1">
      <c r="B3411" s="17"/>
      <c r="Q3411" s="18"/>
      <c r="R3411" s="14"/>
      <c r="S3411" s="14">
        <v>1</v>
      </c>
    </row>
    <row r="3412" spans="2:19" ht="20.25" hidden="1" customHeight="1">
      <c r="B3412" s="17"/>
      <c r="Q3412" s="18"/>
      <c r="R3412" s="14"/>
      <c r="S3412" s="14">
        <v>1</v>
      </c>
    </row>
    <row r="3413" spans="2:19" ht="20.25" hidden="1" customHeight="1">
      <c r="B3413" s="17"/>
      <c r="Q3413" s="18"/>
      <c r="R3413" s="14"/>
      <c r="S3413" s="14">
        <v>1</v>
      </c>
    </row>
    <row r="3414" spans="2:19" ht="20.25" hidden="1" customHeight="1">
      <c r="B3414" s="17"/>
      <c r="Q3414" s="18"/>
      <c r="R3414" s="14"/>
      <c r="S3414" s="14">
        <v>1</v>
      </c>
    </row>
    <row r="3415" spans="2:19" ht="20.25" hidden="1" customHeight="1">
      <c r="B3415" s="17"/>
      <c r="Q3415" s="18"/>
      <c r="R3415" s="14"/>
      <c r="S3415" s="14">
        <v>1</v>
      </c>
    </row>
    <row r="3416" spans="2:19" ht="20.25" hidden="1" customHeight="1">
      <c r="B3416" s="17"/>
      <c r="Q3416" s="18"/>
      <c r="R3416" s="14"/>
      <c r="S3416" s="14">
        <v>1</v>
      </c>
    </row>
    <row r="3417" spans="2:19" ht="20.25" hidden="1" customHeight="1">
      <c r="B3417" s="17"/>
      <c r="Q3417" s="18"/>
      <c r="R3417" s="14"/>
      <c r="S3417" s="14">
        <v>1</v>
      </c>
    </row>
    <row r="3418" spans="2:19" ht="20.25" hidden="1" customHeight="1">
      <c r="B3418" s="17"/>
      <c r="Q3418" s="18"/>
      <c r="R3418" s="14"/>
      <c r="S3418" s="14">
        <v>1</v>
      </c>
    </row>
    <row r="3419" spans="2:19" ht="20.25" hidden="1" customHeight="1">
      <c r="B3419" s="17"/>
      <c r="Q3419" s="18"/>
      <c r="R3419" s="14"/>
      <c r="S3419" s="14">
        <v>1</v>
      </c>
    </row>
    <row r="3420" spans="2:19" ht="20.25" hidden="1" customHeight="1">
      <c r="B3420" s="17"/>
      <c r="Q3420" s="18"/>
      <c r="R3420" s="14"/>
      <c r="S3420" s="14">
        <v>1</v>
      </c>
    </row>
    <row r="3421" spans="2:19" ht="20.25" hidden="1" customHeight="1">
      <c r="B3421" s="17"/>
      <c r="Q3421" s="18"/>
      <c r="R3421" s="14"/>
      <c r="S3421" s="14">
        <v>1</v>
      </c>
    </row>
    <row r="3422" spans="2:19" ht="20.25" hidden="1" customHeight="1">
      <c r="B3422" s="17"/>
      <c r="Q3422" s="18"/>
      <c r="R3422" s="14"/>
      <c r="S3422" s="14">
        <v>1</v>
      </c>
    </row>
    <row r="3423" spans="2:19" ht="20.25" hidden="1" customHeight="1">
      <c r="B3423" s="17"/>
      <c r="Q3423" s="18"/>
      <c r="R3423" s="14"/>
      <c r="S3423" s="14">
        <v>1</v>
      </c>
    </row>
    <row r="3424" spans="2:19" ht="20.25" hidden="1" customHeight="1">
      <c r="B3424" s="17"/>
      <c r="Q3424" s="18"/>
      <c r="R3424" s="14"/>
      <c r="S3424" s="14">
        <v>1</v>
      </c>
    </row>
    <row r="3425" spans="2:19" ht="20.25" hidden="1" customHeight="1">
      <c r="B3425" s="17"/>
      <c r="Q3425" s="18"/>
      <c r="R3425" s="14"/>
      <c r="S3425" s="14">
        <v>1</v>
      </c>
    </row>
    <row r="3426" spans="2:19" ht="20.25" hidden="1" customHeight="1">
      <c r="B3426" s="17"/>
      <c r="Q3426" s="18"/>
      <c r="R3426" s="14"/>
      <c r="S3426" s="14">
        <v>1</v>
      </c>
    </row>
    <row r="3427" spans="2:19" ht="20.25" hidden="1" customHeight="1">
      <c r="B3427" s="17"/>
      <c r="Q3427" s="18"/>
      <c r="R3427" s="14"/>
      <c r="S3427" s="14">
        <v>1</v>
      </c>
    </row>
    <row r="3428" spans="2:19" ht="20.25" hidden="1" customHeight="1">
      <c r="B3428" s="17"/>
      <c r="Q3428" s="18"/>
      <c r="R3428" s="14"/>
      <c r="S3428" s="14">
        <v>1</v>
      </c>
    </row>
    <row r="3429" spans="2:19" ht="20.25" hidden="1" customHeight="1">
      <c r="B3429" s="17"/>
      <c r="Q3429" s="18"/>
      <c r="R3429" s="14"/>
      <c r="S3429" s="14">
        <v>1</v>
      </c>
    </row>
    <row r="3430" spans="2:19" ht="20.25" hidden="1" customHeight="1">
      <c r="B3430" s="17"/>
      <c r="Q3430" s="18"/>
      <c r="R3430" s="14"/>
      <c r="S3430" s="14">
        <v>1</v>
      </c>
    </row>
    <row r="3431" spans="2:19" ht="20.25" hidden="1" customHeight="1">
      <c r="B3431" s="17"/>
      <c r="Q3431" s="18"/>
      <c r="R3431" s="14"/>
      <c r="S3431" s="14">
        <v>1</v>
      </c>
    </row>
    <row r="3432" spans="2:19" ht="20.25" hidden="1" customHeight="1">
      <c r="B3432" s="17"/>
      <c r="Q3432" s="18"/>
      <c r="R3432" s="14"/>
      <c r="S3432" s="14">
        <v>1</v>
      </c>
    </row>
    <row r="3433" spans="2:19" ht="20.25" hidden="1" customHeight="1">
      <c r="B3433" s="17"/>
      <c r="Q3433" s="18"/>
      <c r="R3433" s="14"/>
      <c r="S3433" s="14">
        <v>1</v>
      </c>
    </row>
    <row r="3434" spans="2:19" ht="20.25" hidden="1" customHeight="1">
      <c r="B3434" s="17"/>
      <c r="Q3434" s="18"/>
      <c r="R3434" s="14"/>
      <c r="S3434" s="14">
        <v>1</v>
      </c>
    </row>
    <row r="3435" spans="2:19" ht="20.25" hidden="1" customHeight="1">
      <c r="B3435" s="17"/>
      <c r="Q3435" s="18"/>
      <c r="R3435" s="14"/>
      <c r="S3435" s="14">
        <v>1</v>
      </c>
    </row>
    <row r="3436" spans="2:19" ht="20.25" hidden="1" customHeight="1">
      <c r="B3436" s="17"/>
      <c r="Q3436" s="18"/>
      <c r="R3436" s="14"/>
      <c r="S3436" s="14">
        <v>1</v>
      </c>
    </row>
    <row r="3437" spans="2:19" ht="20.25" hidden="1" customHeight="1">
      <c r="B3437" s="17"/>
      <c r="Q3437" s="18"/>
      <c r="R3437" s="14"/>
      <c r="S3437" s="14">
        <v>1</v>
      </c>
    </row>
    <row r="3438" spans="2:19" ht="20.25" hidden="1" customHeight="1">
      <c r="B3438" s="17"/>
      <c r="Q3438" s="18"/>
      <c r="R3438" s="14"/>
      <c r="S3438" s="14">
        <v>1</v>
      </c>
    </row>
    <row r="3439" spans="2:19" ht="20.25" hidden="1" customHeight="1">
      <c r="B3439" s="17"/>
      <c r="Q3439" s="18"/>
      <c r="R3439" s="14"/>
      <c r="S3439" s="14">
        <v>1</v>
      </c>
    </row>
    <row r="3440" spans="2:19" ht="20.25" hidden="1" customHeight="1">
      <c r="B3440" s="17"/>
      <c r="Q3440" s="18"/>
      <c r="R3440" s="14"/>
      <c r="S3440" s="14">
        <v>1</v>
      </c>
    </row>
    <row r="3441" spans="2:19" ht="20.25" hidden="1" customHeight="1">
      <c r="B3441" s="17"/>
      <c r="Q3441" s="18"/>
      <c r="R3441" s="14"/>
      <c r="S3441" s="14">
        <v>1</v>
      </c>
    </row>
    <row r="3442" spans="2:19" ht="20.25" hidden="1" customHeight="1">
      <c r="B3442" s="17"/>
      <c r="Q3442" s="18"/>
      <c r="R3442" s="14"/>
      <c r="S3442" s="14">
        <v>1</v>
      </c>
    </row>
    <row r="3443" spans="2:19" ht="20.25" hidden="1" customHeight="1">
      <c r="B3443" s="17"/>
      <c r="Q3443" s="18"/>
      <c r="R3443" s="14"/>
      <c r="S3443" s="14">
        <v>1</v>
      </c>
    </row>
    <row r="3444" spans="2:19" ht="20.25" hidden="1" customHeight="1">
      <c r="B3444" s="17"/>
      <c r="Q3444" s="18"/>
      <c r="R3444" s="14"/>
      <c r="S3444" s="14">
        <v>1</v>
      </c>
    </row>
    <row r="3445" spans="2:19" ht="20.25" hidden="1" customHeight="1">
      <c r="B3445" s="17"/>
      <c r="Q3445" s="18"/>
      <c r="R3445" s="14"/>
      <c r="S3445" s="14">
        <v>1</v>
      </c>
    </row>
    <row r="3446" spans="2:19" ht="20.25" hidden="1" customHeight="1">
      <c r="B3446" s="17"/>
      <c r="Q3446" s="18"/>
      <c r="R3446" s="14"/>
      <c r="S3446" s="14">
        <v>1</v>
      </c>
    </row>
    <row r="3447" spans="2:19" ht="20.25" hidden="1" customHeight="1">
      <c r="B3447" s="17"/>
      <c r="Q3447" s="18"/>
      <c r="R3447" s="14"/>
      <c r="S3447" s="14">
        <v>1</v>
      </c>
    </row>
    <row r="3448" spans="2:19" ht="20.25" hidden="1" customHeight="1">
      <c r="B3448" s="17"/>
      <c r="Q3448" s="18"/>
      <c r="R3448" s="14"/>
      <c r="S3448" s="14">
        <v>1</v>
      </c>
    </row>
    <row r="3449" spans="2:19" ht="20.25" hidden="1" customHeight="1">
      <c r="B3449" s="17"/>
      <c r="Q3449" s="18"/>
      <c r="R3449" s="14"/>
      <c r="S3449" s="14">
        <v>1</v>
      </c>
    </row>
    <row r="3450" spans="2:19" ht="20.25" hidden="1" customHeight="1">
      <c r="B3450" s="17"/>
      <c r="Q3450" s="18"/>
      <c r="R3450" s="14"/>
      <c r="S3450" s="14">
        <v>1</v>
      </c>
    </row>
    <row r="3451" spans="2:19" ht="20.25" hidden="1" customHeight="1">
      <c r="B3451" s="17"/>
      <c r="Q3451" s="18"/>
      <c r="R3451" s="14"/>
      <c r="S3451" s="14">
        <v>1</v>
      </c>
    </row>
    <row r="3452" spans="2:19" ht="20.25" hidden="1" customHeight="1">
      <c r="B3452" s="17"/>
      <c r="Q3452" s="18"/>
      <c r="R3452" s="14"/>
      <c r="S3452" s="14">
        <v>1</v>
      </c>
    </row>
    <row r="3453" spans="2:19" ht="20.25" hidden="1" customHeight="1">
      <c r="B3453" s="17"/>
      <c r="Q3453" s="18"/>
      <c r="R3453" s="14"/>
      <c r="S3453" s="14">
        <v>1</v>
      </c>
    </row>
    <row r="3454" spans="2:19" ht="20.25" hidden="1" customHeight="1">
      <c r="B3454" s="17"/>
      <c r="Q3454" s="18"/>
      <c r="R3454" s="14"/>
      <c r="S3454" s="14">
        <v>1</v>
      </c>
    </row>
    <row r="3455" spans="2:19" ht="20.25" hidden="1" customHeight="1">
      <c r="B3455" s="17"/>
      <c r="Q3455" s="18"/>
      <c r="R3455" s="14"/>
      <c r="S3455" s="14">
        <v>1</v>
      </c>
    </row>
    <row r="3456" spans="2:19" ht="20.25" hidden="1" customHeight="1">
      <c r="B3456" s="17"/>
      <c r="Q3456" s="18"/>
      <c r="R3456" s="14"/>
      <c r="S3456" s="14">
        <v>1</v>
      </c>
    </row>
    <row r="3457" spans="2:19" ht="20.25" hidden="1" customHeight="1">
      <c r="B3457" s="17"/>
      <c r="Q3457" s="18"/>
      <c r="R3457" s="14"/>
      <c r="S3457" s="14">
        <v>1</v>
      </c>
    </row>
    <row r="3458" spans="2:19" ht="20.25" hidden="1" customHeight="1">
      <c r="B3458" s="17"/>
      <c r="Q3458" s="18"/>
      <c r="R3458" s="14"/>
      <c r="S3458" s="14">
        <v>1</v>
      </c>
    </row>
    <row r="3459" spans="2:19" ht="20.25" hidden="1" customHeight="1">
      <c r="B3459" s="17"/>
      <c r="Q3459" s="18"/>
      <c r="R3459" s="14"/>
      <c r="S3459" s="14">
        <v>1</v>
      </c>
    </row>
    <row r="3460" spans="2:19" ht="20.25" hidden="1" customHeight="1">
      <c r="B3460" s="17"/>
      <c r="Q3460" s="18"/>
      <c r="R3460" s="14"/>
      <c r="S3460" s="14">
        <v>1</v>
      </c>
    </row>
    <row r="3461" spans="2:19" ht="20.25" hidden="1" customHeight="1">
      <c r="B3461" s="17"/>
      <c r="Q3461" s="18"/>
      <c r="R3461" s="14"/>
      <c r="S3461" s="14">
        <v>1</v>
      </c>
    </row>
    <row r="3462" spans="2:19" ht="20.25" hidden="1" customHeight="1">
      <c r="B3462" s="17"/>
      <c r="Q3462" s="18"/>
      <c r="R3462" s="14"/>
      <c r="S3462" s="14">
        <v>1</v>
      </c>
    </row>
    <row r="3463" spans="2:19" ht="20.25" hidden="1" customHeight="1">
      <c r="B3463" s="17"/>
      <c r="Q3463" s="18"/>
      <c r="R3463" s="14"/>
      <c r="S3463" s="14">
        <v>1</v>
      </c>
    </row>
    <row r="3464" spans="2:19" ht="20.25" hidden="1" customHeight="1">
      <c r="B3464" s="17"/>
      <c r="Q3464" s="18"/>
      <c r="R3464" s="14"/>
      <c r="S3464" s="14">
        <v>1</v>
      </c>
    </row>
    <row r="3465" spans="2:19" ht="20.25" hidden="1" customHeight="1">
      <c r="B3465" s="17"/>
      <c r="Q3465" s="18"/>
      <c r="R3465" s="14"/>
      <c r="S3465" s="14">
        <v>1</v>
      </c>
    </row>
    <row r="3466" spans="2:19" ht="20.25" hidden="1" customHeight="1">
      <c r="B3466" s="17"/>
      <c r="Q3466" s="18"/>
      <c r="R3466" s="14"/>
      <c r="S3466" s="14">
        <v>1</v>
      </c>
    </row>
    <row r="3467" spans="2:19" ht="20.25" hidden="1" customHeight="1">
      <c r="B3467" s="17"/>
      <c r="Q3467" s="18"/>
      <c r="R3467" s="14"/>
      <c r="S3467" s="14">
        <v>1</v>
      </c>
    </row>
    <row r="3468" spans="2:19" ht="20.25" hidden="1" customHeight="1">
      <c r="B3468" s="17"/>
      <c r="Q3468" s="18"/>
      <c r="R3468" s="14"/>
      <c r="S3468" s="14">
        <v>1</v>
      </c>
    </row>
    <row r="3469" spans="2:19" ht="20.25" hidden="1" customHeight="1">
      <c r="B3469" s="17"/>
      <c r="Q3469" s="18"/>
      <c r="R3469" s="14"/>
      <c r="S3469" s="14">
        <v>1</v>
      </c>
    </row>
    <row r="3470" spans="2:19" ht="20.25" hidden="1" customHeight="1">
      <c r="B3470" s="17"/>
      <c r="Q3470" s="18"/>
      <c r="R3470" s="14"/>
      <c r="S3470" s="14">
        <v>1</v>
      </c>
    </row>
    <row r="3471" spans="2:19" ht="20.25" hidden="1" customHeight="1">
      <c r="B3471" s="17"/>
      <c r="Q3471" s="18"/>
      <c r="R3471" s="14"/>
      <c r="S3471" s="14">
        <v>1</v>
      </c>
    </row>
    <row r="3472" spans="2:19" ht="20.25" hidden="1" customHeight="1">
      <c r="B3472" s="17"/>
      <c r="Q3472" s="18"/>
      <c r="R3472" s="14"/>
      <c r="S3472" s="14">
        <v>1</v>
      </c>
    </row>
    <row r="3473" spans="2:19" ht="20.25" hidden="1" customHeight="1">
      <c r="B3473" s="17"/>
      <c r="Q3473" s="18"/>
      <c r="R3473" s="14"/>
      <c r="S3473" s="14">
        <v>1</v>
      </c>
    </row>
    <row r="3474" spans="2:19" ht="20.25" hidden="1" customHeight="1">
      <c r="B3474" s="17"/>
      <c r="Q3474" s="18"/>
      <c r="R3474" s="14"/>
      <c r="S3474" s="14">
        <v>1</v>
      </c>
    </row>
    <row r="3475" spans="2:19" ht="20.25" hidden="1" customHeight="1">
      <c r="B3475" s="17"/>
      <c r="Q3475" s="18"/>
      <c r="R3475" s="14"/>
      <c r="S3475" s="14">
        <v>1</v>
      </c>
    </row>
    <row r="3476" spans="2:19" ht="20.25" hidden="1" customHeight="1">
      <c r="B3476" s="17"/>
      <c r="Q3476" s="18"/>
      <c r="R3476" s="14"/>
      <c r="S3476" s="14">
        <v>1</v>
      </c>
    </row>
    <row r="3477" spans="2:19" ht="20.25" hidden="1" customHeight="1">
      <c r="B3477" s="17"/>
      <c r="Q3477" s="18"/>
      <c r="R3477" s="14"/>
      <c r="S3477" s="14">
        <v>1</v>
      </c>
    </row>
    <row r="3478" spans="2:19" ht="20.25" hidden="1" customHeight="1">
      <c r="B3478" s="17"/>
      <c r="Q3478" s="18"/>
      <c r="R3478" s="14"/>
      <c r="S3478" s="14">
        <v>1</v>
      </c>
    </row>
    <row r="3479" spans="2:19" ht="20.25" hidden="1" customHeight="1">
      <c r="B3479" s="17"/>
      <c r="Q3479" s="18"/>
      <c r="R3479" s="14"/>
      <c r="S3479" s="14">
        <v>1</v>
      </c>
    </row>
    <row r="3480" spans="2:19" ht="20.25" hidden="1" customHeight="1">
      <c r="B3480" s="17"/>
      <c r="Q3480" s="18"/>
      <c r="R3480" s="14"/>
      <c r="S3480" s="14">
        <v>1</v>
      </c>
    </row>
    <row r="3481" spans="2:19" ht="20.25" hidden="1" customHeight="1">
      <c r="B3481" s="17"/>
      <c r="Q3481" s="18"/>
      <c r="R3481" s="14"/>
      <c r="S3481" s="14">
        <v>1</v>
      </c>
    </row>
    <row r="3482" spans="2:19" ht="20.25" hidden="1" customHeight="1">
      <c r="B3482" s="17"/>
      <c r="Q3482" s="18"/>
      <c r="R3482" s="14"/>
      <c r="S3482" s="14">
        <v>1</v>
      </c>
    </row>
    <row r="3483" spans="2:19" ht="20.25" hidden="1" customHeight="1">
      <c r="B3483" s="17"/>
      <c r="Q3483" s="18"/>
      <c r="R3483" s="14"/>
      <c r="S3483" s="14">
        <v>1</v>
      </c>
    </row>
    <row r="3484" spans="2:19" ht="20.25" hidden="1" customHeight="1">
      <c r="B3484" s="17"/>
      <c r="Q3484" s="18"/>
      <c r="R3484" s="14"/>
      <c r="S3484" s="14">
        <v>1</v>
      </c>
    </row>
    <row r="3485" spans="2:19" ht="20.25" hidden="1" customHeight="1">
      <c r="B3485" s="17"/>
      <c r="Q3485" s="18"/>
      <c r="R3485" s="14"/>
      <c r="S3485" s="14">
        <v>1</v>
      </c>
    </row>
    <row r="3486" spans="2:19" ht="20.25" hidden="1" customHeight="1">
      <c r="B3486" s="17"/>
      <c r="Q3486" s="18"/>
      <c r="R3486" s="14"/>
      <c r="S3486" s="14">
        <v>1</v>
      </c>
    </row>
    <row r="3487" spans="2:19" ht="20.25" hidden="1" customHeight="1">
      <c r="B3487" s="17"/>
      <c r="Q3487" s="18"/>
      <c r="R3487" s="14"/>
      <c r="S3487" s="14">
        <v>1</v>
      </c>
    </row>
    <row r="3488" spans="2:19" ht="20.25" hidden="1" customHeight="1">
      <c r="B3488" s="17"/>
      <c r="Q3488" s="18"/>
      <c r="R3488" s="14"/>
      <c r="S3488" s="14">
        <v>1</v>
      </c>
    </row>
    <row r="3489" spans="2:19" ht="20.25" hidden="1" customHeight="1">
      <c r="B3489" s="17"/>
      <c r="Q3489" s="18"/>
      <c r="R3489" s="14"/>
      <c r="S3489" s="14">
        <v>1</v>
      </c>
    </row>
    <row r="3490" spans="2:19" ht="20.25" hidden="1" customHeight="1">
      <c r="B3490" s="17"/>
      <c r="Q3490" s="18"/>
      <c r="R3490" s="14"/>
      <c r="S3490" s="14">
        <v>1</v>
      </c>
    </row>
    <row r="3491" spans="2:19" ht="20.25" hidden="1" customHeight="1">
      <c r="B3491" s="17"/>
      <c r="Q3491" s="18"/>
      <c r="R3491" s="14"/>
      <c r="S3491" s="14">
        <v>1</v>
      </c>
    </row>
    <row r="3492" spans="2:19" ht="20.25" hidden="1" customHeight="1">
      <c r="B3492" s="17"/>
      <c r="Q3492" s="18"/>
      <c r="R3492" s="14"/>
      <c r="S3492" s="14">
        <v>1</v>
      </c>
    </row>
    <row r="3493" spans="2:19" ht="20.25" hidden="1" customHeight="1">
      <c r="B3493" s="17"/>
      <c r="Q3493" s="18"/>
      <c r="R3493" s="14"/>
      <c r="S3493" s="14">
        <v>1</v>
      </c>
    </row>
    <row r="3494" spans="2:19" ht="20.25" hidden="1" customHeight="1">
      <c r="B3494" s="17"/>
      <c r="Q3494" s="18"/>
      <c r="R3494" s="14"/>
      <c r="S3494" s="14">
        <v>1</v>
      </c>
    </row>
    <row r="3495" spans="2:19" ht="20.25" hidden="1" customHeight="1">
      <c r="B3495" s="17"/>
      <c r="Q3495" s="18"/>
      <c r="R3495" s="14"/>
      <c r="S3495" s="14">
        <v>1</v>
      </c>
    </row>
    <row r="3496" spans="2:19" ht="20.25" hidden="1" customHeight="1">
      <c r="B3496" s="17"/>
      <c r="Q3496" s="18"/>
      <c r="R3496" s="14"/>
      <c r="S3496" s="14">
        <v>1</v>
      </c>
    </row>
    <row r="3497" spans="2:19" ht="20.25" hidden="1" customHeight="1">
      <c r="B3497" s="17"/>
      <c r="Q3497" s="18"/>
      <c r="R3497" s="14"/>
      <c r="S3497" s="14">
        <v>1</v>
      </c>
    </row>
    <row r="3498" spans="2:19" ht="20.25" hidden="1" customHeight="1">
      <c r="B3498" s="17"/>
      <c r="Q3498" s="18"/>
      <c r="R3498" s="14"/>
      <c r="S3498" s="14">
        <v>1</v>
      </c>
    </row>
    <row r="3499" spans="2:19" ht="20.25" hidden="1" customHeight="1">
      <c r="B3499" s="17"/>
      <c r="Q3499" s="18"/>
      <c r="R3499" s="14"/>
      <c r="S3499" s="14">
        <v>1</v>
      </c>
    </row>
    <row r="3500" spans="2:19" ht="20.25" hidden="1" customHeight="1">
      <c r="B3500" s="17"/>
      <c r="Q3500" s="18"/>
      <c r="R3500" s="14"/>
      <c r="S3500" s="14">
        <v>1</v>
      </c>
    </row>
    <row r="3501" spans="2:19" ht="20.25" hidden="1" customHeight="1">
      <c r="B3501" s="17"/>
      <c r="Q3501" s="18"/>
      <c r="R3501" s="14"/>
      <c r="S3501" s="14">
        <v>1</v>
      </c>
    </row>
    <row r="3502" spans="2:19" ht="20.25" hidden="1" customHeight="1">
      <c r="B3502" s="17"/>
      <c r="Q3502" s="18"/>
      <c r="R3502" s="14"/>
      <c r="S3502" s="14">
        <v>1</v>
      </c>
    </row>
    <row r="3503" spans="2:19" ht="20.25" hidden="1" customHeight="1">
      <c r="B3503" s="17"/>
      <c r="Q3503" s="18"/>
      <c r="R3503" s="14"/>
      <c r="S3503" s="14">
        <v>1</v>
      </c>
    </row>
    <row r="3504" spans="2:19" ht="20.25" hidden="1" customHeight="1">
      <c r="B3504" s="17"/>
      <c r="Q3504" s="18"/>
      <c r="R3504" s="14"/>
      <c r="S3504" s="14">
        <v>1</v>
      </c>
    </row>
    <row r="3505" spans="2:19" ht="20.25" hidden="1" customHeight="1">
      <c r="B3505" s="17"/>
      <c r="Q3505" s="18"/>
      <c r="R3505" s="14"/>
      <c r="S3505" s="14">
        <v>1</v>
      </c>
    </row>
    <row r="3506" spans="2:19" ht="20.25" hidden="1" customHeight="1">
      <c r="B3506" s="17"/>
      <c r="Q3506" s="18"/>
      <c r="R3506" s="14"/>
      <c r="S3506" s="14">
        <v>1</v>
      </c>
    </row>
    <row r="3507" spans="2:19" ht="20.25" hidden="1" customHeight="1">
      <c r="B3507" s="17"/>
      <c r="Q3507" s="18"/>
      <c r="R3507" s="14"/>
      <c r="S3507" s="14">
        <v>1</v>
      </c>
    </row>
    <row r="3508" spans="2:19" ht="20.25" hidden="1" customHeight="1">
      <c r="B3508" s="17"/>
      <c r="Q3508" s="18"/>
      <c r="R3508" s="14"/>
      <c r="S3508" s="14">
        <v>1</v>
      </c>
    </row>
    <row r="3509" spans="2:19" ht="20.25" hidden="1" customHeight="1">
      <c r="B3509" s="17"/>
      <c r="Q3509" s="18"/>
      <c r="R3509" s="14"/>
      <c r="S3509" s="14">
        <v>1</v>
      </c>
    </row>
    <row r="3510" spans="2:19" ht="20.25" hidden="1" customHeight="1">
      <c r="B3510" s="17"/>
      <c r="Q3510" s="18"/>
      <c r="R3510" s="14"/>
      <c r="S3510" s="14">
        <v>1</v>
      </c>
    </row>
    <row r="3511" spans="2:19" ht="20.25" hidden="1" customHeight="1">
      <c r="B3511" s="17"/>
      <c r="Q3511" s="18"/>
      <c r="R3511" s="14"/>
      <c r="S3511" s="14">
        <v>1</v>
      </c>
    </row>
    <row r="3512" spans="2:19" ht="20.25" hidden="1" customHeight="1">
      <c r="B3512" s="17"/>
      <c r="Q3512" s="18"/>
      <c r="R3512" s="14"/>
      <c r="S3512" s="14">
        <v>1</v>
      </c>
    </row>
    <row r="3513" spans="2:19" ht="20.25" hidden="1" customHeight="1">
      <c r="B3513" s="17"/>
      <c r="Q3513" s="18"/>
      <c r="R3513" s="14"/>
      <c r="S3513" s="14">
        <v>1</v>
      </c>
    </row>
    <row r="3514" spans="2:19" ht="20.25" hidden="1" customHeight="1">
      <c r="B3514" s="17"/>
      <c r="Q3514" s="18"/>
      <c r="R3514" s="14"/>
      <c r="S3514" s="14">
        <v>1</v>
      </c>
    </row>
    <row r="3515" spans="2:19" ht="20.25" hidden="1" customHeight="1">
      <c r="B3515" s="17"/>
      <c r="Q3515" s="18"/>
      <c r="R3515" s="14"/>
      <c r="S3515" s="14">
        <v>1</v>
      </c>
    </row>
    <row r="3516" spans="2:19" ht="20.25" hidden="1" customHeight="1">
      <c r="B3516" s="17"/>
      <c r="Q3516" s="18"/>
      <c r="R3516" s="14"/>
      <c r="S3516" s="14">
        <v>1</v>
      </c>
    </row>
    <row r="3517" spans="2:19" ht="20.25" hidden="1" customHeight="1">
      <c r="B3517" s="17"/>
      <c r="Q3517" s="18"/>
      <c r="R3517" s="14"/>
      <c r="S3517" s="14">
        <v>1</v>
      </c>
    </row>
    <row r="3518" spans="2:19" ht="20.25" hidden="1" customHeight="1">
      <c r="B3518" s="17"/>
      <c r="Q3518" s="18"/>
      <c r="R3518" s="14"/>
      <c r="S3518" s="14">
        <v>1</v>
      </c>
    </row>
    <row r="3519" spans="2:19" ht="20.25" hidden="1" customHeight="1">
      <c r="B3519" s="17"/>
      <c r="Q3519" s="18"/>
      <c r="R3519" s="14"/>
      <c r="S3519" s="14">
        <v>1</v>
      </c>
    </row>
    <row r="3520" spans="2:19" ht="20.25" hidden="1" customHeight="1">
      <c r="B3520" s="17"/>
      <c r="Q3520" s="18"/>
      <c r="R3520" s="14"/>
      <c r="S3520" s="14">
        <v>1</v>
      </c>
    </row>
    <row r="3521" spans="2:19" ht="20.25" hidden="1" customHeight="1">
      <c r="B3521" s="17"/>
      <c r="Q3521" s="18"/>
      <c r="R3521" s="14"/>
      <c r="S3521" s="14">
        <v>1</v>
      </c>
    </row>
    <row r="3522" spans="2:19" ht="20.25" hidden="1" customHeight="1">
      <c r="B3522" s="17"/>
      <c r="Q3522" s="18"/>
      <c r="R3522" s="14"/>
      <c r="S3522" s="14">
        <v>1</v>
      </c>
    </row>
    <row r="3523" spans="2:19" ht="20.25" hidden="1" customHeight="1">
      <c r="B3523" s="17"/>
      <c r="Q3523" s="18"/>
      <c r="R3523" s="14"/>
      <c r="S3523" s="14">
        <v>1</v>
      </c>
    </row>
    <row r="3524" spans="2:19" ht="20.25" hidden="1" customHeight="1">
      <c r="B3524" s="17"/>
      <c r="Q3524" s="18"/>
      <c r="R3524" s="14"/>
      <c r="S3524" s="14">
        <v>1</v>
      </c>
    </row>
    <row r="3525" spans="2:19" ht="20.25" hidden="1" customHeight="1">
      <c r="B3525" s="17"/>
      <c r="Q3525" s="18"/>
      <c r="R3525" s="14"/>
      <c r="S3525" s="14">
        <v>1</v>
      </c>
    </row>
    <row r="3526" spans="2:19" ht="20.25" hidden="1" customHeight="1">
      <c r="B3526" s="17"/>
      <c r="Q3526" s="18"/>
      <c r="R3526" s="14"/>
      <c r="S3526" s="14">
        <v>1</v>
      </c>
    </row>
    <row r="3527" spans="2:19" ht="20.25" hidden="1" customHeight="1">
      <c r="B3527" s="17"/>
      <c r="Q3527" s="18"/>
      <c r="R3527" s="14"/>
      <c r="S3527" s="14">
        <v>1</v>
      </c>
    </row>
    <row r="3528" spans="2:19" ht="20.25" hidden="1" customHeight="1">
      <c r="B3528" s="17"/>
      <c r="Q3528" s="18"/>
      <c r="R3528" s="14"/>
      <c r="S3528" s="14">
        <v>1</v>
      </c>
    </row>
    <row r="3529" spans="2:19" ht="20.25" hidden="1" customHeight="1">
      <c r="B3529" s="17"/>
      <c r="Q3529" s="18"/>
      <c r="R3529" s="14"/>
      <c r="S3529" s="14">
        <v>1</v>
      </c>
    </row>
    <row r="3530" spans="2:19" ht="20.25" hidden="1" customHeight="1">
      <c r="B3530" s="17"/>
      <c r="Q3530" s="18"/>
      <c r="R3530" s="14"/>
      <c r="S3530" s="14">
        <v>1</v>
      </c>
    </row>
    <row r="3531" spans="2:19" ht="20.25" hidden="1" customHeight="1">
      <c r="B3531" s="17"/>
      <c r="Q3531" s="18"/>
      <c r="R3531" s="14"/>
      <c r="S3531" s="14">
        <v>1</v>
      </c>
    </row>
    <row r="3532" spans="2:19" ht="20.25" hidden="1" customHeight="1">
      <c r="B3532" s="17"/>
      <c r="Q3532" s="18"/>
      <c r="R3532" s="14"/>
      <c r="S3532" s="14">
        <v>1</v>
      </c>
    </row>
    <row r="3533" spans="2:19" ht="20.25" hidden="1" customHeight="1">
      <c r="B3533" s="17"/>
      <c r="Q3533" s="18"/>
      <c r="R3533" s="14"/>
      <c r="S3533" s="14">
        <v>1</v>
      </c>
    </row>
    <row r="3534" spans="2:19" ht="20.25" hidden="1" customHeight="1">
      <c r="B3534" s="17"/>
      <c r="Q3534" s="18"/>
      <c r="R3534" s="14"/>
      <c r="S3534" s="14">
        <v>1</v>
      </c>
    </row>
    <row r="3535" spans="2:19" ht="20.25" hidden="1" customHeight="1">
      <c r="B3535" s="17"/>
      <c r="Q3535" s="18"/>
      <c r="R3535" s="14"/>
      <c r="S3535" s="14">
        <v>1</v>
      </c>
    </row>
    <row r="3536" spans="2:19" ht="20.25" hidden="1" customHeight="1">
      <c r="B3536" s="17"/>
      <c r="Q3536" s="18"/>
      <c r="R3536" s="14"/>
      <c r="S3536" s="14">
        <v>1</v>
      </c>
    </row>
    <row r="3537" spans="2:19" ht="20.25" hidden="1" customHeight="1">
      <c r="B3537" s="17"/>
      <c r="Q3537" s="18"/>
      <c r="R3537" s="14"/>
      <c r="S3537" s="14">
        <v>1</v>
      </c>
    </row>
    <row r="3538" spans="2:19" ht="20.25" hidden="1" customHeight="1">
      <c r="B3538" s="17"/>
      <c r="Q3538" s="18"/>
      <c r="R3538" s="14"/>
      <c r="S3538" s="14">
        <v>1</v>
      </c>
    </row>
    <row r="3539" spans="2:19" ht="20.25" hidden="1" customHeight="1">
      <c r="B3539" s="17"/>
      <c r="Q3539" s="18"/>
      <c r="R3539" s="14"/>
      <c r="S3539" s="14">
        <v>1</v>
      </c>
    </row>
    <row r="3540" spans="2:19" ht="20.25" hidden="1" customHeight="1">
      <c r="B3540" s="17"/>
      <c r="Q3540" s="18"/>
      <c r="R3540" s="14"/>
      <c r="S3540" s="14">
        <v>1</v>
      </c>
    </row>
    <row r="3541" spans="2:19" ht="20.25" hidden="1" customHeight="1">
      <c r="B3541" s="17"/>
      <c r="Q3541" s="18"/>
      <c r="R3541" s="14"/>
      <c r="S3541" s="14">
        <v>1</v>
      </c>
    </row>
    <row r="3542" spans="2:19" ht="20.25" hidden="1" customHeight="1">
      <c r="B3542" s="17"/>
      <c r="Q3542" s="18"/>
      <c r="R3542" s="14"/>
      <c r="S3542" s="14">
        <v>1</v>
      </c>
    </row>
    <row r="3543" spans="2:19" ht="20.25" hidden="1" customHeight="1">
      <c r="B3543" s="17"/>
      <c r="Q3543" s="18"/>
      <c r="R3543" s="14"/>
      <c r="S3543" s="14">
        <v>1</v>
      </c>
    </row>
    <row r="3544" spans="2:19" ht="20.25" hidden="1" customHeight="1">
      <c r="B3544" s="17"/>
      <c r="Q3544" s="18"/>
      <c r="R3544" s="14"/>
      <c r="S3544" s="14">
        <v>1</v>
      </c>
    </row>
    <row r="3545" spans="2:19" ht="20.25" hidden="1" customHeight="1">
      <c r="B3545" s="17"/>
      <c r="Q3545" s="18"/>
      <c r="R3545" s="14"/>
      <c r="S3545" s="14">
        <v>1</v>
      </c>
    </row>
    <row r="3546" spans="2:19" ht="20.25" hidden="1" customHeight="1">
      <c r="B3546" s="17"/>
      <c r="Q3546" s="18"/>
      <c r="R3546" s="14"/>
      <c r="S3546" s="14">
        <v>1</v>
      </c>
    </row>
    <row r="3547" spans="2:19" ht="20.25" hidden="1" customHeight="1">
      <c r="B3547" s="17"/>
      <c r="Q3547" s="18"/>
      <c r="R3547" s="14"/>
      <c r="S3547" s="14">
        <v>1</v>
      </c>
    </row>
    <row r="3548" spans="2:19" ht="20.25" hidden="1" customHeight="1">
      <c r="B3548" s="17"/>
      <c r="Q3548" s="18"/>
      <c r="R3548" s="14"/>
      <c r="S3548" s="14">
        <v>1</v>
      </c>
    </row>
    <row r="3549" spans="2:19" ht="20.25" hidden="1" customHeight="1">
      <c r="B3549" s="17"/>
      <c r="Q3549" s="18"/>
      <c r="R3549" s="14"/>
      <c r="S3549" s="14">
        <v>1</v>
      </c>
    </row>
    <row r="3550" spans="2:19" ht="20.25" hidden="1" customHeight="1">
      <c r="B3550" s="17"/>
      <c r="Q3550" s="18"/>
      <c r="R3550" s="14"/>
      <c r="S3550" s="14">
        <v>1</v>
      </c>
    </row>
    <row r="3551" spans="2:19" ht="20.25" hidden="1" customHeight="1">
      <c r="B3551" s="17"/>
      <c r="Q3551" s="18"/>
      <c r="R3551" s="14"/>
      <c r="S3551" s="14">
        <v>1</v>
      </c>
    </row>
    <row r="3552" spans="2:19" ht="20.25" hidden="1" customHeight="1">
      <c r="B3552" s="17"/>
      <c r="Q3552" s="18"/>
      <c r="R3552" s="14"/>
      <c r="S3552" s="14">
        <v>1</v>
      </c>
    </row>
    <row r="3553" spans="2:19" ht="20.25" hidden="1" customHeight="1">
      <c r="B3553" s="17"/>
      <c r="Q3553" s="18"/>
      <c r="R3553" s="14"/>
      <c r="S3553" s="14">
        <v>1</v>
      </c>
    </row>
    <row r="3554" spans="2:19" ht="20.25" hidden="1" customHeight="1">
      <c r="B3554" s="17"/>
      <c r="Q3554" s="18"/>
      <c r="R3554" s="14"/>
      <c r="S3554" s="14">
        <v>1</v>
      </c>
    </row>
    <row r="3555" spans="2:19" ht="20.25" hidden="1" customHeight="1">
      <c r="B3555" s="17"/>
      <c r="Q3555" s="18"/>
      <c r="R3555" s="14"/>
      <c r="S3555" s="14">
        <v>1</v>
      </c>
    </row>
    <row r="3556" spans="2:19" ht="20.25" hidden="1" customHeight="1">
      <c r="B3556" s="17"/>
      <c r="Q3556" s="18"/>
      <c r="R3556" s="14"/>
      <c r="S3556" s="14">
        <v>1</v>
      </c>
    </row>
    <row r="3557" spans="2:19" ht="20.25" hidden="1" customHeight="1">
      <c r="B3557" s="17"/>
      <c r="Q3557" s="18"/>
      <c r="R3557" s="14"/>
      <c r="S3557" s="14">
        <v>1</v>
      </c>
    </row>
    <row r="3558" spans="2:19" ht="20.25" hidden="1" customHeight="1">
      <c r="B3558" s="17"/>
      <c r="Q3558" s="18"/>
      <c r="R3558" s="14"/>
      <c r="S3558" s="14">
        <v>1</v>
      </c>
    </row>
    <row r="3559" spans="2:19" ht="20.25" hidden="1" customHeight="1">
      <c r="B3559" s="17"/>
      <c r="Q3559" s="18"/>
      <c r="R3559" s="14"/>
      <c r="S3559" s="14">
        <v>1</v>
      </c>
    </row>
    <row r="3560" spans="2:19" ht="20.25" hidden="1" customHeight="1">
      <c r="B3560" s="17"/>
      <c r="Q3560" s="18"/>
      <c r="R3560" s="14"/>
      <c r="S3560" s="14">
        <v>1</v>
      </c>
    </row>
    <row r="3561" spans="2:19" ht="20.25" hidden="1" customHeight="1">
      <c r="B3561" s="17"/>
      <c r="Q3561" s="18"/>
      <c r="R3561" s="14"/>
      <c r="S3561" s="14">
        <v>1</v>
      </c>
    </row>
    <row r="3562" spans="2:19" ht="20.25" hidden="1" customHeight="1">
      <c r="B3562" s="17"/>
      <c r="Q3562" s="18"/>
      <c r="R3562" s="14"/>
      <c r="S3562" s="14">
        <v>1</v>
      </c>
    </row>
    <row r="3563" spans="2:19" ht="20.25" hidden="1" customHeight="1">
      <c r="B3563" s="17"/>
      <c r="Q3563" s="18"/>
      <c r="R3563" s="14"/>
      <c r="S3563" s="14">
        <v>1</v>
      </c>
    </row>
    <row r="3564" spans="2:19" ht="20.25" hidden="1" customHeight="1">
      <c r="B3564" s="17"/>
      <c r="Q3564" s="18"/>
      <c r="R3564" s="14"/>
      <c r="S3564" s="14">
        <v>1</v>
      </c>
    </row>
    <row r="3565" spans="2:19" ht="20.25" hidden="1" customHeight="1">
      <c r="B3565" s="17"/>
      <c r="Q3565" s="18"/>
      <c r="R3565" s="14"/>
      <c r="S3565" s="14">
        <v>1</v>
      </c>
    </row>
    <row r="3566" spans="2:19" ht="20.25" hidden="1" customHeight="1">
      <c r="B3566" s="17"/>
      <c r="Q3566" s="18"/>
      <c r="R3566" s="14"/>
      <c r="S3566" s="14">
        <v>1</v>
      </c>
    </row>
    <row r="3567" spans="2:19" ht="20.25" hidden="1" customHeight="1">
      <c r="B3567" s="17"/>
      <c r="Q3567" s="18"/>
      <c r="R3567" s="14"/>
      <c r="S3567" s="14">
        <v>1</v>
      </c>
    </row>
    <row r="3568" spans="2:19" ht="20.25" hidden="1" customHeight="1">
      <c r="B3568" s="17"/>
      <c r="Q3568" s="18"/>
      <c r="R3568" s="14"/>
      <c r="S3568" s="14">
        <v>1</v>
      </c>
    </row>
    <row r="3569" spans="2:19" ht="20.25" hidden="1" customHeight="1">
      <c r="B3569" s="17"/>
      <c r="Q3569" s="18"/>
      <c r="R3569" s="14"/>
      <c r="S3569" s="14">
        <v>1</v>
      </c>
    </row>
    <row r="3570" spans="2:19" ht="20.25" hidden="1" customHeight="1">
      <c r="B3570" s="17"/>
      <c r="Q3570" s="18"/>
      <c r="R3570" s="14"/>
      <c r="S3570" s="14">
        <v>1</v>
      </c>
    </row>
    <row r="3571" spans="2:19" ht="20.25" hidden="1" customHeight="1">
      <c r="B3571" s="17"/>
      <c r="Q3571" s="18"/>
      <c r="R3571" s="14"/>
      <c r="S3571" s="14">
        <v>1</v>
      </c>
    </row>
    <row r="3572" spans="2:19" ht="20.25" hidden="1" customHeight="1">
      <c r="B3572" s="17"/>
      <c r="Q3572" s="18"/>
      <c r="R3572" s="14"/>
      <c r="S3572" s="14">
        <v>1</v>
      </c>
    </row>
    <row r="3573" spans="2:19" ht="20.25" hidden="1" customHeight="1">
      <c r="B3573" s="17"/>
      <c r="Q3573" s="18"/>
      <c r="R3573" s="14"/>
      <c r="S3573" s="14">
        <v>1</v>
      </c>
    </row>
    <row r="3574" spans="2:19" ht="20.25" hidden="1" customHeight="1">
      <c r="B3574" s="17"/>
      <c r="Q3574" s="18"/>
      <c r="R3574" s="14"/>
      <c r="S3574" s="14">
        <v>1</v>
      </c>
    </row>
    <row r="3575" spans="2:19" ht="20.25" hidden="1" customHeight="1">
      <c r="B3575" s="17"/>
      <c r="Q3575" s="18"/>
      <c r="R3575" s="14"/>
      <c r="S3575" s="14">
        <v>1</v>
      </c>
    </row>
    <row r="3576" spans="2:19" ht="20.25" hidden="1" customHeight="1">
      <c r="B3576" s="17"/>
      <c r="Q3576" s="18"/>
      <c r="R3576" s="14"/>
      <c r="S3576" s="14">
        <v>1</v>
      </c>
    </row>
    <row r="3577" spans="2:19" ht="20.25" hidden="1" customHeight="1">
      <c r="B3577" s="17"/>
      <c r="Q3577" s="18"/>
      <c r="R3577" s="14"/>
      <c r="S3577" s="14">
        <v>1</v>
      </c>
    </row>
    <row r="3578" spans="2:19" ht="20.25" hidden="1" customHeight="1">
      <c r="B3578" s="17"/>
      <c r="Q3578" s="18"/>
      <c r="R3578" s="14"/>
      <c r="S3578" s="14">
        <v>1</v>
      </c>
    </row>
    <row r="3579" spans="2:19" ht="20.25" hidden="1" customHeight="1">
      <c r="B3579" s="17"/>
      <c r="Q3579" s="18"/>
      <c r="R3579" s="14"/>
      <c r="S3579" s="14">
        <v>1</v>
      </c>
    </row>
    <row r="3580" spans="2:19" ht="20.25" hidden="1" customHeight="1">
      <c r="B3580" s="17"/>
      <c r="Q3580" s="18"/>
      <c r="R3580" s="14"/>
      <c r="S3580" s="14">
        <v>1</v>
      </c>
    </row>
    <row r="3581" spans="2:19" ht="20.25" hidden="1" customHeight="1">
      <c r="B3581" s="17"/>
      <c r="Q3581" s="18"/>
      <c r="R3581" s="14"/>
      <c r="S3581" s="14">
        <v>1</v>
      </c>
    </row>
    <row r="3582" spans="2:19" ht="20.25" hidden="1" customHeight="1">
      <c r="B3582" s="17"/>
      <c r="Q3582" s="18"/>
      <c r="R3582" s="14"/>
      <c r="S3582" s="14">
        <v>1</v>
      </c>
    </row>
    <row r="3583" spans="2:19" ht="20.25" hidden="1" customHeight="1">
      <c r="B3583" s="17"/>
      <c r="Q3583" s="18"/>
      <c r="R3583" s="14"/>
      <c r="S3583" s="14">
        <v>1</v>
      </c>
    </row>
    <row r="3584" spans="2:19" ht="20.25" hidden="1" customHeight="1">
      <c r="B3584" s="17"/>
      <c r="Q3584" s="18"/>
      <c r="R3584" s="14"/>
      <c r="S3584" s="14">
        <v>1</v>
      </c>
    </row>
    <row r="3585" spans="2:19" ht="20.25" hidden="1" customHeight="1">
      <c r="B3585" s="17"/>
      <c r="Q3585" s="18"/>
      <c r="R3585" s="14"/>
      <c r="S3585" s="14">
        <v>1</v>
      </c>
    </row>
    <row r="3586" spans="2:19" ht="20.25" hidden="1" customHeight="1">
      <c r="B3586" s="17"/>
      <c r="Q3586" s="18"/>
      <c r="R3586" s="14"/>
      <c r="S3586" s="14">
        <v>1</v>
      </c>
    </row>
    <row r="3587" spans="2:19" ht="20.25" hidden="1" customHeight="1">
      <c r="Q3587" s="18"/>
      <c r="R3587" s="14"/>
      <c r="S3587" s="14">
        <v>1</v>
      </c>
    </row>
    <row r="3588" spans="2:19" ht="20.25" hidden="1" customHeight="1">
      <c r="Q3588" s="18"/>
      <c r="R3588" s="14"/>
      <c r="S3588" s="14">
        <v>1</v>
      </c>
    </row>
    <row r="3589" spans="2:19" ht="20.25" hidden="1" customHeight="1">
      <c r="Q3589" s="18"/>
      <c r="R3589" s="14"/>
      <c r="S3589" s="14">
        <v>1</v>
      </c>
    </row>
    <row r="3590" spans="2:19" ht="20.25" hidden="1" customHeight="1">
      <c r="Q3590" s="18"/>
      <c r="R3590" s="14"/>
      <c r="S3590" s="14">
        <v>1</v>
      </c>
    </row>
    <row r="3591" spans="2:19" ht="20.25" hidden="1" customHeight="1">
      <c r="Q3591" s="18"/>
      <c r="R3591" s="14"/>
      <c r="S3591" s="14">
        <v>1</v>
      </c>
    </row>
    <row r="3592" spans="2:19" ht="20.25" hidden="1" customHeight="1">
      <c r="Q3592" s="18"/>
      <c r="R3592" s="14"/>
      <c r="S3592" s="14">
        <v>1</v>
      </c>
    </row>
    <row r="3593" spans="2:19" ht="20.25" hidden="1" customHeight="1">
      <c r="Q3593" s="18"/>
      <c r="R3593" s="14"/>
      <c r="S3593" s="14">
        <v>1</v>
      </c>
    </row>
    <row r="3594" spans="2:19" ht="20.25" hidden="1" customHeight="1">
      <c r="Q3594" s="18"/>
      <c r="R3594" s="14"/>
      <c r="S3594" s="14">
        <v>1</v>
      </c>
    </row>
    <row r="3595" spans="2:19" ht="20.25" hidden="1" customHeight="1">
      <c r="Q3595" s="18"/>
      <c r="R3595" s="14"/>
      <c r="S3595" s="14">
        <v>1</v>
      </c>
    </row>
    <row r="3596" spans="2:19" ht="20.25" hidden="1" customHeight="1">
      <c r="Q3596" s="18"/>
      <c r="R3596" s="14"/>
      <c r="S3596" s="14">
        <v>1</v>
      </c>
    </row>
    <row r="3597" spans="2:19" ht="20.25" hidden="1" customHeight="1">
      <c r="Q3597" s="18"/>
      <c r="R3597" s="14"/>
      <c r="S3597" s="14">
        <v>1</v>
      </c>
    </row>
    <row r="3598" spans="2:19" ht="20.25" hidden="1" customHeight="1">
      <c r="Q3598" s="18"/>
      <c r="R3598" s="14"/>
      <c r="S3598" s="14">
        <v>1</v>
      </c>
    </row>
    <row r="3599" spans="2:19" ht="20.25" hidden="1" customHeight="1">
      <c r="Q3599" s="18"/>
      <c r="R3599" s="14"/>
      <c r="S3599" s="14">
        <v>1</v>
      </c>
    </row>
    <row r="3600" spans="2:19" ht="20.25" hidden="1" customHeight="1">
      <c r="Q3600" s="18"/>
      <c r="R3600" s="14"/>
      <c r="S3600" s="14">
        <v>1</v>
      </c>
    </row>
    <row r="3601" spans="17:19" ht="20.25" hidden="1" customHeight="1">
      <c r="Q3601" s="18"/>
      <c r="R3601" s="14"/>
      <c r="S3601" s="14">
        <v>1</v>
      </c>
    </row>
    <row r="3602" spans="17:19" ht="20.25" hidden="1" customHeight="1">
      <c r="Q3602" s="18"/>
      <c r="R3602" s="14"/>
      <c r="S3602" s="14">
        <v>1</v>
      </c>
    </row>
    <row r="3603" spans="17:19" ht="20.25" hidden="1" customHeight="1">
      <c r="Q3603" s="18"/>
      <c r="R3603" s="14"/>
      <c r="S3603" s="14">
        <v>1</v>
      </c>
    </row>
    <row r="3604" spans="17:19" ht="20.25" hidden="1" customHeight="1">
      <c r="Q3604" s="18"/>
      <c r="R3604" s="14"/>
      <c r="S3604" s="14">
        <v>1</v>
      </c>
    </row>
    <row r="3605" spans="17:19" ht="20.25" hidden="1" customHeight="1">
      <c r="Q3605" s="18"/>
      <c r="R3605" s="14"/>
      <c r="S3605" s="14">
        <v>1</v>
      </c>
    </row>
    <row r="3606" spans="17:19" ht="20.25" hidden="1" customHeight="1">
      <c r="Q3606" s="18"/>
      <c r="R3606" s="14"/>
      <c r="S3606" s="14">
        <v>1</v>
      </c>
    </row>
    <row r="3607" spans="17:19" ht="20.25" hidden="1" customHeight="1">
      <c r="Q3607" s="18"/>
      <c r="R3607" s="14"/>
      <c r="S3607" s="14">
        <v>1</v>
      </c>
    </row>
    <row r="3608" spans="17:19" ht="20.25" hidden="1" customHeight="1">
      <c r="Q3608" s="18"/>
      <c r="R3608" s="14"/>
      <c r="S3608" s="14">
        <v>1</v>
      </c>
    </row>
    <row r="3609" spans="17:19" ht="20.25" hidden="1" customHeight="1">
      <c r="Q3609" s="18"/>
      <c r="R3609" s="14"/>
      <c r="S3609" s="14">
        <v>1</v>
      </c>
    </row>
    <row r="3610" spans="17:19" ht="20.25" hidden="1" customHeight="1">
      <c r="Q3610" s="18"/>
      <c r="R3610" s="14"/>
      <c r="S3610" s="14">
        <v>1</v>
      </c>
    </row>
    <row r="3611" spans="17:19" ht="20.25" hidden="1" customHeight="1">
      <c r="Q3611" s="18"/>
      <c r="R3611" s="14"/>
      <c r="S3611" s="14">
        <v>1</v>
      </c>
    </row>
    <row r="3612" spans="17:19" ht="20.25" hidden="1" customHeight="1">
      <c r="Q3612" s="18"/>
      <c r="R3612" s="14"/>
      <c r="S3612" s="14">
        <v>1</v>
      </c>
    </row>
    <row r="3613" spans="17:19" ht="20.25" hidden="1" customHeight="1">
      <c r="Q3613" s="18"/>
      <c r="R3613" s="14"/>
      <c r="S3613" s="14">
        <v>1</v>
      </c>
    </row>
    <row r="3614" spans="17:19" ht="20.25" hidden="1" customHeight="1">
      <c r="Q3614" s="18"/>
      <c r="R3614" s="14"/>
      <c r="S3614" s="14">
        <v>1</v>
      </c>
    </row>
    <row r="3615" spans="17:19" ht="20.25" hidden="1" customHeight="1">
      <c r="Q3615" s="18"/>
      <c r="R3615" s="14"/>
      <c r="S3615" s="14">
        <v>1</v>
      </c>
    </row>
    <row r="3616" spans="17:19" ht="20.25" hidden="1" customHeight="1">
      <c r="Q3616" s="18"/>
      <c r="R3616" s="14"/>
      <c r="S3616" s="14">
        <v>1</v>
      </c>
    </row>
    <row r="3617" spans="17:19" ht="20.25" hidden="1" customHeight="1">
      <c r="Q3617" s="18"/>
      <c r="R3617" s="14"/>
      <c r="S3617" s="14">
        <v>1</v>
      </c>
    </row>
    <row r="3618" spans="17:19" ht="20.25" hidden="1" customHeight="1">
      <c r="Q3618" s="18"/>
      <c r="R3618" s="14"/>
      <c r="S3618" s="14">
        <v>1</v>
      </c>
    </row>
    <row r="3619" spans="17:19" ht="20.25" hidden="1" customHeight="1">
      <c r="Q3619" s="18"/>
      <c r="R3619" s="14"/>
      <c r="S3619" s="14">
        <v>1</v>
      </c>
    </row>
    <row r="3620" spans="17:19" ht="20.25" hidden="1" customHeight="1">
      <c r="Q3620" s="18"/>
      <c r="R3620" s="14"/>
      <c r="S3620" s="14">
        <v>1</v>
      </c>
    </row>
    <row r="3621" spans="17:19" ht="20.25" hidden="1" customHeight="1">
      <c r="Q3621" s="18"/>
      <c r="R3621" s="14"/>
      <c r="S3621" s="14">
        <v>1</v>
      </c>
    </row>
    <row r="3622" spans="17:19" ht="20.25" hidden="1" customHeight="1">
      <c r="Q3622" s="18"/>
      <c r="R3622" s="14"/>
      <c r="S3622" s="14">
        <v>1</v>
      </c>
    </row>
    <row r="3623" spans="17:19" ht="20.25" hidden="1" customHeight="1">
      <c r="Q3623" s="18"/>
      <c r="R3623" s="14"/>
      <c r="S3623" s="14">
        <v>1</v>
      </c>
    </row>
    <row r="3624" spans="17:19" ht="20.25" hidden="1" customHeight="1">
      <c r="Q3624" s="18"/>
      <c r="R3624" s="14"/>
      <c r="S3624" s="14">
        <v>1</v>
      </c>
    </row>
    <row r="3625" spans="17:19" ht="20.25" hidden="1" customHeight="1">
      <c r="Q3625" s="18"/>
      <c r="R3625" s="14"/>
      <c r="S3625" s="14">
        <v>1</v>
      </c>
    </row>
    <row r="3626" spans="17:19" ht="20.25" hidden="1" customHeight="1">
      <c r="Q3626" s="18"/>
      <c r="R3626" s="14"/>
      <c r="S3626" s="14">
        <v>1</v>
      </c>
    </row>
    <row r="3627" spans="17:19" ht="20.25" hidden="1" customHeight="1">
      <c r="Q3627" s="18"/>
      <c r="R3627" s="14"/>
      <c r="S3627" s="14">
        <v>1</v>
      </c>
    </row>
    <row r="3628" spans="17:19" ht="20.25" hidden="1" customHeight="1">
      <c r="Q3628" s="18"/>
      <c r="R3628" s="14"/>
      <c r="S3628" s="14">
        <v>1</v>
      </c>
    </row>
    <row r="3629" spans="17:19" ht="20.25" hidden="1" customHeight="1">
      <c r="Q3629" s="18"/>
      <c r="R3629" s="14"/>
      <c r="S3629" s="14">
        <v>1</v>
      </c>
    </row>
    <row r="3630" spans="17:19" ht="20.25" hidden="1" customHeight="1">
      <c r="Q3630" s="18"/>
      <c r="R3630" s="14"/>
      <c r="S3630" s="14">
        <v>1</v>
      </c>
    </row>
    <row r="3631" spans="17:19" ht="20.25" hidden="1" customHeight="1">
      <c r="Q3631" s="18"/>
      <c r="R3631" s="14"/>
      <c r="S3631" s="14">
        <v>1</v>
      </c>
    </row>
    <row r="3632" spans="17:19" ht="20.25" hidden="1" customHeight="1">
      <c r="Q3632" s="18"/>
      <c r="R3632" s="14"/>
      <c r="S3632" s="14">
        <v>1</v>
      </c>
    </row>
    <row r="3633" spans="17:19" ht="20.25" hidden="1" customHeight="1">
      <c r="Q3633" s="18"/>
      <c r="R3633" s="14"/>
      <c r="S3633" s="14">
        <v>1</v>
      </c>
    </row>
    <row r="3634" spans="17:19" ht="20.25" hidden="1" customHeight="1">
      <c r="Q3634" s="18"/>
      <c r="R3634" s="14"/>
      <c r="S3634" s="14">
        <v>1</v>
      </c>
    </row>
    <row r="3635" spans="17:19" ht="20.25" hidden="1" customHeight="1">
      <c r="Q3635" s="18"/>
      <c r="R3635" s="14"/>
      <c r="S3635" s="14">
        <v>1</v>
      </c>
    </row>
    <row r="3636" spans="17:19" ht="20.25" hidden="1" customHeight="1">
      <c r="Q3636" s="18"/>
      <c r="R3636" s="14"/>
      <c r="S3636" s="14">
        <v>1</v>
      </c>
    </row>
    <row r="3637" spans="17:19" ht="20.25" hidden="1" customHeight="1">
      <c r="Q3637" s="18"/>
      <c r="R3637" s="14"/>
      <c r="S3637" s="14">
        <v>1</v>
      </c>
    </row>
    <row r="3638" spans="17:19" ht="20.25" hidden="1" customHeight="1">
      <c r="Q3638" s="18"/>
      <c r="R3638" s="14"/>
      <c r="S3638" s="14">
        <v>1</v>
      </c>
    </row>
    <row r="3639" spans="17:19" ht="20.25" hidden="1" customHeight="1">
      <c r="Q3639" s="18"/>
      <c r="R3639" s="14"/>
      <c r="S3639" s="14">
        <v>1</v>
      </c>
    </row>
    <row r="3640" spans="17:19" ht="20.25" hidden="1" customHeight="1">
      <c r="Q3640" s="18"/>
      <c r="R3640" s="14"/>
      <c r="S3640" s="14">
        <v>1</v>
      </c>
    </row>
    <row r="3641" spans="17:19" ht="20.25" hidden="1" customHeight="1">
      <c r="Q3641" s="18"/>
      <c r="R3641" s="14"/>
      <c r="S3641" s="14">
        <v>1</v>
      </c>
    </row>
    <row r="3642" spans="17:19" ht="20.25" hidden="1" customHeight="1">
      <c r="Q3642" s="18"/>
      <c r="R3642" s="14"/>
      <c r="S3642" s="14">
        <v>1</v>
      </c>
    </row>
    <row r="3643" spans="17:19" ht="20.25" hidden="1" customHeight="1">
      <c r="Q3643" s="18"/>
      <c r="R3643" s="14"/>
      <c r="S3643" s="14">
        <v>1</v>
      </c>
    </row>
    <row r="3644" spans="17:19" ht="20.25" hidden="1" customHeight="1">
      <c r="Q3644" s="18"/>
      <c r="R3644" s="14"/>
      <c r="S3644" s="14">
        <v>1</v>
      </c>
    </row>
    <row r="3645" spans="17:19" ht="20.25" hidden="1" customHeight="1">
      <c r="Q3645" s="18"/>
      <c r="R3645" s="14"/>
      <c r="S3645" s="14">
        <v>1</v>
      </c>
    </row>
    <row r="3646" spans="17:19" ht="20.25" hidden="1" customHeight="1">
      <c r="Q3646" s="18"/>
      <c r="R3646" s="14"/>
      <c r="S3646" s="14">
        <v>1</v>
      </c>
    </row>
    <row r="3647" spans="17:19" ht="20.25" hidden="1" customHeight="1">
      <c r="Q3647" s="18"/>
      <c r="R3647" s="14"/>
      <c r="S3647" s="14">
        <v>1</v>
      </c>
    </row>
    <row r="3648" spans="17:19" ht="20.25" hidden="1" customHeight="1">
      <c r="Q3648" s="18"/>
      <c r="R3648" s="14"/>
      <c r="S3648" s="14">
        <v>1</v>
      </c>
    </row>
    <row r="3649" spans="17:19" ht="20.25" hidden="1" customHeight="1">
      <c r="Q3649" s="18"/>
      <c r="R3649" s="14"/>
      <c r="S3649" s="14">
        <v>1</v>
      </c>
    </row>
    <row r="3650" spans="17:19" ht="20.25" hidden="1" customHeight="1">
      <c r="Q3650" s="18"/>
      <c r="R3650" s="14"/>
      <c r="S3650" s="14">
        <v>1</v>
      </c>
    </row>
    <row r="3651" spans="17:19" ht="20.25" hidden="1" customHeight="1">
      <c r="Q3651" s="18"/>
      <c r="R3651" s="14"/>
      <c r="S3651" s="14">
        <v>1</v>
      </c>
    </row>
    <row r="3652" spans="17:19" ht="20.25" hidden="1" customHeight="1">
      <c r="Q3652" s="18"/>
      <c r="R3652" s="14"/>
      <c r="S3652" s="14">
        <v>1</v>
      </c>
    </row>
    <row r="3653" spans="17:19" ht="20.25" hidden="1" customHeight="1">
      <c r="Q3653" s="18"/>
      <c r="R3653" s="14"/>
      <c r="S3653" s="14">
        <v>1</v>
      </c>
    </row>
    <row r="3654" spans="17:19" ht="20.25" hidden="1" customHeight="1">
      <c r="Q3654" s="18"/>
      <c r="R3654" s="14"/>
      <c r="S3654" s="14">
        <v>1</v>
      </c>
    </row>
    <row r="3655" spans="17:19" ht="20.25" hidden="1" customHeight="1">
      <c r="Q3655" s="18"/>
      <c r="R3655" s="14"/>
      <c r="S3655" s="14">
        <v>1</v>
      </c>
    </row>
    <row r="3656" spans="17:19" ht="20.25" hidden="1" customHeight="1">
      <c r="Q3656" s="18"/>
      <c r="R3656" s="14"/>
      <c r="S3656" s="14">
        <v>1</v>
      </c>
    </row>
    <row r="3657" spans="17:19" ht="20.25" hidden="1" customHeight="1">
      <c r="Q3657" s="18"/>
      <c r="R3657" s="14"/>
      <c r="S3657" s="14">
        <v>1</v>
      </c>
    </row>
    <row r="3658" spans="17:19" ht="20.25" hidden="1" customHeight="1">
      <c r="Q3658" s="18"/>
      <c r="R3658" s="14"/>
      <c r="S3658" s="14">
        <v>1</v>
      </c>
    </row>
    <row r="3659" spans="17:19" ht="20.25" hidden="1" customHeight="1">
      <c r="Q3659" s="18"/>
      <c r="R3659" s="14"/>
      <c r="S3659" s="14">
        <v>1</v>
      </c>
    </row>
    <row r="3660" spans="17:19" ht="20.25" hidden="1" customHeight="1">
      <c r="Q3660" s="18"/>
      <c r="R3660" s="14"/>
      <c r="S3660" s="14">
        <v>1</v>
      </c>
    </row>
    <row r="3661" spans="17:19" ht="20.25" hidden="1" customHeight="1">
      <c r="Q3661" s="18"/>
      <c r="R3661" s="14"/>
      <c r="S3661" s="14">
        <v>1</v>
      </c>
    </row>
    <row r="3662" spans="17:19" ht="20.25" hidden="1" customHeight="1">
      <c r="Q3662" s="18"/>
      <c r="R3662" s="14"/>
      <c r="S3662" s="14">
        <v>1</v>
      </c>
    </row>
    <row r="3663" spans="17:19" ht="20.25" hidden="1" customHeight="1">
      <c r="Q3663" s="18"/>
      <c r="R3663" s="14"/>
      <c r="S3663" s="14">
        <v>1</v>
      </c>
    </row>
    <row r="3664" spans="17:19" ht="20.25" hidden="1" customHeight="1">
      <c r="Q3664" s="18"/>
      <c r="R3664" s="14"/>
      <c r="S3664" s="14">
        <v>1</v>
      </c>
    </row>
    <row r="3665" spans="17:19" ht="20.25" hidden="1" customHeight="1">
      <c r="Q3665" s="18"/>
      <c r="R3665" s="14"/>
      <c r="S3665" s="14">
        <v>1</v>
      </c>
    </row>
    <row r="3666" spans="17:19" ht="20.25" hidden="1" customHeight="1">
      <c r="Q3666" s="18"/>
      <c r="R3666" s="14"/>
      <c r="S3666" s="14">
        <v>1</v>
      </c>
    </row>
    <row r="3667" spans="17:19" ht="20.25" hidden="1" customHeight="1">
      <c r="Q3667" s="18"/>
      <c r="R3667" s="14"/>
      <c r="S3667" s="14">
        <v>1</v>
      </c>
    </row>
    <row r="3668" spans="17:19" ht="20.25" hidden="1" customHeight="1">
      <c r="Q3668" s="18"/>
      <c r="R3668" s="14"/>
      <c r="S3668" s="14">
        <v>1</v>
      </c>
    </row>
    <row r="3669" spans="17:19" ht="20.25" hidden="1" customHeight="1">
      <c r="Q3669" s="18"/>
      <c r="R3669" s="14"/>
      <c r="S3669" s="14">
        <v>1</v>
      </c>
    </row>
    <row r="3670" spans="17:19" ht="20.25" hidden="1" customHeight="1">
      <c r="Q3670" s="18"/>
      <c r="R3670" s="14"/>
      <c r="S3670" s="14">
        <v>1</v>
      </c>
    </row>
    <row r="3671" spans="17:19" ht="20.25" hidden="1" customHeight="1">
      <c r="Q3671" s="18"/>
      <c r="R3671" s="14"/>
      <c r="S3671" s="14">
        <v>1</v>
      </c>
    </row>
    <row r="3672" spans="17:19" ht="20.25" hidden="1" customHeight="1">
      <c r="Q3672" s="18"/>
      <c r="R3672" s="14"/>
      <c r="S3672" s="14">
        <v>1</v>
      </c>
    </row>
    <row r="3673" spans="17:19" ht="20.25" hidden="1" customHeight="1">
      <c r="Q3673" s="18"/>
      <c r="R3673" s="14"/>
      <c r="S3673" s="14">
        <v>1</v>
      </c>
    </row>
    <row r="3674" spans="17:19" ht="20.25" hidden="1" customHeight="1">
      <c r="Q3674" s="18"/>
      <c r="R3674" s="14"/>
      <c r="S3674" s="14">
        <v>1</v>
      </c>
    </row>
    <row r="3675" spans="17:19" ht="20.25" hidden="1" customHeight="1">
      <c r="Q3675" s="18"/>
      <c r="R3675" s="14"/>
      <c r="S3675" s="14">
        <v>1</v>
      </c>
    </row>
    <row r="3676" spans="17:19" ht="20.25" hidden="1" customHeight="1">
      <c r="Q3676" s="18"/>
      <c r="R3676" s="14"/>
      <c r="S3676" s="14">
        <v>1</v>
      </c>
    </row>
    <row r="3677" spans="17:19" ht="20.25" hidden="1" customHeight="1">
      <c r="Q3677" s="18"/>
      <c r="R3677" s="14"/>
      <c r="S3677" s="14">
        <v>1</v>
      </c>
    </row>
    <row r="3678" spans="17:19" ht="20.25" hidden="1" customHeight="1">
      <c r="Q3678" s="18"/>
      <c r="R3678" s="14"/>
      <c r="S3678" s="14">
        <v>1</v>
      </c>
    </row>
    <row r="3679" spans="17:19" ht="20.25" hidden="1" customHeight="1">
      <c r="Q3679" s="18"/>
      <c r="R3679" s="14"/>
      <c r="S3679" s="14">
        <v>1</v>
      </c>
    </row>
    <row r="3680" spans="17:19" ht="20.25" hidden="1" customHeight="1">
      <c r="Q3680" s="18"/>
      <c r="R3680" s="14"/>
      <c r="S3680" s="14">
        <v>1</v>
      </c>
    </row>
    <row r="3681" spans="17:19" ht="20.25" hidden="1" customHeight="1">
      <c r="Q3681" s="18"/>
      <c r="R3681" s="14"/>
      <c r="S3681" s="14">
        <v>1</v>
      </c>
    </row>
    <row r="3682" spans="17:19" ht="20.25" hidden="1" customHeight="1">
      <c r="Q3682" s="18"/>
      <c r="R3682" s="14"/>
      <c r="S3682" s="14">
        <v>1</v>
      </c>
    </row>
    <row r="3683" spans="17:19" ht="20.25" hidden="1" customHeight="1">
      <c r="Q3683" s="18"/>
      <c r="R3683" s="14"/>
      <c r="S3683" s="14">
        <v>1</v>
      </c>
    </row>
    <row r="3684" spans="17:19" ht="20.25" hidden="1" customHeight="1">
      <c r="Q3684" s="18"/>
      <c r="R3684" s="14"/>
      <c r="S3684" s="14">
        <v>1</v>
      </c>
    </row>
    <row r="3685" spans="17:19" ht="20.25" hidden="1" customHeight="1">
      <c r="Q3685" s="18"/>
      <c r="R3685" s="14"/>
      <c r="S3685" s="14">
        <v>1</v>
      </c>
    </row>
    <row r="3686" spans="17:19" ht="20.25" hidden="1" customHeight="1">
      <c r="Q3686" s="18"/>
      <c r="R3686" s="14"/>
      <c r="S3686" s="14">
        <v>1</v>
      </c>
    </row>
    <row r="3687" spans="17:19" ht="20.25" hidden="1" customHeight="1">
      <c r="Q3687" s="18"/>
      <c r="R3687" s="14"/>
      <c r="S3687" s="14">
        <v>1</v>
      </c>
    </row>
    <row r="3688" spans="17:19" ht="20.25" hidden="1" customHeight="1">
      <c r="Q3688" s="18"/>
      <c r="R3688" s="14"/>
      <c r="S3688" s="14">
        <v>1</v>
      </c>
    </row>
    <row r="3689" spans="17:19" ht="20.25" hidden="1" customHeight="1">
      <c r="Q3689" s="18"/>
      <c r="R3689" s="14"/>
      <c r="S3689" s="14">
        <v>1</v>
      </c>
    </row>
    <row r="3690" spans="17:19" ht="20.25" hidden="1" customHeight="1">
      <c r="Q3690" s="18"/>
      <c r="R3690" s="14"/>
      <c r="S3690" s="14">
        <v>1</v>
      </c>
    </row>
    <row r="3691" spans="17:19" ht="20.25" hidden="1" customHeight="1">
      <c r="Q3691" s="18"/>
      <c r="R3691" s="14"/>
      <c r="S3691" s="14">
        <v>1</v>
      </c>
    </row>
    <row r="3692" spans="17:19" ht="20.25" hidden="1" customHeight="1">
      <c r="Q3692" s="18"/>
      <c r="R3692" s="14"/>
      <c r="S3692" s="14">
        <v>1</v>
      </c>
    </row>
    <row r="3693" spans="17:19" ht="20.25" hidden="1" customHeight="1">
      <c r="Q3693" s="18"/>
      <c r="R3693" s="14"/>
      <c r="S3693" s="14">
        <v>1</v>
      </c>
    </row>
    <row r="3694" spans="17:19" ht="20.25" hidden="1" customHeight="1">
      <c r="Q3694" s="18"/>
      <c r="R3694" s="14"/>
      <c r="S3694" s="14">
        <v>1</v>
      </c>
    </row>
    <row r="3695" spans="17:19" ht="20.25" hidden="1" customHeight="1">
      <c r="Q3695" s="18"/>
      <c r="R3695" s="14"/>
      <c r="S3695" s="14">
        <v>1</v>
      </c>
    </row>
    <row r="3696" spans="17:19" ht="20.25" hidden="1" customHeight="1">
      <c r="Q3696" s="18"/>
      <c r="R3696" s="14"/>
      <c r="S3696" s="14">
        <v>1</v>
      </c>
    </row>
    <row r="3697" spans="17:19" ht="20.25" hidden="1" customHeight="1">
      <c r="Q3697" s="18"/>
      <c r="R3697" s="14"/>
      <c r="S3697" s="14">
        <v>1</v>
      </c>
    </row>
    <row r="3698" spans="17:19" ht="20.25" hidden="1" customHeight="1">
      <c r="Q3698" s="18"/>
      <c r="R3698" s="14"/>
      <c r="S3698" s="14">
        <v>1</v>
      </c>
    </row>
    <row r="3699" spans="17:19" ht="20.25" hidden="1" customHeight="1">
      <c r="Q3699" s="18"/>
      <c r="R3699" s="14"/>
      <c r="S3699" s="14">
        <v>1</v>
      </c>
    </row>
    <row r="3700" spans="17:19" ht="20.25" hidden="1" customHeight="1">
      <c r="Q3700" s="18"/>
      <c r="R3700" s="14"/>
      <c r="S3700" s="14">
        <v>1</v>
      </c>
    </row>
    <row r="3701" spans="17:19" ht="20.25" hidden="1" customHeight="1">
      <c r="Q3701" s="18"/>
      <c r="R3701" s="14"/>
      <c r="S3701" s="14">
        <v>1</v>
      </c>
    </row>
    <row r="3702" spans="17:19" ht="20.25" hidden="1" customHeight="1">
      <c r="Q3702" s="18"/>
      <c r="R3702" s="14"/>
      <c r="S3702" s="14">
        <v>1</v>
      </c>
    </row>
    <row r="3703" spans="17:19" ht="20.25" hidden="1" customHeight="1">
      <c r="Q3703" s="18"/>
      <c r="R3703" s="14"/>
      <c r="S3703" s="14">
        <v>1</v>
      </c>
    </row>
    <row r="3704" spans="17:19" ht="20.25" hidden="1" customHeight="1">
      <c r="Q3704" s="18"/>
      <c r="R3704" s="14"/>
      <c r="S3704" s="14">
        <v>1</v>
      </c>
    </row>
    <row r="3705" spans="17:19" ht="20.25" hidden="1" customHeight="1">
      <c r="Q3705" s="18"/>
      <c r="R3705" s="14"/>
      <c r="S3705" s="14">
        <v>1</v>
      </c>
    </row>
    <row r="3706" spans="17:19" ht="20.25" hidden="1" customHeight="1">
      <c r="Q3706" s="18"/>
      <c r="R3706" s="14"/>
      <c r="S3706" s="14">
        <v>1</v>
      </c>
    </row>
    <row r="3707" spans="17:19" ht="20.25" hidden="1" customHeight="1">
      <c r="Q3707" s="18"/>
      <c r="R3707" s="14"/>
      <c r="S3707" s="14">
        <v>1</v>
      </c>
    </row>
    <row r="3708" spans="17:19" ht="20.25" hidden="1" customHeight="1">
      <c r="Q3708" s="18"/>
      <c r="R3708" s="14"/>
      <c r="S3708" s="14">
        <v>1</v>
      </c>
    </row>
    <row r="3709" spans="17:19" ht="20.25" hidden="1" customHeight="1">
      <c r="Q3709" s="18"/>
      <c r="R3709" s="14"/>
      <c r="S3709" s="14">
        <v>1</v>
      </c>
    </row>
    <row r="3710" spans="17:19" ht="20.25" hidden="1" customHeight="1">
      <c r="Q3710" s="18"/>
      <c r="R3710" s="14"/>
      <c r="S3710" s="14">
        <v>1</v>
      </c>
    </row>
    <row r="3711" spans="17:19" ht="20.25" hidden="1" customHeight="1">
      <c r="Q3711" s="18"/>
      <c r="R3711" s="14"/>
      <c r="S3711" s="14">
        <v>1</v>
      </c>
    </row>
    <row r="3712" spans="17:19" ht="20.25" hidden="1" customHeight="1">
      <c r="Q3712" s="18"/>
      <c r="R3712" s="14"/>
      <c r="S3712" s="14">
        <v>1</v>
      </c>
    </row>
    <row r="3713" spans="17:19" ht="20.25" hidden="1" customHeight="1">
      <c r="Q3713" s="18"/>
      <c r="R3713" s="14"/>
      <c r="S3713" s="14">
        <v>1</v>
      </c>
    </row>
    <row r="3714" spans="17:19" ht="20.25" hidden="1" customHeight="1">
      <c r="Q3714" s="18"/>
      <c r="R3714" s="14"/>
      <c r="S3714" s="14">
        <v>1</v>
      </c>
    </row>
    <row r="3715" spans="17:19" ht="20.25" hidden="1" customHeight="1">
      <c r="Q3715" s="18"/>
      <c r="R3715" s="14"/>
      <c r="S3715" s="14">
        <v>1</v>
      </c>
    </row>
    <row r="3716" spans="17:19" ht="20.25" hidden="1" customHeight="1">
      <c r="Q3716" s="18"/>
      <c r="R3716" s="14"/>
      <c r="S3716" s="14">
        <v>1</v>
      </c>
    </row>
    <row r="3717" spans="17:19" ht="20.25" hidden="1" customHeight="1">
      <c r="Q3717" s="18"/>
      <c r="R3717" s="14"/>
      <c r="S3717" s="14">
        <v>1</v>
      </c>
    </row>
    <row r="3718" spans="17:19" ht="20.25" hidden="1" customHeight="1">
      <c r="Q3718" s="18"/>
      <c r="R3718" s="14"/>
      <c r="S3718" s="14">
        <v>1</v>
      </c>
    </row>
    <row r="3719" spans="17:19" ht="20.25" hidden="1" customHeight="1">
      <c r="Q3719" s="18"/>
      <c r="R3719" s="14"/>
      <c r="S3719" s="14">
        <v>1</v>
      </c>
    </row>
    <row r="3720" spans="17:19" ht="20.25" hidden="1" customHeight="1">
      <c r="Q3720" s="18"/>
      <c r="R3720" s="14"/>
      <c r="S3720" s="14">
        <v>1</v>
      </c>
    </row>
    <row r="3721" spans="17:19" ht="20.25" hidden="1" customHeight="1">
      <c r="Q3721" s="18"/>
      <c r="R3721" s="14"/>
      <c r="S3721" s="14">
        <v>1</v>
      </c>
    </row>
    <row r="3722" spans="17:19" ht="20.25" hidden="1" customHeight="1">
      <c r="Q3722" s="18"/>
      <c r="R3722" s="14"/>
      <c r="S3722" s="14">
        <v>1</v>
      </c>
    </row>
    <row r="3723" spans="17:19" ht="20.25" hidden="1" customHeight="1">
      <c r="Q3723" s="18"/>
      <c r="R3723" s="14"/>
      <c r="S3723" s="14">
        <v>1</v>
      </c>
    </row>
    <row r="3724" spans="17:19" ht="20.25" hidden="1" customHeight="1">
      <c r="Q3724" s="18"/>
      <c r="R3724" s="14"/>
      <c r="S3724" s="14">
        <v>1</v>
      </c>
    </row>
    <row r="3725" spans="17:19" ht="20.25" hidden="1" customHeight="1">
      <c r="Q3725" s="18"/>
      <c r="R3725" s="14"/>
      <c r="S3725" s="14">
        <v>1</v>
      </c>
    </row>
    <row r="3726" spans="17:19" ht="20.25" hidden="1" customHeight="1">
      <c r="Q3726" s="18"/>
      <c r="R3726" s="14"/>
      <c r="S3726" s="14">
        <v>1</v>
      </c>
    </row>
    <row r="3727" spans="17:19" ht="20.25" hidden="1" customHeight="1">
      <c r="Q3727" s="18"/>
      <c r="R3727" s="14"/>
      <c r="S3727" s="14">
        <v>1</v>
      </c>
    </row>
    <row r="3728" spans="17:19" ht="20.25" hidden="1" customHeight="1">
      <c r="Q3728" s="18"/>
      <c r="R3728" s="14"/>
      <c r="S3728" s="14">
        <v>1</v>
      </c>
    </row>
    <row r="3729" spans="17:19" ht="20.25" hidden="1" customHeight="1">
      <c r="Q3729" s="18"/>
      <c r="R3729" s="14"/>
      <c r="S3729" s="14">
        <v>1</v>
      </c>
    </row>
    <row r="3730" spans="17:19" ht="20.25" hidden="1" customHeight="1">
      <c r="Q3730" s="18"/>
      <c r="R3730" s="14"/>
      <c r="S3730" s="14">
        <v>1</v>
      </c>
    </row>
    <row r="3731" spans="17:19" ht="20.25" hidden="1" customHeight="1">
      <c r="Q3731" s="18"/>
      <c r="R3731" s="14"/>
      <c r="S3731" s="14">
        <v>1</v>
      </c>
    </row>
    <row r="3732" spans="17:19" ht="20.25" hidden="1" customHeight="1">
      <c r="Q3732" s="18"/>
      <c r="R3732" s="14"/>
      <c r="S3732" s="14">
        <v>1</v>
      </c>
    </row>
    <row r="3733" spans="17:19" ht="20.25" hidden="1" customHeight="1">
      <c r="Q3733" s="18"/>
      <c r="R3733" s="14"/>
      <c r="S3733" s="14">
        <v>1</v>
      </c>
    </row>
    <row r="3734" spans="17:19" ht="20.25" hidden="1" customHeight="1">
      <c r="Q3734" s="18"/>
      <c r="R3734" s="14"/>
      <c r="S3734" s="14">
        <v>1</v>
      </c>
    </row>
    <row r="3735" spans="17:19" ht="20.25" hidden="1" customHeight="1">
      <c r="Q3735" s="18"/>
      <c r="R3735" s="14"/>
      <c r="S3735" s="14">
        <v>1</v>
      </c>
    </row>
    <row r="3736" spans="17:19" ht="20.25" hidden="1" customHeight="1">
      <c r="Q3736" s="18"/>
      <c r="R3736" s="14"/>
      <c r="S3736" s="14">
        <v>1</v>
      </c>
    </row>
    <row r="3737" spans="17:19" ht="20.25" hidden="1" customHeight="1">
      <c r="Q3737" s="18"/>
      <c r="R3737" s="14"/>
      <c r="S3737" s="14">
        <v>1</v>
      </c>
    </row>
    <row r="3738" spans="17:19" ht="20.25" hidden="1" customHeight="1">
      <c r="Q3738" s="18"/>
      <c r="R3738" s="14"/>
      <c r="S3738" s="14">
        <v>1</v>
      </c>
    </row>
    <row r="3739" spans="17:19" ht="20.25" hidden="1" customHeight="1">
      <c r="Q3739" s="18"/>
      <c r="R3739" s="14"/>
      <c r="S3739" s="14">
        <v>1</v>
      </c>
    </row>
    <row r="3740" spans="17:19" ht="20.25" hidden="1" customHeight="1">
      <c r="Q3740" s="18"/>
      <c r="R3740" s="14"/>
      <c r="S3740" s="14">
        <v>1</v>
      </c>
    </row>
    <row r="3741" spans="17:19" ht="20.25" hidden="1" customHeight="1">
      <c r="Q3741" s="18"/>
      <c r="R3741" s="14"/>
      <c r="S3741" s="14">
        <v>1</v>
      </c>
    </row>
    <row r="3742" spans="17:19" ht="20.25" hidden="1" customHeight="1">
      <c r="Q3742" s="18"/>
      <c r="R3742" s="14"/>
      <c r="S3742" s="14">
        <v>1</v>
      </c>
    </row>
    <row r="3743" spans="17:19" ht="20.25" hidden="1" customHeight="1">
      <c r="Q3743" s="18"/>
      <c r="R3743" s="14"/>
      <c r="S3743" s="14">
        <v>1</v>
      </c>
    </row>
    <row r="3744" spans="17:19" ht="20.25" hidden="1" customHeight="1">
      <c r="Q3744" s="18"/>
      <c r="R3744" s="14"/>
      <c r="S3744" s="14">
        <v>1</v>
      </c>
    </row>
    <row r="3745" spans="17:19" ht="20.25" hidden="1" customHeight="1">
      <c r="Q3745" s="18"/>
      <c r="R3745" s="14"/>
      <c r="S3745" s="14">
        <v>1</v>
      </c>
    </row>
    <row r="3746" spans="17:19" ht="20.25" hidden="1" customHeight="1">
      <c r="Q3746" s="18"/>
      <c r="R3746" s="14"/>
      <c r="S3746" s="14">
        <v>1</v>
      </c>
    </row>
    <row r="3747" spans="17:19" ht="20.25" hidden="1" customHeight="1">
      <c r="Q3747" s="18"/>
      <c r="R3747" s="14"/>
      <c r="S3747" s="14">
        <v>1</v>
      </c>
    </row>
    <row r="3748" spans="17:19" ht="20.25" hidden="1" customHeight="1">
      <c r="Q3748" s="18"/>
      <c r="R3748" s="14"/>
      <c r="S3748" s="14">
        <v>1</v>
      </c>
    </row>
    <row r="3749" spans="17:19" ht="20.25" hidden="1" customHeight="1">
      <c r="Q3749" s="18"/>
      <c r="R3749" s="14"/>
      <c r="S3749" s="14">
        <v>1</v>
      </c>
    </row>
    <row r="3750" spans="17:19" ht="20.25" hidden="1" customHeight="1">
      <c r="Q3750" s="18"/>
      <c r="R3750" s="14"/>
      <c r="S3750" s="14">
        <v>1</v>
      </c>
    </row>
    <row r="3751" spans="17:19" ht="20.25" hidden="1" customHeight="1">
      <c r="Q3751" s="18"/>
      <c r="R3751" s="14"/>
      <c r="S3751" s="14">
        <v>1</v>
      </c>
    </row>
    <row r="3752" spans="17:19" ht="20.25" hidden="1" customHeight="1">
      <c r="Q3752" s="18"/>
      <c r="R3752" s="14"/>
      <c r="S3752" s="14">
        <v>1</v>
      </c>
    </row>
    <row r="3753" spans="17:19" ht="20.25" hidden="1" customHeight="1">
      <c r="Q3753" s="18"/>
      <c r="R3753" s="14"/>
      <c r="S3753" s="14">
        <v>1</v>
      </c>
    </row>
    <row r="3754" spans="17:19" ht="20.25" hidden="1" customHeight="1">
      <c r="Q3754" s="18"/>
      <c r="R3754" s="14"/>
      <c r="S3754" s="14">
        <v>1</v>
      </c>
    </row>
    <row r="3755" spans="17:19" ht="20.25" hidden="1" customHeight="1">
      <c r="Q3755" s="18"/>
      <c r="R3755" s="14"/>
      <c r="S3755" s="14">
        <v>1</v>
      </c>
    </row>
    <row r="3756" spans="17:19" ht="20.25" hidden="1" customHeight="1">
      <c r="Q3756" s="18"/>
      <c r="R3756" s="14"/>
      <c r="S3756" s="14">
        <v>1</v>
      </c>
    </row>
    <row r="3757" spans="17:19" ht="20.25" hidden="1" customHeight="1">
      <c r="Q3757" s="18"/>
      <c r="R3757" s="14"/>
      <c r="S3757" s="14">
        <v>1</v>
      </c>
    </row>
    <row r="3758" spans="17:19" ht="20.25" hidden="1" customHeight="1">
      <c r="Q3758" s="18"/>
      <c r="R3758" s="14"/>
      <c r="S3758" s="14">
        <v>1</v>
      </c>
    </row>
    <row r="3759" spans="17:19" ht="20.25" hidden="1" customHeight="1">
      <c r="Q3759" s="18"/>
      <c r="R3759" s="14"/>
      <c r="S3759" s="14">
        <v>1</v>
      </c>
    </row>
    <row r="3760" spans="17:19" ht="20.25" hidden="1" customHeight="1">
      <c r="Q3760" s="18"/>
      <c r="R3760" s="14"/>
      <c r="S3760" s="14">
        <v>1</v>
      </c>
    </row>
    <row r="3761" spans="17:19" ht="20.25" hidden="1" customHeight="1">
      <c r="Q3761" s="18"/>
      <c r="R3761" s="14"/>
      <c r="S3761" s="14">
        <v>1</v>
      </c>
    </row>
    <row r="3762" spans="17:19" ht="20.25" hidden="1" customHeight="1">
      <c r="Q3762" s="18"/>
      <c r="R3762" s="14"/>
      <c r="S3762" s="14">
        <v>1</v>
      </c>
    </row>
    <row r="3763" spans="17:19" ht="20.25" hidden="1" customHeight="1">
      <c r="Q3763" s="18"/>
      <c r="R3763" s="14"/>
      <c r="S3763" s="14">
        <v>1</v>
      </c>
    </row>
    <row r="3764" spans="17:19" ht="20.25" hidden="1" customHeight="1">
      <c r="Q3764" s="18"/>
      <c r="R3764" s="14"/>
      <c r="S3764" s="14">
        <v>1</v>
      </c>
    </row>
    <row r="3765" spans="17:19" ht="20.25" hidden="1" customHeight="1">
      <c r="Q3765" s="18"/>
      <c r="R3765" s="14"/>
      <c r="S3765" s="14">
        <v>1</v>
      </c>
    </row>
    <row r="3766" spans="17:19" ht="20.25" hidden="1" customHeight="1">
      <c r="Q3766" s="18"/>
      <c r="R3766" s="14"/>
      <c r="S3766" s="14">
        <v>1</v>
      </c>
    </row>
    <row r="3767" spans="17:19" ht="20.25" hidden="1" customHeight="1">
      <c r="Q3767" s="18"/>
      <c r="R3767" s="14"/>
      <c r="S3767" s="14">
        <v>1</v>
      </c>
    </row>
    <row r="3768" spans="17:19" ht="20.25" hidden="1" customHeight="1">
      <c r="Q3768" s="18"/>
      <c r="R3768" s="14"/>
      <c r="S3768" s="14">
        <v>1</v>
      </c>
    </row>
    <row r="3769" spans="17:19" ht="20.25" hidden="1" customHeight="1">
      <c r="Q3769" s="18"/>
      <c r="R3769" s="14"/>
      <c r="S3769" s="14">
        <v>1</v>
      </c>
    </row>
    <row r="3770" spans="17:19" ht="20.25" hidden="1" customHeight="1">
      <c r="Q3770" s="18"/>
      <c r="R3770" s="14"/>
      <c r="S3770" s="14">
        <v>1</v>
      </c>
    </row>
    <row r="3771" spans="17:19" ht="20.25" hidden="1" customHeight="1">
      <c r="Q3771" s="18"/>
      <c r="R3771" s="14"/>
      <c r="S3771" s="14">
        <v>1</v>
      </c>
    </row>
    <row r="3772" spans="17:19" ht="20.25" hidden="1" customHeight="1">
      <c r="Q3772" s="18"/>
      <c r="R3772" s="14"/>
      <c r="S3772" s="14">
        <v>1</v>
      </c>
    </row>
    <row r="3773" spans="17:19" ht="20.25" hidden="1" customHeight="1">
      <c r="Q3773" s="18"/>
      <c r="R3773" s="14"/>
      <c r="S3773" s="14">
        <v>1</v>
      </c>
    </row>
    <row r="3774" spans="17:19" ht="20.25" hidden="1" customHeight="1">
      <c r="Q3774" s="18"/>
      <c r="R3774" s="14"/>
      <c r="S3774" s="14">
        <v>1</v>
      </c>
    </row>
    <row r="3775" spans="17:19" ht="20.25" hidden="1" customHeight="1">
      <c r="Q3775" s="18"/>
      <c r="R3775" s="14"/>
      <c r="S3775" s="14">
        <v>1</v>
      </c>
    </row>
    <row r="3776" spans="17:19" ht="20.25" hidden="1" customHeight="1">
      <c r="Q3776" s="18"/>
      <c r="R3776" s="14"/>
      <c r="S3776" s="14">
        <v>1</v>
      </c>
    </row>
    <row r="3777" spans="17:19" ht="20.25" hidden="1" customHeight="1">
      <c r="Q3777" s="18"/>
      <c r="R3777" s="14"/>
      <c r="S3777" s="14">
        <v>1</v>
      </c>
    </row>
    <row r="3778" spans="17:19" ht="20.25" hidden="1" customHeight="1">
      <c r="Q3778" s="18"/>
      <c r="R3778" s="14"/>
      <c r="S3778" s="14">
        <v>1</v>
      </c>
    </row>
    <row r="3779" spans="17:19" ht="20.25" hidden="1" customHeight="1">
      <c r="Q3779" s="18"/>
      <c r="R3779" s="14"/>
      <c r="S3779" s="14">
        <v>1</v>
      </c>
    </row>
    <row r="3780" spans="17:19" ht="20.25" hidden="1" customHeight="1">
      <c r="Q3780" s="18"/>
      <c r="R3780" s="14"/>
      <c r="S3780" s="14">
        <v>1</v>
      </c>
    </row>
    <row r="3781" spans="17:19" ht="20.25" hidden="1" customHeight="1">
      <c r="Q3781" s="18"/>
      <c r="R3781" s="14"/>
      <c r="S3781" s="14">
        <v>1</v>
      </c>
    </row>
    <row r="3782" spans="17:19" ht="20.25" hidden="1" customHeight="1">
      <c r="Q3782" s="18"/>
      <c r="R3782" s="14"/>
      <c r="S3782" s="14">
        <v>1</v>
      </c>
    </row>
    <row r="3783" spans="17:19" ht="20.25" hidden="1" customHeight="1">
      <c r="Q3783" s="18"/>
      <c r="R3783" s="14"/>
      <c r="S3783" s="14">
        <v>1</v>
      </c>
    </row>
    <row r="3784" spans="17:19" ht="20.25" hidden="1" customHeight="1">
      <c r="Q3784" s="18"/>
      <c r="R3784" s="14"/>
      <c r="S3784" s="14">
        <v>1</v>
      </c>
    </row>
    <row r="3785" spans="17:19" ht="20.25" hidden="1" customHeight="1">
      <c r="Q3785" s="18"/>
      <c r="R3785" s="14"/>
      <c r="S3785" s="14">
        <v>1</v>
      </c>
    </row>
    <row r="3786" spans="17:19" ht="20.25" hidden="1" customHeight="1">
      <c r="Q3786" s="18"/>
      <c r="R3786" s="14"/>
      <c r="S3786" s="14">
        <v>1</v>
      </c>
    </row>
    <row r="3787" spans="17:19" ht="20.25" hidden="1" customHeight="1">
      <c r="Q3787" s="18"/>
      <c r="R3787" s="14"/>
      <c r="S3787" s="14">
        <v>1</v>
      </c>
    </row>
    <row r="3788" spans="17:19" ht="20.25" hidden="1" customHeight="1">
      <c r="Q3788" s="18"/>
      <c r="R3788" s="14"/>
      <c r="S3788" s="14">
        <v>1</v>
      </c>
    </row>
    <row r="3789" spans="17:19" ht="20.25" hidden="1" customHeight="1">
      <c r="Q3789" s="18"/>
      <c r="R3789" s="14"/>
      <c r="S3789" s="14">
        <v>1</v>
      </c>
    </row>
    <row r="3790" spans="17:19" ht="20.25" hidden="1" customHeight="1">
      <c r="Q3790" s="18"/>
      <c r="R3790" s="14"/>
      <c r="S3790" s="14">
        <v>1</v>
      </c>
    </row>
    <row r="3791" spans="17:19" ht="20.25" hidden="1" customHeight="1">
      <c r="Q3791" s="18"/>
      <c r="R3791" s="14"/>
      <c r="S3791" s="14">
        <v>1</v>
      </c>
    </row>
    <row r="3792" spans="17:19" ht="20.25" hidden="1" customHeight="1">
      <c r="Q3792" s="18"/>
      <c r="R3792" s="14"/>
      <c r="S3792" s="14">
        <v>1</v>
      </c>
    </row>
    <row r="3793" spans="17:19" ht="20.25" hidden="1" customHeight="1">
      <c r="Q3793" s="18"/>
      <c r="R3793" s="14"/>
      <c r="S3793" s="14">
        <v>1</v>
      </c>
    </row>
    <row r="3794" spans="17:19" ht="20.25" hidden="1" customHeight="1">
      <c r="Q3794" s="18"/>
      <c r="R3794" s="14"/>
      <c r="S3794" s="14">
        <v>1</v>
      </c>
    </row>
    <row r="3795" spans="17:19" ht="20.25" hidden="1" customHeight="1">
      <c r="Q3795" s="18"/>
      <c r="R3795" s="14"/>
      <c r="S3795" s="14">
        <v>1</v>
      </c>
    </row>
    <row r="3796" spans="17:19" ht="20.25" hidden="1" customHeight="1">
      <c r="Q3796" s="18"/>
      <c r="R3796" s="14"/>
      <c r="S3796" s="14">
        <v>1</v>
      </c>
    </row>
    <row r="3797" spans="17:19" ht="20.25" hidden="1" customHeight="1">
      <c r="Q3797" s="18"/>
      <c r="R3797" s="14"/>
      <c r="S3797" s="14">
        <v>1</v>
      </c>
    </row>
    <row r="3798" spans="17:19" ht="20.25" hidden="1" customHeight="1">
      <c r="Q3798" s="18"/>
      <c r="R3798" s="14"/>
      <c r="S3798" s="14">
        <v>1</v>
      </c>
    </row>
    <row r="3799" spans="17:19" ht="20.25" hidden="1" customHeight="1">
      <c r="Q3799" s="18"/>
      <c r="R3799" s="14"/>
      <c r="S3799" s="14">
        <v>1</v>
      </c>
    </row>
    <row r="3800" spans="17:19" ht="20.25" hidden="1" customHeight="1">
      <c r="Q3800" s="18"/>
      <c r="R3800" s="14"/>
      <c r="S3800" s="14">
        <v>1</v>
      </c>
    </row>
    <row r="3801" spans="17:19" ht="20.25" hidden="1" customHeight="1">
      <c r="Q3801" s="18"/>
      <c r="R3801" s="14"/>
      <c r="S3801" s="14">
        <v>1</v>
      </c>
    </row>
    <row r="3802" spans="17:19" ht="20.25" hidden="1" customHeight="1">
      <c r="Q3802" s="18"/>
      <c r="R3802" s="14"/>
      <c r="S3802" s="14">
        <v>1</v>
      </c>
    </row>
    <row r="3803" spans="17:19" ht="20.25" hidden="1" customHeight="1">
      <c r="Q3803" s="18"/>
      <c r="R3803" s="14"/>
      <c r="S3803" s="14">
        <v>1</v>
      </c>
    </row>
    <row r="3804" spans="17:19" ht="20.25" hidden="1" customHeight="1">
      <c r="Q3804" s="18"/>
      <c r="R3804" s="14"/>
      <c r="S3804" s="14">
        <v>1</v>
      </c>
    </row>
    <row r="3805" spans="17:19" ht="20.25" hidden="1" customHeight="1">
      <c r="Q3805" s="18"/>
      <c r="R3805" s="14"/>
      <c r="S3805" s="14">
        <v>1</v>
      </c>
    </row>
    <row r="3806" spans="17:19" ht="20.25" hidden="1" customHeight="1">
      <c r="Q3806" s="18"/>
      <c r="R3806" s="14"/>
      <c r="S3806" s="14">
        <v>1</v>
      </c>
    </row>
    <row r="3807" spans="17:19" ht="20.25" hidden="1" customHeight="1">
      <c r="Q3807" s="18"/>
      <c r="R3807" s="14"/>
      <c r="S3807" s="14">
        <v>1</v>
      </c>
    </row>
    <row r="3808" spans="17:19" ht="20.25" hidden="1" customHeight="1">
      <c r="Q3808" s="18"/>
      <c r="R3808" s="14"/>
      <c r="S3808" s="14">
        <v>1</v>
      </c>
    </row>
    <row r="3809" spans="17:19" ht="20.25" hidden="1" customHeight="1">
      <c r="Q3809" s="18"/>
      <c r="R3809" s="14"/>
      <c r="S3809" s="14">
        <v>1</v>
      </c>
    </row>
    <row r="3810" spans="17:19" ht="20.25" hidden="1" customHeight="1">
      <c r="Q3810" s="18"/>
      <c r="R3810" s="14"/>
      <c r="S3810" s="14">
        <v>1</v>
      </c>
    </row>
    <row r="3811" spans="17:19" ht="20.25" hidden="1" customHeight="1">
      <c r="Q3811" s="18"/>
      <c r="R3811" s="14"/>
      <c r="S3811" s="14">
        <v>1</v>
      </c>
    </row>
    <row r="3812" spans="17:19" ht="20.25" hidden="1" customHeight="1">
      <c r="Q3812" s="18"/>
      <c r="R3812" s="14"/>
      <c r="S3812" s="14">
        <v>1</v>
      </c>
    </row>
    <row r="3813" spans="17:19" ht="20.25" hidden="1" customHeight="1">
      <c r="Q3813" s="18"/>
      <c r="R3813" s="14"/>
      <c r="S3813" s="14">
        <v>1</v>
      </c>
    </row>
    <row r="3814" spans="17:19" ht="20.25" hidden="1" customHeight="1">
      <c r="Q3814" s="18"/>
      <c r="R3814" s="14"/>
      <c r="S3814" s="14">
        <v>1</v>
      </c>
    </row>
    <row r="3815" spans="17:19" ht="20.25" hidden="1" customHeight="1">
      <c r="Q3815" s="18"/>
      <c r="R3815" s="14"/>
      <c r="S3815" s="14">
        <v>1</v>
      </c>
    </row>
    <row r="3816" spans="17:19" ht="20.25" hidden="1" customHeight="1">
      <c r="Q3816" s="18"/>
      <c r="R3816" s="14"/>
      <c r="S3816" s="14">
        <v>1</v>
      </c>
    </row>
    <row r="3817" spans="17:19" ht="20.25" hidden="1" customHeight="1">
      <c r="Q3817" s="18"/>
      <c r="R3817" s="14"/>
      <c r="S3817" s="14">
        <v>1</v>
      </c>
    </row>
    <row r="3818" spans="17:19" ht="20.25" hidden="1" customHeight="1">
      <c r="Q3818" s="18"/>
      <c r="R3818" s="14"/>
      <c r="S3818" s="14">
        <v>1</v>
      </c>
    </row>
    <row r="3819" spans="17:19" ht="20.25" hidden="1" customHeight="1">
      <c r="Q3819" s="18"/>
      <c r="R3819" s="14"/>
      <c r="S3819" s="14">
        <v>1</v>
      </c>
    </row>
    <row r="3820" spans="17:19" ht="20.25" hidden="1" customHeight="1">
      <c r="Q3820" s="18"/>
      <c r="R3820" s="14"/>
      <c r="S3820" s="14">
        <v>1</v>
      </c>
    </row>
    <row r="3821" spans="17:19" ht="20.25" hidden="1" customHeight="1">
      <c r="Q3821" s="18"/>
      <c r="R3821" s="14"/>
      <c r="S3821" s="14">
        <v>1</v>
      </c>
    </row>
    <row r="3822" spans="17:19" ht="20.25" hidden="1" customHeight="1">
      <c r="Q3822" s="18"/>
      <c r="R3822" s="14"/>
      <c r="S3822" s="14">
        <v>1</v>
      </c>
    </row>
    <row r="3823" spans="17:19" ht="20.25" hidden="1" customHeight="1">
      <c r="Q3823" s="18"/>
      <c r="R3823" s="14"/>
      <c r="S3823" s="14">
        <v>1</v>
      </c>
    </row>
    <row r="3824" spans="17:19" ht="20.25" hidden="1" customHeight="1">
      <c r="Q3824" s="18"/>
      <c r="R3824" s="14"/>
      <c r="S3824" s="14">
        <v>1</v>
      </c>
    </row>
    <row r="3825" spans="17:19" ht="20.25" hidden="1" customHeight="1">
      <c r="Q3825" s="18"/>
      <c r="R3825" s="14"/>
      <c r="S3825" s="14">
        <v>1</v>
      </c>
    </row>
    <row r="3826" spans="17:19" ht="20.25" hidden="1" customHeight="1">
      <c r="Q3826" s="18"/>
      <c r="R3826" s="14"/>
      <c r="S3826" s="14">
        <v>1</v>
      </c>
    </row>
    <row r="3827" spans="17:19" ht="20.25" hidden="1" customHeight="1">
      <c r="Q3827" s="18"/>
      <c r="R3827" s="14"/>
      <c r="S3827" s="14">
        <v>1</v>
      </c>
    </row>
    <row r="3828" spans="17:19" ht="20.25" hidden="1" customHeight="1">
      <c r="Q3828" s="18"/>
      <c r="R3828" s="14"/>
      <c r="S3828" s="14">
        <v>1</v>
      </c>
    </row>
    <row r="3829" spans="17:19" ht="20.25" hidden="1" customHeight="1">
      <c r="Q3829" s="18"/>
      <c r="R3829" s="14"/>
      <c r="S3829" s="14">
        <v>1</v>
      </c>
    </row>
    <row r="3830" spans="17:19" ht="20.25" hidden="1" customHeight="1">
      <c r="Q3830" s="18"/>
      <c r="R3830" s="14"/>
      <c r="S3830" s="14">
        <v>1</v>
      </c>
    </row>
    <row r="3831" spans="17:19" ht="20.25" hidden="1" customHeight="1">
      <c r="Q3831" s="18"/>
      <c r="R3831" s="14"/>
      <c r="S3831" s="14">
        <v>1</v>
      </c>
    </row>
    <row r="3832" spans="17:19" ht="20.25" hidden="1" customHeight="1">
      <c r="Q3832" s="18"/>
      <c r="R3832" s="14"/>
      <c r="S3832" s="14">
        <v>1</v>
      </c>
    </row>
    <row r="3833" spans="17:19" ht="20.25" hidden="1" customHeight="1">
      <c r="Q3833" s="18"/>
      <c r="R3833" s="14"/>
      <c r="S3833" s="14">
        <v>1</v>
      </c>
    </row>
    <row r="3834" spans="17:19" ht="20.25" hidden="1" customHeight="1">
      <c r="Q3834" s="18"/>
      <c r="R3834" s="14"/>
      <c r="S3834" s="14">
        <v>1</v>
      </c>
    </row>
    <row r="3835" spans="17:19" ht="20.25" hidden="1" customHeight="1">
      <c r="Q3835" s="18"/>
      <c r="R3835" s="14"/>
      <c r="S3835" s="14">
        <v>1</v>
      </c>
    </row>
    <row r="3836" spans="17:19" ht="20.25" hidden="1" customHeight="1">
      <c r="Q3836" s="18"/>
      <c r="R3836" s="14"/>
      <c r="S3836" s="14">
        <v>1</v>
      </c>
    </row>
    <row r="3837" spans="17:19" ht="20.25" hidden="1" customHeight="1">
      <c r="Q3837" s="18"/>
      <c r="R3837" s="14"/>
      <c r="S3837" s="14">
        <v>1</v>
      </c>
    </row>
    <row r="3838" spans="17:19" ht="20.25" hidden="1" customHeight="1">
      <c r="Q3838" s="18"/>
      <c r="R3838" s="14"/>
      <c r="S3838" s="14">
        <v>1</v>
      </c>
    </row>
    <row r="3839" spans="17:19" ht="20.25" hidden="1" customHeight="1">
      <c r="Q3839" s="18"/>
      <c r="R3839" s="14"/>
      <c r="S3839" s="14">
        <v>1</v>
      </c>
    </row>
    <row r="3840" spans="17:19" ht="20.25" hidden="1" customHeight="1">
      <c r="Q3840" s="18"/>
      <c r="R3840" s="14"/>
      <c r="S3840" s="14">
        <v>1</v>
      </c>
    </row>
    <row r="3841" spans="17:19" ht="20.25" hidden="1" customHeight="1">
      <c r="Q3841" s="18"/>
      <c r="R3841" s="14"/>
      <c r="S3841" s="14">
        <v>1</v>
      </c>
    </row>
    <row r="3842" spans="17:19" ht="20.25" hidden="1" customHeight="1">
      <c r="Q3842" s="18"/>
      <c r="R3842" s="14"/>
      <c r="S3842" s="14">
        <v>1</v>
      </c>
    </row>
    <row r="3843" spans="17:19" ht="20.25" hidden="1" customHeight="1">
      <c r="Q3843" s="18"/>
      <c r="R3843" s="14"/>
      <c r="S3843" s="14">
        <v>1</v>
      </c>
    </row>
    <row r="3844" spans="17:19" ht="20.25" hidden="1" customHeight="1">
      <c r="Q3844" s="18"/>
      <c r="R3844" s="14"/>
      <c r="S3844" s="14">
        <v>1</v>
      </c>
    </row>
    <row r="3845" spans="17:19" ht="20.25" hidden="1" customHeight="1">
      <c r="Q3845" s="18"/>
      <c r="R3845" s="14"/>
      <c r="S3845" s="14">
        <v>1</v>
      </c>
    </row>
    <row r="3846" spans="17:19" ht="20.25" hidden="1" customHeight="1">
      <c r="Q3846" s="18"/>
      <c r="R3846" s="14"/>
      <c r="S3846" s="14">
        <v>1</v>
      </c>
    </row>
    <row r="3847" spans="17:19" ht="20.25" hidden="1" customHeight="1">
      <c r="Q3847" s="18"/>
      <c r="R3847" s="14"/>
      <c r="S3847" s="14">
        <v>1</v>
      </c>
    </row>
    <row r="3848" spans="17:19" ht="20.25" hidden="1" customHeight="1">
      <c r="Q3848" s="18"/>
      <c r="R3848" s="14"/>
      <c r="S3848" s="14">
        <v>1</v>
      </c>
    </row>
    <row r="3849" spans="17:19" ht="20.25" hidden="1" customHeight="1">
      <c r="Q3849" s="18"/>
      <c r="R3849" s="14"/>
      <c r="S3849" s="14">
        <v>1</v>
      </c>
    </row>
    <row r="3850" spans="17:19" ht="20.25" hidden="1" customHeight="1">
      <c r="Q3850" s="18"/>
      <c r="R3850" s="14"/>
      <c r="S3850" s="14">
        <v>1</v>
      </c>
    </row>
    <row r="3851" spans="17:19" ht="20.25" hidden="1" customHeight="1">
      <c r="Q3851" s="18"/>
      <c r="R3851" s="14"/>
      <c r="S3851" s="14">
        <v>1</v>
      </c>
    </row>
    <row r="3852" spans="17:19" ht="20.25" hidden="1" customHeight="1">
      <c r="Q3852" s="18"/>
      <c r="R3852" s="14"/>
      <c r="S3852" s="14">
        <v>1</v>
      </c>
    </row>
    <row r="3853" spans="17:19" ht="20.25" hidden="1" customHeight="1">
      <c r="Q3853" s="18"/>
      <c r="R3853" s="14"/>
      <c r="S3853" s="14">
        <v>1</v>
      </c>
    </row>
    <row r="3854" spans="17:19" ht="20.25" hidden="1" customHeight="1">
      <c r="Q3854" s="18"/>
      <c r="R3854" s="14"/>
      <c r="S3854" s="14">
        <v>1</v>
      </c>
    </row>
    <row r="3855" spans="17:19" ht="20.25" hidden="1" customHeight="1">
      <c r="Q3855" s="18"/>
      <c r="R3855" s="14"/>
      <c r="S3855" s="14">
        <v>1</v>
      </c>
    </row>
    <row r="3856" spans="17:19" ht="20.25" hidden="1" customHeight="1">
      <c r="Q3856" s="18"/>
      <c r="R3856" s="14"/>
      <c r="S3856" s="14">
        <v>1</v>
      </c>
    </row>
    <row r="3857" spans="17:19" ht="20.25" hidden="1" customHeight="1">
      <c r="Q3857" s="18"/>
      <c r="R3857" s="14"/>
      <c r="S3857" s="14">
        <v>1</v>
      </c>
    </row>
    <row r="3858" spans="17:19" ht="20.25" hidden="1" customHeight="1">
      <c r="Q3858" s="18"/>
      <c r="R3858" s="14"/>
      <c r="S3858" s="14">
        <v>1</v>
      </c>
    </row>
    <row r="3859" spans="17:19" ht="20.25" hidden="1" customHeight="1">
      <c r="Q3859" s="18"/>
      <c r="R3859" s="14"/>
      <c r="S3859" s="14">
        <v>1</v>
      </c>
    </row>
    <row r="3860" spans="17:19" ht="20.25" hidden="1" customHeight="1">
      <c r="Q3860" s="18"/>
      <c r="R3860" s="14"/>
      <c r="S3860" s="14">
        <v>1</v>
      </c>
    </row>
    <row r="3861" spans="17:19" ht="20.25" hidden="1" customHeight="1">
      <c r="Q3861" s="18"/>
      <c r="R3861" s="14"/>
      <c r="S3861" s="14">
        <v>1</v>
      </c>
    </row>
    <row r="3862" spans="17:19" ht="20.25" hidden="1" customHeight="1">
      <c r="Q3862" s="18"/>
      <c r="R3862" s="14"/>
      <c r="S3862" s="14">
        <v>1</v>
      </c>
    </row>
    <row r="3863" spans="17:19" ht="20.25" hidden="1" customHeight="1">
      <c r="Q3863" s="18"/>
      <c r="R3863" s="14"/>
      <c r="S3863" s="14">
        <v>1</v>
      </c>
    </row>
    <row r="3864" spans="17:19" ht="20.25" hidden="1" customHeight="1">
      <c r="Q3864" s="18"/>
      <c r="R3864" s="14"/>
      <c r="S3864" s="14">
        <v>1</v>
      </c>
    </row>
    <row r="3865" spans="17:19" ht="20.25" hidden="1" customHeight="1">
      <c r="Q3865" s="18"/>
      <c r="R3865" s="14"/>
      <c r="S3865" s="14">
        <v>1</v>
      </c>
    </row>
    <row r="3866" spans="17:19" ht="20.25" hidden="1" customHeight="1">
      <c r="Q3866" s="18"/>
      <c r="R3866" s="14"/>
      <c r="S3866" s="14">
        <v>1</v>
      </c>
    </row>
    <row r="3867" spans="17:19" ht="20.25" hidden="1" customHeight="1">
      <c r="Q3867" s="18"/>
      <c r="R3867" s="14"/>
      <c r="S3867" s="14">
        <v>1</v>
      </c>
    </row>
    <row r="3868" spans="17:19" ht="20.25" hidden="1" customHeight="1">
      <c r="Q3868" s="18"/>
      <c r="R3868" s="14"/>
      <c r="S3868" s="14">
        <v>1</v>
      </c>
    </row>
    <row r="3869" spans="17:19" ht="20.25" hidden="1" customHeight="1">
      <c r="Q3869" s="18"/>
      <c r="R3869" s="14"/>
      <c r="S3869" s="14">
        <v>1</v>
      </c>
    </row>
    <row r="3870" spans="17:19" ht="20.25" hidden="1" customHeight="1">
      <c r="Q3870" s="18"/>
      <c r="R3870" s="14"/>
      <c r="S3870" s="14">
        <v>1</v>
      </c>
    </row>
    <row r="3871" spans="17:19" ht="20.25" hidden="1" customHeight="1">
      <c r="Q3871" s="18"/>
      <c r="R3871" s="14"/>
      <c r="S3871" s="14">
        <v>1</v>
      </c>
    </row>
    <row r="3872" spans="17:19" ht="20.25" hidden="1" customHeight="1">
      <c r="Q3872" s="18"/>
      <c r="R3872" s="14"/>
      <c r="S3872" s="14">
        <v>1</v>
      </c>
    </row>
    <row r="3873" spans="17:19" ht="20.25" hidden="1" customHeight="1">
      <c r="Q3873" s="18"/>
      <c r="R3873" s="14"/>
      <c r="S3873" s="14">
        <v>1</v>
      </c>
    </row>
    <row r="3874" spans="17:19" ht="20.25" hidden="1" customHeight="1">
      <c r="Q3874" s="18"/>
      <c r="R3874" s="14"/>
      <c r="S3874" s="14">
        <v>1</v>
      </c>
    </row>
    <row r="3875" spans="17:19" ht="20.25" hidden="1" customHeight="1">
      <c r="Q3875" s="18"/>
      <c r="R3875" s="14"/>
      <c r="S3875" s="14">
        <v>1</v>
      </c>
    </row>
    <row r="3876" spans="17:19" ht="20.25" hidden="1" customHeight="1">
      <c r="Q3876" s="18"/>
      <c r="R3876" s="14"/>
      <c r="S3876" s="14">
        <v>1</v>
      </c>
    </row>
    <row r="3877" spans="17:19" ht="20.25" hidden="1" customHeight="1">
      <c r="Q3877" s="18"/>
      <c r="R3877" s="14"/>
      <c r="S3877" s="14">
        <v>1</v>
      </c>
    </row>
    <row r="3878" spans="17:19" ht="20.25" hidden="1" customHeight="1">
      <c r="Q3878" s="18"/>
      <c r="R3878" s="14"/>
      <c r="S3878" s="14">
        <v>1</v>
      </c>
    </row>
    <row r="3879" spans="17:19" ht="20.25" hidden="1" customHeight="1">
      <c r="Q3879" s="18"/>
      <c r="R3879" s="14"/>
      <c r="S3879" s="14">
        <v>1</v>
      </c>
    </row>
    <row r="3880" spans="17:19" ht="20.25" hidden="1" customHeight="1">
      <c r="Q3880" s="18"/>
      <c r="R3880" s="14"/>
      <c r="S3880" s="14">
        <v>1</v>
      </c>
    </row>
    <row r="3881" spans="17:19" ht="20.25" hidden="1" customHeight="1">
      <c r="Q3881" s="18"/>
      <c r="R3881" s="14"/>
      <c r="S3881" s="14">
        <v>1</v>
      </c>
    </row>
    <row r="3882" spans="17:19" ht="20.25" hidden="1" customHeight="1">
      <c r="Q3882" s="18"/>
      <c r="R3882" s="14"/>
      <c r="S3882" s="14">
        <v>1</v>
      </c>
    </row>
    <row r="3883" spans="17:19" ht="20.25" hidden="1" customHeight="1">
      <c r="Q3883" s="18"/>
      <c r="R3883" s="14"/>
      <c r="S3883" s="14">
        <v>1</v>
      </c>
    </row>
    <row r="3884" spans="17:19" ht="20.25" hidden="1" customHeight="1">
      <c r="Q3884" s="18"/>
      <c r="R3884" s="14"/>
      <c r="S3884" s="14">
        <v>1</v>
      </c>
    </row>
    <row r="3885" spans="17:19" ht="20.25" hidden="1" customHeight="1">
      <c r="Q3885" s="18"/>
      <c r="R3885" s="14"/>
      <c r="S3885" s="14">
        <v>1</v>
      </c>
    </row>
    <row r="3886" spans="17:19" ht="20.25" hidden="1" customHeight="1">
      <c r="Q3886" s="18"/>
      <c r="R3886" s="14"/>
      <c r="S3886" s="14">
        <v>1</v>
      </c>
    </row>
    <row r="3887" spans="17:19" ht="20.25" hidden="1" customHeight="1">
      <c r="Q3887" s="18"/>
      <c r="R3887" s="14"/>
      <c r="S3887" s="14">
        <v>1</v>
      </c>
    </row>
    <row r="3888" spans="17:19" ht="20.25" hidden="1" customHeight="1">
      <c r="Q3888" s="18"/>
      <c r="R3888" s="14"/>
      <c r="S3888" s="14">
        <v>1</v>
      </c>
    </row>
    <row r="3889" spans="17:19" ht="20.25" hidden="1" customHeight="1">
      <c r="Q3889" s="18"/>
      <c r="R3889" s="14"/>
      <c r="S3889" s="14">
        <v>1</v>
      </c>
    </row>
    <row r="3890" spans="17:19" ht="20.25" hidden="1" customHeight="1">
      <c r="Q3890" s="18"/>
      <c r="R3890" s="14"/>
      <c r="S3890" s="14">
        <v>1</v>
      </c>
    </row>
    <row r="3891" spans="17:19" ht="20.25" hidden="1" customHeight="1">
      <c r="Q3891" s="18"/>
      <c r="R3891" s="14"/>
      <c r="S3891" s="14">
        <v>1</v>
      </c>
    </row>
    <row r="3892" spans="17:19" ht="20.25" hidden="1" customHeight="1">
      <c r="Q3892" s="18"/>
      <c r="R3892" s="14"/>
      <c r="S3892" s="14">
        <v>1</v>
      </c>
    </row>
    <row r="3893" spans="17:19" ht="20.25" hidden="1" customHeight="1">
      <c r="Q3893" s="18"/>
      <c r="R3893" s="14"/>
      <c r="S3893" s="14">
        <v>1</v>
      </c>
    </row>
    <row r="3894" spans="17:19" ht="20.25" hidden="1" customHeight="1">
      <c r="Q3894" s="18"/>
      <c r="R3894" s="14"/>
      <c r="S3894" s="14">
        <v>1</v>
      </c>
    </row>
    <row r="3895" spans="17:19" ht="20.25" hidden="1" customHeight="1">
      <c r="Q3895" s="18"/>
      <c r="R3895" s="14"/>
      <c r="S3895" s="14">
        <v>1</v>
      </c>
    </row>
    <row r="3896" spans="17:19" ht="20.25" hidden="1" customHeight="1">
      <c r="Q3896" s="18"/>
      <c r="R3896" s="14"/>
      <c r="S3896" s="14">
        <v>1</v>
      </c>
    </row>
    <row r="3897" spans="17:19" ht="20.25" hidden="1" customHeight="1">
      <c r="Q3897" s="18"/>
      <c r="R3897" s="14"/>
      <c r="S3897" s="14">
        <v>1</v>
      </c>
    </row>
    <row r="3898" spans="17:19" ht="20.25" hidden="1" customHeight="1">
      <c r="Q3898" s="18"/>
      <c r="R3898" s="14"/>
      <c r="S3898" s="14">
        <v>1</v>
      </c>
    </row>
    <row r="3899" spans="17:19" ht="20.25" hidden="1" customHeight="1">
      <c r="Q3899" s="18"/>
      <c r="R3899" s="14"/>
      <c r="S3899" s="14">
        <v>1</v>
      </c>
    </row>
    <row r="3900" spans="17:19" ht="20.25" hidden="1" customHeight="1">
      <c r="Q3900" s="18"/>
      <c r="R3900" s="14"/>
      <c r="S3900" s="14">
        <v>1</v>
      </c>
    </row>
    <row r="3901" spans="17:19" ht="20.25" hidden="1" customHeight="1">
      <c r="Q3901" s="18"/>
      <c r="R3901" s="14"/>
      <c r="S3901" s="14">
        <v>1</v>
      </c>
    </row>
    <row r="3902" spans="17:19" ht="20.25" hidden="1" customHeight="1">
      <c r="Q3902" s="18"/>
      <c r="R3902" s="14"/>
      <c r="S3902" s="14">
        <v>1</v>
      </c>
    </row>
    <row r="3903" spans="17:19" ht="20.25" hidden="1" customHeight="1">
      <c r="Q3903" s="18"/>
      <c r="R3903" s="14"/>
      <c r="S3903" s="14">
        <v>1</v>
      </c>
    </row>
    <row r="3904" spans="17:19" ht="20.25" hidden="1" customHeight="1">
      <c r="Q3904" s="18"/>
      <c r="R3904" s="14"/>
      <c r="S3904" s="14">
        <v>1</v>
      </c>
    </row>
    <row r="3905" spans="17:19" ht="20.25" hidden="1" customHeight="1">
      <c r="Q3905" s="18"/>
      <c r="R3905" s="14"/>
      <c r="S3905" s="14">
        <v>1</v>
      </c>
    </row>
    <row r="3906" spans="17:19" ht="20.25" hidden="1" customHeight="1">
      <c r="Q3906" s="18"/>
      <c r="R3906" s="14"/>
      <c r="S3906" s="14">
        <v>1</v>
      </c>
    </row>
    <row r="3907" spans="17:19" ht="20.25" hidden="1" customHeight="1">
      <c r="Q3907" s="18"/>
      <c r="R3907" s="14"/>
      <c r="S3907" s="14">
        <v>1</v>
      </c>
    </row>
    <row r="3908" spans="17:19" ht="20.25" hidden="1" customHeight="1">
      <c r="Q3908" s="18"/>
      <c r="R3908" s="14"/>
      <c r="S3908" s="14">
        <v>1</v>
      </c>
    </row>
    <row r="3909" spans="17:19" ht="20.25" hidden="1" customHeight="1">
      <c r="Q3909" s="18"/>
      <c r="R3909" s="14"/>
      <c r="S3909" s="14">
        <v>1</v>
      </c>
    </row>
    <row r="3910" spans="17:19" ht="20.25" hidden="1" customHeight="1">
      <c r="Q3910" s="18"/>
      <c r="R3910" s="14"/>
      <c r="S3910" s="14">
        <v>1</v>
      </c>
    </row>
    <row r="3911" spans="17:19" ht="20.25" hidden="1" customHeight="1">
      <c r="Q3911" s="18"/>
      <c r="R3911" s="14"/>
      <c r="S3911" s="14">
        <v>1</v>
      </c>
    </row>
    <row r="3912" spans="17:19" ht="20.25" hidden="1" customHeight="1">
      <c r="Q3912" s="18"/>
      <c r="R3912" s="14"/>
      <c r="S3912" s="14">
        <v>1</v>
      </c>
    </row>
    <row r="3913" spans="17:19" ht="20.25" hidden="1" customHeight="1">
      <c r="Q3913" s="18"/>
      <c r="R3913" s="14"/>
      <c r="S3913" s="14">
        <v>1</v>
      </c>
    </row>
    <row r="3914" spans="17:19" ht="20.25" hidden="1" customHeight="1">
      <c r="Q3914" s="18"/>
      <c r="R3914" s="14"/>
      <c r="S3914" s="14">
        <v>1</v>
      </c>
    </row>
    <row r="3915" spans="17:19" ht="20.25" hidden="1" customHeight="1">
      <c r="Q3915" s="18"/>
      <c r="R3915" s="14"/>
      <c r="S3915" s="14">
        <v>1</v>
      </c>
    </row>
    <row r="3916" spans="17:19" ht="20.25" hidden="1" customHeight="1">
      <c r="Q3916" s="18"/>
      <c r="R3916" s="14"/>
      <c r="S3916" s="14">
        <v>1</v>
      </c>
    </row>
    <row r="3917" spans="17:19" ht="20.25" hidden="1" customHeight="1">
      <c r="Q3917" s="18"/>
      <c r="R3917" s="14"/>
      <c r="S3917" s="14">
        <v>1</v>
      </c>
    </row>
    <row r="3918" spans="17:19" ht="20.25" hidden="1" customHeight="1">
      <c r="Q3918" s="18"/>
      <c r="R3918" s="14"/>
      <c r="S3918" s="14">
        <v>1</v>
      </c>
    </row>
    <row r="3919" spans="17:19" ht="20.25" hidden="1" customHeight="1">
      <c r="Q3919" s="18"/>
      <c r="R3919" s="14"/>
      <c r="S3919" s="14">
        <v>1</v>
      </c>
    </row>
    <row r="3920" spans="17:19" ht="20.25" hidden="1" customHeight="1">
      <c r="Q3920" s="18"/>
      <c r="R3920" s="14"/>
      <c r="S3920" s="14">
        <v>1</v>
      </c>
    </row>
    <row r="3921" spans="17:19" ht="20.25" hidden="1" customHeight="1">
      <c r="Q3921" s="18"/>
      <c r="R3921" s="14"/>
      <c r="S3921" s="14">
        <v>1</v>
      </c>
    </row>
    <row r="3922" spans="17:19" ht="20.25" hidden="1" customHeight="1">
      <c r="Q3922" s="18"/>
      <c r="R3922" s="14"/>
      <c r="S3922" s="14">
        <v>1</v>
      </c>
    </row>
    <row r="3923" spans="17:19" ht="20.25" hidden="1" customHeight="1">
      <c r="Q3923" s="18"/>
      <c r="R3923" s="14"/>
      <c r="S3923" s="14">
        <v>1</v>
      </c>
    </row>
    <row r="3924" spans="17:19" ht="20.25" hidden="1" customHeight="1">
      <c r="Q3924" s="18"/>
      <c r="R3924" s="14"/>
      <c r="S3924" s="14">
        <v>1</v>
      </c>
    </row>
    <row r="3925" spans="17:19" ht="20.25" hidden="1" customHeight="1">
      <c r="Q3925" s="18"/>
      <c r="R3925" s="14"/>
      <c r="S3925" s="14">
        <v>1</v>
      </c>
    </row>
    <row r="3926" spans="17:19" ht="20.25" hidden="1" customHeight="1">
      <c r="Q3926" s="18"/>
      <c r="R3926" s="14"/>
      <c r="S3926" s="14">
        <v>1</v>
      </c>
    </row>
    <row r="3927" spans="17:19" ht="20.25" hidden="1" customHeight="1">
      <c r="Q3927" s="18"/>
      <c r="R3927" s="14"/>
      <c r="S3927" s="14">
        <v>1</v>
      </c>
    </row>
    <row r="3928" spans="17:19" ht="20.25" hidden="1" customHeight="1">
      <c r="Q3928" s="18"/>
      <c r="R3928" s="14"/>
      <c r="S3928" s="14">
        <v>1</v>
      </c>
    </row>
    <row r="3929" spans="17:19" ht="20.25" hidden="1" customHeight="1">
      <c r="Q3929" s="18"/>
      <c r="R3929" s="14"/>
      <c r="S3929" s="14">
        <v>1</v>
      </c>
    </row>
    <row r="3930" spans="17:19" ht="20.25" hidden="1" customHeight="1">
      <c r="Q3930" s="18"/>
      <c r="R3930" s="14"/>
      <c r="S3930" s="14">
        <v>1</v>
      </c>
    </row>
    <row r="3931" spans="17:19" ht="20.25" hidden="1" customHeight="1">
      <c r="Q3931" s="18"/>
      <c r="R3931" s="14"/>
      <c r="S3931" s="14">
        <v>1</v>
      </c>
    </row>
    <row r="3932" spans="17:19" ht="20.25" hidden="1" customHeight="1">
      <c r="Q3932" s="18"/>
      <c r="R3932" s="14"/>
      <c r="S3932" s="14">
        <v>1</v>
      </c>
    </row>
    <row r="3933" spans="17:19" ht="20.25" hidden="1" customHeight="1">
      <c r="Q3933" s="18"/>
      <c r="R3933" s="14"/>
      <c r="S3933" s="14">
        <v>1</v>
      </c>
    </row>
    <row r="3934" spans="17:19" ht="20.25" hidden="1" customHeight="1">
      <c r="Q3934" s="18"/>
      <c r="R3934" s="14"/>
      <c r="S3934" s="14">
        <v>1</v>
      </c>
    </row>
    <row r="3935" spans="17:19" ht="20.25" hidden="1" customHeight="1">
      <c r="Q3935" s="18"/>
      <c r="R3935" s="14"/>
      <c r="S3935" s="14">
        <v>1</v>
      </c>
    </row>
    <row r="3936" spans="17:19" ht="20.25" hidden="1" customHeight="1">
      <c r="Q3936" s="18"/>
      <c r="R3936" s="14"/>
      <c r="S3936" s="14">
        <v>1</v>
      </c>
    </row>
    <row r="3937" spans="17:19" ht="20.25" hidden="1" customHeight="1">
      <c r="Q3937" s="18"/>
      <c r="R3937" s="14"/>
      <c r="S3937" s="14">
        <v>1</v>
      </c>
    </row>
    <row r="3938" spans="17:19" ht="20.25" hidden="1" customHeight="1">
      <c r="Q3938" s="18"/>
      <c r="R3938" s="14"/>
      <c r="S3938" s="14">
        <v>1</v>
      </c>
    </row>
    <row r="3939" spans="17:19" ht="20.25" hidden="1" customHeight="1">
      <c r="Q3939" s="18"/>
      <c r="R3939" s="14"/>
      <c r="S3939" s="14">
        <v>1</v>
      </c>
    </row>
    <row r="3940" spans="17:19" ht="20.25" hidden="1" customHeight="1">
      <c r="Q3940" s="18"/>
      <c r="R3940" s="14"/>
      <c r="S3940" s="14">
        <v>1</v>
      </c>
    </row>
    <row r="3941" spans="17:19" ht="20.25" hidden="1" customHeight="1">
      <c r="Q3941" s="18"/>
      <c r="R3941" s="14"/>
      <c r="S3941" s="14">
        <v>1</v>
      </c>
    </row>
    <row r="3942" spans="17:19" ht="20.25" hidden="1" customHeight="1">
      <c r="Q3942" s="18"/>
      <c r="R3942" s="14"/>
      <c r="S3942" s="14">
        <v>1</v>
      </c>
    </row>
    <row r="3943" spans="17:19" ht="20.25" hidden="1" customHeight="1">
      <c r="Q3943" s="18"/>
      <c r="R3943" s="14"/>
      <c r="S3943" s="14">
        <v>1</v>
      </c>
    </row>
    <row r="3944" spans="17:19" ht="20.25" hidden="1" customHeight="1">
      <c r="Q3944" s="18"/>
      <c r="R3944" s="14"/>
      <c r="S3944" s="14">
        <v>1</v>
      </c>
    </row>
    <row r="3945" spans="17:19" ht="20.25" hidden="1" customHeight="1">
      <c r="Q3945" s="18"/>
      <c r="R3945" s="14"/>
      <c r="S3945" s="14">
        <v>1</v>
      </c>
    </row>
    <row r="3946" spans="17:19" ht="20.25" hidden="1" customHeight="1">
      <c r="Q3946" s="18"/>
      <c r="R3946" s="14"/>
      <c r="S3946" s="14">
        <v>1</v>
      </c>
    </row>
    <row r="3947" spans="17:19" ht="20.25" hidden="1" customHeight="1">
      <c r="Q3947" s="18"/>
      <c r="R3947" s="14"/>
      <c r="S3947" s="14">
        <v>1</v>
      </c>
    </row>
    <row r="3948" spans="17:19" ht="20.25" hidden="1" customHeight="1">
      <c r="Q3948" s="18"/>
      <c r="R3948" s="14"/>
      <c r="S3948" s="14">
        <v>1</v>
      </c>
    </row>
    <row r="3949" spans="17:19" ht="20.25" hidden="1" customHeight="1">
      <c r="Q3949" s="18"/>
      <c r="R3949" s="14"/>
      <c r="S3949" s="14">
        <v>1</v>
      </c>
    </row>
    <row r="3950" spans="17:19" ht="20.25" hidden="1" customHeight="1">
      <c r="Q3950" s="18"/>
      <c r="R3950" s="14"/>
      <c r="S3950" s="14">
        <v>1</v>
      </c>
    </row>
    <row r="3951" spans="17:19" ht="20.25" hidden="1" customHeight="1">
      <c r="Q3951" s="18"/>
      <c r="R3951" s="14"/>
      <c r="S3951" s="14">
        <v>1</v>
      </c>
    </row>
    <row r="3952" spans="17:19" ht="20.25" hidden="1" customHeight="1">
      <c r="Q3952" s="18"/>
      <c r="R3952" s="14"/>
      <c r="S3952" s="14">
        <v>1</v>
      </c>
    </row>
    <row r="3953" spans="17:19" ht="20.25" hidden="1" customHeight="1">
      <c r="Q3953" s="18"/>
      <c r="R3953" s="14"/>
      <c r="S3953" s="14">
        <v>1</v>
      </c>
    </row>
    <row r="3954" spans="17:19" ht="20.25" hidden="1" customHeight="1">
      <c r="Q3954" s="18"/>
      <c r="R3954" s="14"/>
      <c r="S3954" s="14">
        <v>1</v>
      </c>
    </row>
    <row r="3955" spans="17:19" ht="20.25" hidden="1" customHeight="1">
      <c r="Q3955" s="18"/>
      <c r="R3955" s="14"/>
      <c r="S3955" s="14">
        <v>1</v>
      </c>
    </row>
    <row r="3956" spans="17:19" ht="20.25" hidden="1" customHeight="1">
      <c r="Q3956" s="18"/>
      <c r="R3956" s="14"/>
      <c r="S3956" s="14">
        <v>1</v>
      </c>
    </row>
    <row r="3957" spans="17:19" ht="20.25" hidden="1" customHeight="1">
      <c r="Q3957" s="18"/>
      <c r="R3957" s="14"/>
      <c r="S3957" s="14">
        <v>1</v>
      </c>
    </row>
    <row r="3958" spans="17:19" ht="20.25" hidden="1" customHeight="1">
      <c r="Q3958" s="18"/>
      <c r="R3958" s="14"/>
      <c r="S3958" s="14">
        <v>1</v>
      </c>
    </row>
    <row r="3959" spans="17:19" ht="20.25" hidden="1" customHeight="1">
      <c r="Q3959" s="18"/>
      <c r="R3959" s="14"/>
      <c r="S3959" s="14">
        <v>1</v>
      </c>
    </row>
    <row r="3960" spans="17:19" ht="20.25" hidden="1" customHeight="1">
      <c r="Q3960" s="18"/>
      <c r="R3960" s="14"/>
      <c r="S3960" s="14">
        <v>1</v>
      </c>
    </row>
    <row r="3961" spans="17:19" ht="20.25" hidden="1" customHeight="1">
      <c r="Q3961" s="18"/>
      <c r="R3961" s="14"/>
      <c r="S3961" s="14">
        <v>1</v>
      </c>
    </row>
    <row r="3962" spans="17:19" ht="20.25" hidden="1" customHeight="1">
      <c r="Q3962" s="18"/>
      <c r="R3962" s="14"/>
      <c r="S3962" s="14">
        <v>1</v>
      </c>
    </row>
    <row r="3963" spans="17:19" ht="20.25" hidden="1" customHeight="1">
      <c r="Q3963" s="18"/>
      <c r="R3963" s="14"/>
      <c r="S3963" s="14">
        <v>1</v>
      </c>
    </row>
    <row r="3964" spans="17:19" ht="20.25" hidden="1" customHeight="1">
      <c r="Q3964" s="18"/>
      <c r="R3964" s="14"/>
      <c r="S3964" s="14">
        <v>1</v>
      </c>
    </row>
    <row r="3965" spans="17:19" ht="20.25" hidden="1" customHeight="1">
      <c r="Q3965" s="18"/>
      <c r="R3965" s="14"/>
      <c r="S3965" s="14">
        <v>1</v>
      </c>
    </row>
    <row r="3966" spans="17:19" ht="20.25" hidden="1" customHeight="1">
      <c r="Q3966" s="18"/>
      <c r="R3966" s="14"/>
      <c r="S3966" s="14">
        <v>1</v>
      </c>
    </row>
    <row r="3967" spans="17:19" ht="20.25" hidden="1" customHeight="1">
      <c r="Q3967" s="18"/>
      <c r="R3967" s="14"/>
      <c r="S3967" s="14">
        <v>1</v>
      </c>
    </row>
    <row r="3968" spans="17:19" ht="20.25" hidden="1" customHeight="1">
      <c r="Q3968" s="18"/>
      <c r="R3968" s="14"/>
      <c r="S3968" s="14">
        <v>1</v>
      </c>
    </row>
    <row r="3969" spans="17:19" ht="20.25" hidden="1" customHeight="1">
      <c r="Q3969" s="18"/>
      <c r="R3969" s="14"/>
      <c r="S3969" s="14">
        <v>1</v>
      </c>
    </row>
    <row r="3970" spans="17:19" ht="20.25" hidden="1" customHeight="1">
      <c r="Q3970" s="18"/>
      <c r="R3970" s="14"/>
      <c r="S3970" s="14">
        <v>1</v>
      </c>
    </row>
    <row r="3971" spans="17:19" ht="20.25" hidden="1" customHeight="1">
      <c r="Q3971" s="18"/>
      <c r="R3971" s="14"/>
      <c r="S3971" s="14">
        <v>1</v>
      </c>
    </row>
    <row r="3972" spans="17:19" ht="20.25" hidden="1" customHeight="1">
      <c r="Q3972" s="18"/>
      <c r="R3972" s="14"/>
      <c r="S3972" s="14">
        <v>1</v>
      </c>
    </row>
    <row r="3973" spans="17:19" ht="20.25" hidden="1" customHeight="1">
      <c r="Q3973" s="18"/>
      <c r="R3973" s="14"/>
      <c r="S3973" s="14">
        <v>1</v>
      </c>
    </row>
    <row r="3974" spans="17:19" ht="20.25" hidden="1" customHeight="1">
      <c r="Q3974" s="18"/>
      <c r="R3974" s="14"/>
      <c r="S3974" s="14">
        <v>1</v>
      </c>
    </row>
    <row r="3975" spans="17:19" ht="20.25" hidden="1" customHeight="1">
      <c r="Q3975" s="18"/>
      <c r="R3975" s="14"/>
      <c r="S3975" s="14">
        <v>1</v>
      </c>
    </row>
    <row r="3976" spans="17:19" ht="20.25" hidden="1" customHeight="1">
      <c r="Q3976" s="18"/>
      <c r="R3976" s="14"/>
      <c r="S3976" s="14">
        <v>1</v>
      </c>
    </row>
    <row r="3977" spans="17:19" ht="20.25" hidden="1" customHeight="1">
      <c r="Q3977" s="18"/>
      <c r="R3977" s="14"/>
      <c r="S3977" s="14">
        <v>1</v>
      </c>
    </row>
    <row r="3978" spans="17:19" ht="20.25" hidden="1" customHeight="1">
      <c r="Q3978" s="18"/>
      <c r="R3978" s="14"/>
      <c r="S3978" s="14">
        <v>1</v>
      </c>
    </row>
    <row r="3979" spans="17:19" ht="20.25" hidden="1" customHeight="1">
      <c r="Q3979" s="18"/>
      <c r="R3979" s="14"/>
      <c r="S3979" s="14">
        <v>1</v>
      </c>
    </row>
    <row r="3980" spans="17:19" ht="20.25" hidden="1" customHeight="1">
      <c r="Q3980" s="18"/>
      <c r="R3980" s="14"/>
      <c r="S3980" s="14">
        <v>1</v>
      </c>
    </row>
    <row r="3981" spans="17:19" ht="20.25" hidden="1" customHeight="1">
      <c r="Q3981" s="18"/>
      <c r="R3981" s="14"/>
      <c r="S3981" s="14">
        <v>1</v>
      </c>
    </row>
    <row r="3982" spans="17:19" ht="20.25" hidden="1" customHeight="1">
      <c r="Q3982" s="18"/>
      <c r="R3982" s="14"/>
      <c r="S3982" s="14">
        <v>1</v>
      </c>
    </row>
    <row r="3983" spans="17:19" ht="20.25" hidden="1" customHeight="1">
      <c r="Q3983" s="18"/>
      <c r="R3983" s="14"/>
      <c r="S3983" s="14">
        <v>1</v>
      </c>
    </row>
    <row r="3984" spans="17:19" ht="20.25" hidden="1" customHeight="1">
      <c r="Q3984" s="18"/>
      <c r="R3984" s="14"/>
      <c r="S3984" s="14">
        <v>1</v>
      </c>
    </row>
    <row r="3985" spans="17:19" ht="20.25" hidden="1" customHeight="1">
      <c r="Q3985" s="18"/>
      <c r="R3985" s="14"/>
      <c r="S3985" s="14">
        <v>1</v>
      </c>
    </row>
    <row r="3986" spans="17:19" ht="20.25" hidden="1" customHeight="1">
      <c r="Q3986" s="18"/>
      <c r="R3986" s="14"/>
      <c r="S3986" s="14">
        <v>1</v>
      </c>
    </row>
    <row r="3987" spans="17:19" ht="20.25" hidden="1" customHeight="1">
      <c r="Q3987" s="18"/>
      <c r="R3987" s="14"/>
      <c r="S3987" s="14">
        <v>1</v>
      </c>
    </row>
    <row r="3988" spans="17:19" ht="20.25" hidden="1" customHeight="1">
      <c r="Q3988" s="18"/>
      <c r="R3988" s="14"/>
      <c r="S3988" s="14">
        <v>1</v>
      </c>
    </row>
    <row r="3989" spans="17:19" ht="20.25" hidden="1" customHeight="1">
      <c r="Q3989" s="18"/>
      <c r="R3989" s="14"/>
      <c r="S3989" s="14">
        <v>1</v>
      </c>
    </row>
    <row r="3990" spans="17:19" ht="20.25" hidden="1" customHeight="1">
      <c r="Q3990" s="18"/>
      <c r="R3990" s="14"/>
      <c r="S3990" s="14">
        <v>1</v>
      </c>
    </row>
    <row r="3991" spans="17:19" ht="20.25" hidden="1" customHeight="1">
      <c r="Q3991" s="18"/>
      <c r="R3991" s="14"/>
      <c r="S3991" s="14">
        <v>1</v>
      </c>
    </row>
    <row r="3992" spans="17:19" ht="20.25" hidden="1" customHeight="1">
      <c r="Q3992" s="18"/>
      <c r="R3992" s="14"/>
      <c r="S3992" s="14">
        <v>1</v>
      </c>
    </row>
    <row r="3993" spans="17:19" ht="20.25" hidden="1" customHeight="1">
      <c r="Q3993" s="18"/>
      <c r="R3993" s="14"/>
      <c r="S3993" s="14">
        <v>1</v>
      </c>
    </row>
    <row r="3994" spans="17:19" ht="20.25" hidden="1" customHeight="1">
      <c r="Q3994" s="18"/>
      <c r="R3994" s="14"/>
      <c r="S3994" s="14">
        <v>1</v>
      </c>
    </row>
    <row r="3995" spans="17:19" ht="20.25" hidden="1" customHeight="1">
      <c r="Q3995" s="18"/>
      <c r="R3995" s="14"/>
      <c r="S3995" s="14">
        <v>1</v>
      </c>
    </row>
    <row r="3996" spans="17:19" ht="20.25" hidden="1" customHeight="1">
      <c r="Q3996" s="18"/>
      <c r="R3996" s="14"/>
      <c r="S3996" s="14">
        <v>1</v>
      </c>
    </row>
    <row r="3997" spans="17:19" ht="20.25" hidden="1" customHeight="1">
      <c r="Q3997" s="18"/>
      <c r="R3997" s="14"/>
      <c r="S3997" s="14">
        <v>1</v>
      </c>
    </row>
    <row r="3998" spans="17:19" ht="20.25" hidden="1" customHeight="1">
      <c r="Q3998" s="18"/>
      <c r="R3998" s="14"/>
      <c r="S3998" s="14">
        <v>1</v>
      </c>
    </row>
    <row r="3999" spans="17:19" ht="20.25" hidden="1" customHeight="1">
      <c r="Q3999" s="18"/>
      <c r="R3999" s="14"/>
      <c r="S3999" s="14">
        <v>1</v>
      </c>
    </row>
    <row r="4000" spans="17:19" ht="20.25" hidden="1" customHeight="1">
      <c r="Q4000" s="18"/>
      <c r="R4000" s="14"/>
      <c r="S4000" s="14">
        <v>1</v>
      </c>
    </row>
    <row r="4001" spans="17:19" ht="20.25" hidden="1" customHeight="1">
      <c r="Q4001" s="18"/>
      <c r="R4001" s="14"/>
      <c r="S4001" s="14">
        <v>1</v>
      </c>
    </row>
    <row r="4002" spans="17:19" ht="20.25" hidden="1" customHeight="1">
      <c r="Q4002" s="18"/>
      <c r="R4002" s="14"/>
      <c r="S4002" s="14">
        <v>1</v>
      </c>
    </row>
    <row r="4003" spans="17:19" ht="20.25" hidden="1" customHeight="1">
      <c r="Q4003" s="18"/>
      <c r="R4003" s="14"/>
      <c r="S4003" s="14">
        <v>1</v>
      </c>
    </row>
    <row r="4004" spans="17:19" ht="20.25" hidden="1" customHeight="1">
      <c r="Q4004" s="18"/>
      <c r="R4004" s="14"/>
      <c r="S4004" s="14">
        <v>1</v>
      </c>
    </row>
    <row r="4005" spans="17:19" ht="20.25" hidden="1" customHeight="1">
      <c r="Q4005" s="18"/>
      <c r="R4005" s="14"/>
      <c r="S4005" s="14">
        <v>1</v>
      </c>
    </row>
    <row r="4006" spans="17:19" ht="20.25" hidden="1" customHeight="1">
      <c r="Q4006" s="18"/>
      <c r="R4006" s="14"/>
      <c r="S4006" s="14">
        <v>1</v>
      </c>
    </row>
    <row r="4007" spans="17:19" ht="20.25" hidden="1" customHeight="1">
      <c r="Q4007" s="18"/>
      <c r="R4007" s="14"/>
      <c r="S4007" s="14">
        <v>1</v>
      </c>
    </row>
    <row r="4008" spans="17:19" ht="20.25" hidden="1" customHeight="1">
      <c r="Q4008" s="18"/>
      <c r="R4008" s="14"/>
      <c r="S4008" s="14">
        <v>1</v>
      </c>
    </row>
    <row r="4009" spans="17:19" ht="20.25" hidden="1" customHeight="1">
      <c r="Q4009" s="18"/>
      <c r="R4009" s="14"/>
      <c r="S4009" s="14">
        <v>1</v>
      </c>
    </row>
    <row r="4010" spans="17:19" ht="20.25" hidden="1" customHeight="1">
      <c r="Q4010" s="18"/>
      <c r="R4010" s="14"/>
      <c r="S4010" s="14">
        <v>1</v>
      </c>
    </row>
    <row r="4011" spans="17:19" ht="20.25" hidden="1" customHeight="1">
      <c r="Q4011" s="18"/>
      <c r="R4011" s="14"/>
      <c r="S4011" s="14">
        <v>1</v>
      </c>
    </row>
    <row r="4012" spans="17:19" ht="20.25" hidden="1" customHeight="1">
      <c r="Q4012" s="18"/>
      <c r="R4012" s="14"/>
      <c r="S4012" s="14">
        <v>1</v>
      </c>
    </row>
    <row r="4013" spans="17:19" ht="20.25" hidden="1" customHeight="1">
      <c r="Q4013" s="18"/>
      <c r="R4013" s="14"/>
      <c r="S4013" s="14">
        <v>1</v>
      </c>
    </row>
    <row r="4014" spans="17:19" ht="20.25" hidden="1" customHeight="1">
      <c r="Q4014" s="18"/>
      <c r="R4014" s="14"/>
      <c r="S4014" s="14">
        <v>1</v>
      </c>
    </row>
    <row r="4015" spans="17:19" ht="20.25" hidden="1" customHeight="1">
      <c r="Q4015" s="18"/>
      <c r="R4015" s="14"/>
      <c r="S4015" s="14">
        <v>1</v>
      </c>
    </row>
    <row r="4016" spans="17:19" ht="20.25" hidden="1" customHeight="1">
      <c r="Q4016" s="18"/>
      <c r="R4016" s="14"/>
      <c r="S4016" s="14">
        <v>1</v>
      </c>
    </row>
    <row r="4017" spans="17:19" ht="20.25" hidden="1" customHeight="1">
      <c r="Q4017" s="18"/>
      <c r="R4017" s="14"/>
      <c r="S4017" s="14">
        <v>1</v>
      </c>
    </row>
    <row r="4018" spans="17:19" ht="20.25" hidden="1" customHeight="1">
      <c r="Q4018" s="18"/>
      <c r="R4018" s="14"/>
      <c r="S4018" s="14">
        <v>1</v>
      </c>
    </row>
    <row r="4019" spans="17:19" ht="20.25" hidden="1" customHeight="1">
      <c r="Q4019" s="18"/>
      <c r="R4019" s="14"/>
      <c r="S4019" s="14">
        <v>1</v>
      </c>
    </row>
    <row r="4020" spans="17:19" ht="20.25" hidden="1" customHeight="1">
      <c r="Q4020" s="18"/>
      <c r="R4020" s="14"/>
      <c r="S4020" s="14">
        <v>1</v>
      </c>
    </row>
    <row r="4021" spans="17:19" ht="20.25" hidden="1" customHeight="1">
      <c r="Q4021" s="18"/>
      <c r="R4021" s="14"/>
      <c r="S4021" s="14">
        <v>1</v>
      </c>
    </row>
    <row r="4022" spans="17:19" ht="20.25" hidden="1" customHeight="1">
      <c r="Q4022" s="18"/>
      <c r="R4022" s="14"/>
      <c r="S4022" s="14">
        <v>1</v>
      </c>
    </row>
    <row r="4023" spans="17:19" ht="20.25" hidden="1" customHeight="1">
      <c r="Q4023" s="18"/>
      <c r="R4023" s="14"/>
      <c r="S4023" s="14">
        <v>1</v>
      </c>
    </row>
    <row r="4024" spans="17:19" ht="20.25" hidden="1" customHeight="1">
      <c r="Q4024" s="18"/>
      <c r="R4024" s="14"/>
      <c r="S4024" s="14">
        <v>1</v>
      </c>
    </row>
    <row r="4025" spans="17:19" ht="20.25" hidden="1" customHeight="1">
      <c r="Q4025" s="18"/>
      <c r="R4025" s="14"/>
      <c r="S4025" s="14">
        <v>1</v>
      </c>
    </row>
    <row r="4026" spans="17:19" ht="20.25" hidden="1" customHeight="1">
      <c r="Q4026" s="18"/>
      <c r="R4026" s="14"/>
      <c r="S4026" s="14">
        <v>1</v>
      </c>
    </row>
    <row r="4027" spans="17:19" ht="20.25" hidden="1" customHeight="1">
      <c r="Q4027" s="18"/>
      <c r="R4027" s="14"/>
      <c r="S4027" s="14">
        <v>1</v>
      </c>
    </row>
    <row r="4028" spans="17:19" ht="20.25" hidden="1" customHeight="1">
      <c r="Q4028" s="18"/>
      <c r="R4028" s="14"/>
      <c r="S4028" s="14">
        <v>1</v>
      </c>
    </row>
    <row r="4029" spans="17:19" ht="20.25" hidden="1" customHeight="1">
      <c r="Q4029" s="18"/>
      <c r="R4029" s="14"/>
      <c r="S4029" s="14">
        <v>1</v>
      </c>
    </row>
    <row r="4030" spans="17:19" ht="20.25" hidden="1" customHeight="1">
      <c r="Q4030" s="18"/>
      <c r="R4030" s="14"/>
      <c r="S4030" s="14">
        <v>1</v>
      </c>
    </row>
    <row r="4031" spans="17:19" ht="20.25" hidden="1" customHeight="1">
      <c r="Q4031" s="18"/>
      <c r="R4031" s="14"/>
      <c r="S4031" s="14">
        <v>1</v>
      </c>
    </row>
    <row r="4032" spans="17:19" ht="20.25" hidden="1" customHeight="1">
      <c r="Q4032" s="18"/>
      <c r="R4032" s="14"/>
      <c r="S4032" s="14">
        <v>1</v>
      </c>
    </row>
    <row r="4033" spans="17:19" ht="20.25" hidden="1" customHeight="1">
      <c r="Q4033" s="18"/>
      <c r="R4033" s="14"/>
      <c r="S4033" s="14">
        <v>1</v>
      </c>
    </row>
    <row r="4034" spans="17:19" ht="20.25" hidden="1" customHeight="1">
      <c r="Q4034" s="18"/>
      <c r="R4034" s="14"/>
      <c r="S4034" s="14">
        <v>1</v>
      </c>
    </row>
    <row r="4035" spans="17:19" ht="20.25" hidden="1" customHeight="1">
      <c r="Q4035" s="18"/>
      <c r="R4035" s="14"/>
      <c r="S4035" s="14">
        <v>1</v>
      </c>
    </row>
    <row r="4036" spans="17:19" ht="20.25" hidden="1" customHeight="1">
      <c r="Q4036" s="18"/>
      <c r="R4036" s="14"/>
      <c r="S4036" s="14">
        <v>1</v>
      </c>
    </row>
    <row r="4037" spans="17:19" ht="20.25" hidden="1" customHeight="1">
      <c r="Q4037" s="18"/>
      <c r="R4037" s="14"/>
      <c r="S4037" s="14">
        <v>1</v>
      </c>
    </row>
    <row r="4038" spans="17:19" ht="20.25" hidden="1" customHeight="1">
      <c r="Q4038" s="18"/>
      <c r="R4038" s="14"/>
      <c r="S4038" s="14">
        <v>1</v>
      </c>
    </row>
    <row r="4039" spans="17:19" ht="20.25" hidden="1" customHeight="1">
      <c r="Q4039" s="18"/>
      <c r="R4039" s="14"/>
      <c r="S4039" s="14">
        <v>1</v>
      </c>
    </row>
    <row r="4040" spans="17:19" ht="20.25" hidden="1" customHeight="1">
      <c r="Q4040" s="18"/>
      <c r="R4040" s="14"/>
      <c r="S4040" s="14">
        <v>1</v>
      </c>
    </row>
    <row r="4041" spans="17:19" ht="20.25" hidden="1" customHeight="1">
      <c r="Q4041" s="18"/>
      <c r="R4041" s="14"/>
      <c r="S4041" s="14">
        <v>1</v>
      </c>
    </row>
    <row r="4042" spans="17:19" ht="20.25" hidden="1" customHeight="1">
      <c r="Q4042" s="18"/>
      <c r="R4042" s="14"/>
      <c r="S4042" s="14">
        <v>1</v>
      </c>
    </row>
    <row r="4043" spans="17:19" ht="20.25" hidden="1" customHeight="1">
      <c r="Q4043" s="18"/>
      <c r="R4043" s="14"/>
      <c r="S4043" s="14">
        <v>1</v>
      </c>
    </row>
    <row r="4044" spans="17:19" ht="20.25" hidden="1" customHeight="1">
      <c r="Q4044" s="18"/>
      <c r="R4044" s="14"/>
      <c r="S4044" s="14">
        <v>1</v>
      </c>
    </row>
    <row r="4045" spans="17:19" ht="20.25" hidden="1" customHeight="1">
      <c r="Q4045" s="18"/>
      <c r="R4045" s="14"/>
      <c r="S4045" s="14">
        <v>1</v>
      </c>
    </row>
    <row r="4046" spans="17:19" ht="20.25" hidden="1" customHeight="1">
      <c r="Q4046" s="18"/>
      <c r="R4046" s="14"/>
      <c r="S4046" s="14">
        <v>1</v>
      </c>
    </row>
    <row r="4047" spans="17:19" ht="20.25" hidden="1" customHeight="1">
      <c r="Q4047" s="18"/>
      <c r="R4047" s="14"/>
      <c r="S4047" s="14">
        <v>1</v>
      </c>
    </row>
    <row r="4048" spans="17:19" ht="20.25" hidden="1" customHeight="1">
      <c r="Q4048" s="18"/>
      <c r="R4048" s="14"/>
      <c r="S4048" s="14">
        <v>1</v>
      </c>
    </row>
    <row r="4049" spans="17:19" ht="20.25" hidden="1" customHeight="1">
      <c r="Q4049" s="18"/>
      <c r="R4049" s="14"/>
      <c r="S4049" s="14">
        <v>1</v>
      </c>
    </row>
    <row r="4050" spans="17:19" ht="20.25" hidden="1" customHeight="1">
      <c r="Q4050" s="18"/>
      <c r="R4050" s="14"/>
      <c r="S4050" s="14">
        <v>1</v>
      </c>
    </row>
    <row r="4051" spans="17:19" ht="20.25" hidden="1" customHeight="1">
      <c r="Q4051" s="18"/>
      <c r="R4051" s="14"/>
      <c r="S4051" s="14">
        <v>1</v>
      </c>
    </row>
    <row r="4052" spans="17:19" ht="20.25" hidden="1" customHeight="1">
      <c r="Q4052" s="18"/>
      <c r="R4052" s="14"/>
      <c r="S4052" s="14">
        <v>1</v>
      </c>
    </row>
    <row r="4053" spans="17:19" ht="20.25" hidden="1" customHeight="1">
      <c r="Q4053" s="18"/>
      <c r="R4053" s="14"/>
      <c r="S4053" s="14">
        <v>1</v>
      </c>
    </row>
    <row r="4054" spans="17:19" ht="20.25" hidden="1" customHeight="1">
      <c r="Q4054" s="18"/>
      <c r="R4054" s="14"/>
      <c r="S4054" s="14">
        <v>1</v>
      </c>
    </row>
    <row r="4055" spans="17:19" ht="20.25" hidden="1" customHeight="1">
      <c r="Q4055" s="18"/>
      <c r="R4055" s="14"/>
      <c r="S4055" s="14">
        <v>1</v>
      </c>
    </row>
    <row r="4056" spans="17:19" ht="20.25" hidden="1" customHeight="1">
      <c r="Q4056" s="18"/>
      <c r="R4056" s="14"/>
      <c r="S4056" s="14">
        <v>1</v>
      </c>
    </row>
    <row r="4057" spans="17:19" ht="20.25" hidden="1" customHeight="1">
      <c r="Q4057" s="18"/>
      <c r="R4057" s="14"/>
      <c r="S4057" s="14">
        <v>1</v>
      </c>
    </row>
    <row r="4058" spans="17:19" ht="20.25" hidden="1" customHeight="1">
      <c r="Q4058" s="18"/>
      <c r="R4058" s="14"/>
      <c r="S4058" s="14">
        <v>1</v>
      </c>
    </row>
    <row r="4059" spans="17:19" ht="20.25" hidden="1" customHeight="1">
      <c r="Q4059" s="18"/>
      <c r="R4059" s="14"/>
      <c r="S4059" s="14">
        <v>1</v>
      </c>
    </row>
    <row r="4060" spans="17:19" ht="20.25" hidden="1" customHeight="1">
      <c r="Q4060" s="18"/>
      <c r="R4060" s="14"/>
      <c r="S4060" s="14">
        <v>1</v>
      </c>
    </row>
    <row r="4061" spans="17:19" ht="20.25" hidden="1" customHeight="1">
      <c r="Q4061" s="18"/>
      <c r="R4061" s="14"/>
      <c r="S4061" s="14">
        <v>1</v>
      </c>
    </row>
    <row r="4062" spans="17:19" ht="20.25" hidden="1" customHeight="1">
      <c r="Q4062" s="18"/>
      <c r="R4062" s="14"/>
      <c r="S4062" s="14">
        <v>1</v>
      </c>
    </row>
    <row r="4063" spans="17:19" ht="20.25" hidden="1" customHeight="1">
      <c r="Q4063" s="18"/>
      <c r="R4063" s="14"/>
      <c r="S4063" s="14">
        <v>1</v>
      </c>
    </row>
    <row r="4064" spans="17:19" ht="20.25" hidden="1" customHeight="1">
      <c r="Q4064" s="18"/>
      <c r="R4064" s="14"/>
      <c r="S4064" s="14">
        <v>1</v>
      </c>
    </row>
    <row r="4065" spans="17:19" ht="20.25" hidden="1" customHeight="1">
      <c r="Q4065" s="18"/>
      <c r="R4065" s="14"/>
      <c r="S4065" s="14">
        <v>1</v>
      </c>
    </row>
    <row r="4066" spans="17:19" ht="20.25" hidden="1" customHeight="1">
      <c r="Q4066" s="18"/>
      <c r="R4066" s="14"/>
      <c r="S4066" s="14">
        <v>1</v>
      </c>
    </row>
    <row r="4067" spans="17:19" ht="20.25" hidden="1" customHeight="1">
      <c r="Q4067" s="18"/>
      <c r="R4067" s="14"/>
      <c r="S4067" s="14">
        <v>1</v>
      </c>
    </row>
    <row r="4068" spans="17:19" ht="20.25" hidden="1" customHeight="1">
      <c r="Q4068" s="18"/>
      <c r="R4068" s="14"/>
      <c r="S4068" s="14">
        <v>1</v>
      </c>
    </row>
    <row r="4069" spans="17:19" ht="20.25" hidden="1" customHeight="1">
      <c r="Q4069" s="18"/>
      <c r="R4069" s="14"/>
      <c r="S4069" s="14">
        <v>1</v>
      </c>
    </row>
    <row r="4070" spans="17:19" ht="20.25" hidden="1" customHeight="1">
      <c r="Q4070" s="18"/>
      <c r="R4070" s="14"/>
      <c r="S4070" s="14">
        <v>1</v>
      </c>
    </row>
    <row r="4071" spans="17:19" ht="20.25" hidden="1" customHeight="1">
      <c r="Q4071" s="18"/>
      <c r="R4071" s="14"/>
      <c r="S4071" s="14">
        <v>1</v>
      </c>
    </row>
    <row r="4072" spans="17:19" ht="20.25" hidden="1" customHeight="1">
      <c r="Q4072" s="18"/>
      <c r="R4072" s="14"/>
      <c r="S4072" s="14">
        <v>1</v>
      </c>
    </row>
    <row r="4073" spans="17:19" ht="20.25" hidden="1" customHeight="1">
      <c r="Q4073" s="18"/>
      <c r="R4073" s="14"/>
      <c r="S4073" s="14">
        <v>1</v>
      </c>
    </row>
    <row r="4074" spans="17:19" ht="20.25" hidden="1" customHeight="1">
      <c r="Q4074" s="18"/>
      <c r="R4074" s="14"/>
      <c r="S4074" s="14">
        <v>1</v>
      </c>
    </row>
    <row r="4075" spans="17:19" ht="20.25" hidden="1" customHeight="1">
      <c r="Q4075" s="18"/>
      <c r="R4075" s="14"/>
      <c r="S4075" s="14">
        <v>1</v>
      </c>
    </row>
    <row r="4076" spans="17:19" ht="20.25" hidden="1" customHeight="1">
      <c r="Q4076" s="18"/>
      <c r="R4076" s="14"/>
      <c r="S4076" s="14">
        <v>1</v>
      </c>
    </row>
    <row r="4077" spans="17:19" ht="20.25" hidden="1" customHeight="1">
      <c r="Q4077" s="18"/>
      <c r="R4077" s="14"/>
      <c r="S4077" s="14">
        <v>1</v>
      </c>
    </row>
    <row r="4078" spans="17:19" ht="20.25" hidden="1" customHeight="1">
      <c r="Q4078" s="18"/>
      <c r="R4078" s="14"/>
      <c r="S4078" s="14">
        <v>1</v>
      </c>
    </row>
    <row r="4079" spans="17:19" ht="20.25" hidden="1" customHeight="1">
      <c r="Q4079" s="18"/>
      <c r="R4079" s="14"/>
      <c r="S4079" s="14">
        <v>1</v>
      </c>
    </row>
    <row r="4080" spans="17:19" ht="20.25" hidden="1" customHeight="1">
      <c r="Q4080" s="18"/>
      <c r="R4080" s="14"/>
      <c r="S4080" s="14">
        <v>1</v>
      </c>
    </row>
    <row r="4081" spans="17:19" ht="20.25" hidden="1" customHeight="1">
      <c r="Q4081" s="18"/>
      <c r="R4081" s="14"/>
      <c r="S4081" s="14">
        <v>1</v>
      </c>
    </row>
    <row r="4082" spans="17:19" ht="20.25" hidden="1" customHeight="1">
      <c r="Q4082" s="18"/>
      <c r="R4082" s="14"/>
      <c r="S4082" s="14">
        <v>1</v>
      </c>
    </row>
    <row r="4083" spans="17:19" ht="20.25" hidden="1" customHeight="1">
      <c r="Q4083" s="18"/>
      <c r="R4083" s="14"/>
      <c r="S4083" s="14">
        <v>1</v>
      </c>
    </row>
    <row r="4084" spans="17:19" ht="20.25" hidden="1" customHeight="1">
      <c r="Q4084" s="18"/>
      <c r="R4084" s="14"/>
      <c r="S4084" s="14">
        <v>1</v>
      </c>
    </row>
    <row r="4085" spans="17:19" ht="20.25" hidden="1" customHeight="1">
      <c r="Q4085" s="18"/>
      <c r="R4085" s="14"/>
      <c r="S4085" s="14">
        <v>1</v>
      </c>
    </row>
    <row r="4086" spans="17:19" ht="20.25" hidden="1" customHeight="1">
      <c r="Q4086" s="18"/>
      <c r="R4086" s="14"/>
      <c r="S4086" s="14">
        <v>1</v>
      </c>
    </row>
    <row r="4087" spans="17:19" ht="20.25" hidden="1" customHeight="1">
      <c r="Q4087" s="18"/>
      <c r="R4087" s="14"/>
      <c r="S4087" s="14">
        <v>1</v>
      </c>
    </row>
    <row r="4088" spans="17:19" ht="20.25" hidden="1" customHeight="1">
      <c r="Q4088" s="18"/>
      <c r="R4088" s="14"/>
      <c r="S4088" s="14">
        <v>1</v>
      </c>
    </row>
    <row r="4089" spans="17:19" ht="20.25" hidden="1" customHeight="1">
      <c r="Q4089" s="18"/>
      <c r="R4089" s="14"/>
      <c r="S4089" s="14">
        <v>1</v>
      </c>
    </row>
    <row r="4090" spans="17:19" ht="20.25" hidden="1" customHeight="1">
      <c r="Q4090" s="18"/>
      <c r="R4090" s="14"/>
      <c r="S4090" s="14">
        <v>1</v>
      </c>
    </row>
    <row r="4091" spans="17:19" ht="20.25" hidden="1" customHeight="1">
      <c r="Q4091" s="18"/>
      <c r="R4091" s="14"/>
      <c r="S4091" s="14">
        <v>1</v>
      </c>
    </row>
    <row r="4092" spans="17:19" ht="20.25" hidden="1" customHeight="1">
      <c r="Q4092" s="18"/>
      <c r="R4092" s="14"/>
      <c r="S4092" s="14">
        <v>1</v>
      </c>
    </row>
    <row r="4093" spans="17:19" ht="20.25" hidden="1" customHeight="1">
      <c r="Q4093" s="18"/>
      <c r="R4093" s="14"/>
      <c r="S4093" s="14">
        <v>1</v>
      </c>
    </row>
    <row r="4094" spans="17:19" ht="20.25" hidden="1" customHeight="1">
      <c r="Q4094" s="18"/>
      <c r="R4094" s="14"/>
      <c r="S4094" s="14">
        <v>1</v>
      </c>
    </row>
    <row r="4095" spans="17:19" ht="20.25" hidden="1" customHeight="1">
      <c r="Q4095" s="18"/>
      <c r="R4095" s="14"/>
      <c r="S4095" s="14">
        <v>1</v>
      </c>
    </row>
    <row r="4096" spans="17:19" ht="20.25" hidden="1" customHeight="1">
      <c r="Q4096" s="18"/>
      <c r="R4096" s="14"/>
      <c r="S4096" s="14">
        <v>1</v>
      </c>
    </row>
    <row r="4097" spans="17:19" ht="20.25" hidden="1" customHeight="1">
      <c r="Q4097" s="18"/>
      <c r="R4097" s="14"/>
      <c r="S4097" s="14">
        <v>1</v>
      </c>
    </row>
    <row r="4098" spans="17:19" ht="20.25" hidden="1" customHeight="1">
      <c r="Q4098" s="18"/>
      <c r="R4098" s="14"/>
      <c r="S4098" s="14">
        <v>1</v>
      </c>
    </row>
    <row r="4099" spans="17:19" ht="20.25" hidden="1" customHeight="1">
      <c r="Q4099" s="18"/>
      <c r="R4099" s="14"/>
      <c r="S4099" s="14">
        <v>1</v>
      </c>
    </row>
    <row r="4100" spans="17:19" ht="20.25" hidden="1" customHeight="1">
      <c r="Q4100" s="18"/>
      <c r="R4100" s="14"/>
      <c r="S4100" s="14">
        <v>1</v>
      </c>
    </row>
    <row r="4101" spans="17:19" ht="20.25" hidden="1" customHeight="1">
      <c r="Q4101" s="18"/>
      <c r="R4101" s="14"/>
      <c r="S4101" s="14">
        <v>1</v>
      </c>
    </row>
    <row r="4102" spans="17:19" ht="20.25" hidden="1" customHeight="1">
      <c r="Q4102" s="18"/>
      <c r="R4102" s="14"/>
      <c r="S4102" s="14">
        <v>1</v>
      </c>
    </row>
    <row r="4103" spans="17:19" ht="20.25" hidden="1" customHeight="1">
      <c r="Q4103" s="18"/>
      <c r="R4103" s="14"/>
      <c r="S4103" s="14">
        <v>1</v>
      </c>
    </row>
    <row r="4104" spans="17:19" ht="20.25" hidden="1" customHeight="1">
      <c r="Q4104" s="18"/>
      <c r="R4104" s="14"/>
      <c r="S4104" s="14">
        <v>1</v>
      </c>
    </row>
    <row r="4105" spans="17:19" ht="20.25" hidden="1" customHeight="1">
      <c r="Q4105" s="18"/>
      <c r="R4105" s="14"/>
      <c r="S4105" s="14">
        <v>1</v>
      </c>
    </row>
    <row r="4106" spans="17:19" ht="20.25" hidden="1" customHeight="1">
      <c r="Q4106" s="18"/>
      <c r="R4106" s="14"/>
      <c r="S4106" s="14">
        <v>1</v>
      </c>
    </row>
    <row r="4107" spans="17:19" ht="20.25" hidden="1" customHeight="1">
      <c r="Q4107" s="18"/>
      <c r="R4107" s="14"/>
      <c r="S4107" s="14">
        <v>1</v>
      </c>
    </row>
    <row r="4108" spans="17:19" ht="20.25" hidden="1" customHeight="1">
      <c r="Q4108" s="18"/>
      <c r="R4108" s="14"/>
      <c r="S4108" s="14">
        <v>1</v>
      </c>
    </row>
    <row r="4109" spans="17:19" ht="20.25" hidden="1" customHeight="1">
      <c r="Q4109" s="18"/>
      <c r="R4109" s="14"/>
      <c r="S4109" s="14">
        <v>1</v>
      </c>
    </row>
    <row r="4110" spans="17:19" ht="20.25" hidden="1" customHeight="1">
      <c r="Q4110" s="18"/>
      <c r="R4110" s="14"/>
      <c r="S4110" s="14">
        <v>1</v>
      </c>
    </row>
    <row r="4111" spans="17:19" ht="20.25" hidden="1" customHeight="1">
      <c r="Q4111" s="18"/>
      <c r="R4111" s="14"/>
      <c r="S4111" s="14">
        <v>1</v>
      </c>
    </row>
    <row r="4112" spans="17:19" ht="20.25" hidden="1" customHeight="1">
      <c r="Q4112" s="18"/>
      <c r="R4112" s="14"/>
      <c r="S4112" s="14">
        <v>1</v>
      </c>
    </row>
    <row r="4113" spans="17:19" ht="20.25" hidden="1" customHeight="1">
      <c r="Q4113" s="18"/>
      <c r="R4113" s="14"/>
      <c r="S4113" s="14">
        <v>1</v>
      </c>
    </row>
    <row r="4114" spans="17:19" ht="20.25" hidden="1" customHeight="1">
      <c r="Q4114" s="18"/>
      <c r="R4114" s="14"/>
      <c r="S4114" s="14">
        <v>1</v>
      </c>
    </row>
    <row r="4115" spans="17:19" ht="20.25" hidden="1" customHeight="1">
      <c r="Q4115" s="18"/>
      <c r="R4115" s="14"/>
      <c r="S4115" s="14">
        <v>1</v>
      </c>
    </row>
    <row r="4116" spans="17:19" ht="20.25" hidden="1" customHeight="1">
      <c r="Q4116" s="18"/>
      <c r="R4116" s="14"/>
      <c r="S4116" s="14">
        <v>1</v>
      </c>
    </row>
    <row r="4117" spans="17:19" ht="20.25" hidden="1" customHeight="1">
      <c r="Q4117" s="18"/>
      <c r="R4117" s="14"/>
      <c r="S4117" s="14">
        <v>1</v>
      </c>
    </row>
    <row r="4118" spans="17:19" ht="20.25" hidden="1" customHeight="1">
      <c r="Q4118" s="18"/>
      <c r="R4118" s="14"/>
      <c r="S4118" s="14">
        <v>1</v>
      </c>
    </row>
    <row r="4119" spans="17:19" ht="20.25" hidden="1" customHeight="1">
      <c r="Q4119" s="18"/>
      <c r="R4119" s="14"/>
      <c r="S4119" s="14">
        <v>1</v>
      </c>
    </row>
    <row r="4120" spans="17:19" ht="20.25" hidden="1" customHeight="1">
      <c r="Q4120" s="18"/>
      <c r="R4120" s="14"/>
      <c r="S4120" s="14">
        <v>1</v>
      </c>
    </row>
    <row r="4121" spans="17:19" ht="20.25" hidden="1" customHeight="1">
      <c r="Q4121" s="18"/>
      <c r="R4121" s="14"/>
      <c r="S4121" s="14">
        <v>1</v>
      </c>
    </row>
    <row r="4122" spans="17:19" ht="20.25" hidden="1" customHeight="1">
      <c r="Q4122" s="18"/>
      <c r="R4122" s="14"/>
      <c r="S4122" s="14">
        <v>1</v>
      </c>
    </row>
    <row r="4123" spans="17:19" ht="20.25" hidden="1" customHeight="1">
      <c r="Q4123" s="18"/>
      <c r="R4123" s="14"/>
      <c r="S4123" s="14">
        <v>1</v>
      </c>
    </row>
    <row r="4124" spans="17:19" ht="20.25" hidden="1" customHeight="1">
      <c r="Q4124" s="18"/>
      <c r="R4124" s="14"/>
      <c r="S4124" s="14">
        <v>1</v>
      </c>
    </row>
    <row r="4125" spans="17:19" ht="20.25" hidden="1" customHeight="1">
      <c r="Q4125" s="18"/>
      <c r="R4125" s="14"/>
      <c r="S4125" s="14">
        <v>1</v>
      </c>
    </row>
    <row r="4126" spans="17:19" ht="20.25" hidden="1" customHeight="1">
      <c r="Q4126" s="18"/>
      <c r="R4126" s="14"/>
      <c r="S4126" s="14">
        <v>1</v>
      </c>
    </row>
    <row r="4127" spans="17:19" ht="20.25" hidden="1" customHeight="1">
      <c r="Q4127" s="18"/>
      <c r="R4127" s="14"/>
      <c r="S4127" s="14">
        <v>1</v>
      </c>
    </row>
    <row r="4128" spans="17:19" ht="20.25" hidden="1" customHeight="1">
      <c r="Q4128" s="18"/>
      <c r="R4128" s="14"/>
      <c r="S4128" s="14">
        <v>1</v>
      </c>
    </row>
    <row r="4129" spans="17:19" ht="20.25" hidden="1" customHeight="1">
      <c r="Q4129" s="18"/>
      <c r="R4129" s="14"/>
      <c r="S4129" s="14">
        <v>1</v>
      </c>
    </row>
    <row r="4130" spans="17:19" ht="20.25" hidden="1" customHeight="1">
      <c r="Q4130" s="18"/>
      <c r="R4130" s="14"/>
      <c r="S4130" s="14">
        <v>1</v>
      </c>
    </row>
    <row r="4131" spans="17:19" ht="20.25" hidden="1" customHeight="1">
      <c r="Q4131" s="18"/>
      <c r="R4131" s="14"/>
      <c r="S4131" s="14">
        <v>1</v>
      </c>
    </row>
    <row r="4132" spans="17:19" ht="20.25" hidden="1" customHeight="1">
      <c r="Q4132" s="18"/>
      <c r="R4132" s="14"/>
      <c r="S4132" s="14">
        <v>1</v>
      </c>
    </row>
    <row r="4133" spans="17:19" ht="20.25" hidden="1" customHeight="1">
      <c r="Q4133" s="18"/>
      <c r="R4133" s="14"/>
      <c r="S4133" s="14">
        <v>1</v>
      </c>
    </row>
    <row r="4134" spans="17:19" ht="20.25" hidden="1" customHeight="1">
      <c r="Q4134" s="18"/>
      <c r="R4134" s="14"/>
      <c r="S4134" s="14">
        <v>1</v>
      </c>
    </row>
    <row r="4135" spans="17:19" ht="20.25" hidden="1" customHeight="1">
      <c r="Q4135" s="18"/>
      <c r="R4135" s="14"/>
      <c r="S4135" s="14">
        <v>1</v>
      </c>
    </row>
    <row r="4136" spans="17:19" ht="20.25" hidden="1" customHeight="1">
      <c r="Q4136" s="18"/>
      <c r="R4136" s="14"/>
      <c r="S4136" s="14">
        <v>1</v>
      </c>
    </row>
    <row r="4137" spans="17:19" ht="20.25" hidden="1" customHeight="1">
      <c r="Q4137" s="18"/>
      <c r="R4137" s="14"/>
      <c r="S4137" s="14">
        <v>1</v>
      </c>
    </row>
    <row r="4138" spans="17:19" ht="20.25" hidden="1" customHeight="1">
      <c r="Q4138" s="18"/>
      <c r="R4138" s="14"/>
      <c r="S4138" s="14">
        <v>1</v>
      </c>
    </row>
    <row r="4139" spans="17:19" ht="20.25" hidden="1" customHeight="1">
      <c r="Q4139" s="18"/>
      <c r="R4139" s="14"/>
      <c r="S4139" s="14">
        <v>1</v>
      </c>
    </row>
    <row r="4140" spans="17:19" ht="20.25" hidden="1" customHeight="1">
      <c r="Q4140" s="18"/>
      <c r="R4140" s="14"/>
      <c r="S4140" s="14">
        <v>1</v>
      </c>
    </row>
    <row r="4141" spans="17:19" ht="20.25" hidden="1" customHeight="1">
      <c r="Q4141" s="18"/>
      <c r="R4141" s="14"/>
      <c r="S4141" s="14">
        <v>1</v>
      </c>
    </row>
    <row r="4142" spans="17:19" ht="20.25" hidden="1" customHeight="1">
      <c r="Q4142" s="18"/>
      <c r="R4142" s="14"/>
      <c r="S4142" s="14">
        <v>1</v>
      </c>
    </row>
    <row r="4143" spans="17:19" ht="20.25" hidden="1" customHeight="1">
      <c r="Q4143" s="18"/>
      <c r="R4143" s="14"/>
      <c r="S4143" s="14">
        <v>1</v>
      </c>
    </row>
    <row r="4144" spans="17:19" ht="20.25" hidden="1" customHeight="1">
      <c r="Q4144" s="18"/>
      <c r="R4144" s="14"/>
      <c r="S4144" s="14">
        <v>1</v>
      </c>
    </row>
    <row r="4145" spans="17:19" ht="20.25" hidden="1" customHeight="1">
      <c r="Q4145" s="18"/>
      <c r="R4145" s="14"/>
      <c r="S4145" s="14">
        <v>1</v>
      </c>
    </row>
    <row r="4146" spans="17:19" ht="20.25" hidden="1" customHeight="1">
      <c r="Q4146" s="18"/>
      <c r="R4146" s="14"/>
      <c r="S4146" s="14">
        <v>1</v>
      </c>
    </row>
    <row r="4147" spans="17:19" ht="20.25" hidden="1" customHeight="1">
      <c r="Q4147" s="18"/>
      <c r="R4147" s="14"/>
      <c r="S4147" s="14">
        <v>1</v>
      </c>
    </row>
    <row r="4148" spans="17:19" ht="20.25" hidden="1" customHeight="1">
      <c r="Q4148" s="18"/>
      <c r="R4148" s="14"/>
      <c r="S4148" s="14">
        <v>1</v>
      </c>
    </row>
    <row r="4149" spans="17:19" ht="20.25" hidden="1" customHeight="1">
      <c r="Q4149" s="18"/>
      <c r="R4149" s="14"/>
      <c r="S4149" s="14">
        <v>1</v>
      </c>
    </row>
    <row r="4150" spans="17:19" ht="20.25" hidden="1" customHeight="1">
      <c r="Q4150" s="18"/>
      <c r="R4150" s="14"/>
      <c r="S4150" s="14">
        <v>1</v>
      </c>
    </row>
    <row r="4151" spans="17:19" ht="20.25" hidden="1" customHeight="1">
      <c r="Q4151" s="18"/>
      <c r="R4151" s="14"/>
      <c r="S4151" s="14">
        <v>1</v>
      </c>
    </row>
    <row r="4152" spans="17:19" ht="20.25" hidden="1" customHeight="1">
      <c r="Q4152" s="18"/>
      <c r="R4152" s="14"/>
      <c r="S4152" s="14">
        <v>1</v>
      </c>
    </row>
    <row r="4153" spans="17:19" ht="20.25" hidden="1" customHeight="1">
      <c r="Q4153" s="18"/>
      <c r="R4153" s="14"/>
      <c r="S4153" s="14">
        <v>1</v>
      </c>
    </row>
    <row r="4154" spans="17:19" ht="20.25" hidden="1" customHeight="1">
      <c r="Q4154" s="18"/>
      <c r="R4154" s="14"/>
      <c r="S4154" s="14">
        <v>1</v>
      </c>
    </row>
    <row r="4155" spans="17:19" ht="20.25" hidden="1" customHeight="1">
      <c r="Q4155" s="18"/>
      <c r="R4155" s="14"/>
      <c r="S4155" s="14">
        <v>1</v>
      </c>
    </row>
    <row r="4156" spans="17:19" ht="20.25" hidden="1" customHeight="1">
      <c r="Q4156" s="18"/>
      <c r="R4156" s="14"/>
      <c r="S4156" s="14">
        <v>1</v>
      </c>
    </row>
    <row r="4157" spans="17:19" ht="20.25" hidden="1" customHeight="1">
      <c r="Q4157" s="18"/>
      <c r="R4157" s="14"/>
      <c r="S4157" s="14">
        <v>1</v>
      </c>
    </row>
    <row r="4158" spans="17:19" ht="20.25" hidden="1" customHeight="1">
      <c r="Q4158" s="18"/>
      <c r="R4158" s="14"/>
      <c r="S4158" s="14">
        <v>1</v>
      </c>
    </row>
    <row r="4159" spans="17:19" ht="20.25" hidden="1" customHeight="1">
      <c r="Q4159" s="18"/>
      <c r="R4159" s="14"/>
      <c r="S4159" s="14">
        <v>1</v>
      </c>
    </row>
    <row r="4160" spans="17:19" ht="20.25" hidden="1" customHeight="1">
      <c r="Q4160" s="18"/>
      <c r="R4160" s="14"/>
      <c r="S4160" s="14">
        <v>1</v>
      </c>
    </row>
    <row r="4161" spans="17:19" ht="20.25" hidden="1" customHeight="1">
      <c r="Q4161" s="18"/>
      <c r="R4161" s="14"/>
      <c r="S4161" s="14">
        <v>1</v>
      </c>
    </row>
    <row r="4162" spans="17:19" ht="20.25" hidden="1" customHeight="1">
      <c r="Q4162" s="18"/>
      <c r="R4162" s="14"/>
      <c r="S4162" s="14">
        <v>1</v>
      </c>
    </row>
    <row r="4163" spans="17:19" ht="20.25" hidden="1" customHeight="1">
      <c r="Q4163" s="18"/>
      <c r="R4163" s="14"/>
      <c r="S4163" s="14">
        <v>1</v>
      </c>
    </row>
    <row r="4164" spans="17:19" ht="20.25" hidden="1" customHeight="1">
      <c r="Q4164" s="18"/>
      <c r="R4164" s="14"/>
      <c r="S4164" s="14">
        <v>1</v>
      </c>
    </row>
    <row r="4165" spans="17:19" ht="20.25" hidden="1" customHeight="1">
      <c r="Q4165" s="18"/>
      <c r="R4165" s="14"/>
      <c r="S4165" s="14">
        <v>1</v>
      </c>
    </row>
    <row r="4166" spans="17:19" ht="20.25" hidden="1" customHeight="1">
      <c r="Q4166" s="18"/>
      <c r="R4166" s="14"/>
      <c r="S4166" s="14">
        <v>1</v>
      </c>
    </row>
    <row r="4167" spans="17:19" ht="20.25" hidden="1" customHeight="1">
      <c r="Q4167" s="18"/>
      <c r="R4167" s="14"/>
      <c r="S4167" s="14">
        <v>1</v>
      </c>
    </row>
    <row r="4168" spans="17:19" ht="20.25" hidden="1" customHeight="1">
      <c r="Q4168" s="18"/>
      <c r="R4168" s="14"/>
      <c r="S4168" s="14">
        <v>1</v>
      </c>
    </row>
    <row r="4169" spans="17:19" ht="20.25" hidden="1" customHeight="1">
      <c r="Q4169" s="18"/>
      <c r="R4169" s="14"/>
      <c r="S4169" s="14">
        <v>1</v>
      </c>
    </row>
    <row r="4170" spans="17:19" ht="20.25" hidden="1" customHeight="1">
      <c r="Q4170" s="18"/>
      <c r="R4170" s="14"/>
      <c r="S4170" s="14">
        <v>1</v>
      </c>
    </row>
    <row r="4171" spans="17:19" ht="20.25" hidden="1" customHeight="1">
      <c r="Q4171" s="18"/>
      <c r="R4171" s="14"/>
      <c r="S4171" s="14">
        <v>1</v>
      </c>
    </row>
    <row r="4172" spans="17:19" ht="20.25" hidden="1" customHeight="1">
      <c r="Q4172" s="18"/>
      <c r="R4172" s="14"/>
      <c r="S4172" s="14">
        <v>1</v>
      </c>
    </row>
    <row r="4173" spans="17:19" ht="20.25" hidden="1" customHeight="1">
      <c r="Q4173" s="18"/>
      <c r="R4173" s="14"/>
      <c r="S4173" s="14">
        <v>1</v>
      </c>
    </row>
    <row r="4174" spans="17:19" ht="20.25" hidden="1" customHeight="1">
      <c r="Q4174" s="18"/>
      <c r="R4174" s="14"/>
      <c r="S4174" s="14">
        <v>1</v>
      </c>
    </row>
    <row r="4175" spans="17:19" ht="20.25" hidden="1" customHeight="1">
      <c r="Q4175" s="18"/>
      <c r="R4175" s="14"/>
      <c r="S4175" s="14">
        <v>1</v>
      </c>
    </row>
    <row r="4176" spans="17:19" ht="20.25" hidden="1" customHeight="1">
      <c r="Q4176" s="18"/>
      <c r="R4176" s="14"/>
      <c r="S4176" s="14">
        <v>1</v>
      </c>
    </row>
    <row r="4177" spans="17:19" ht="20.25" hidden="1" customHeight="1">
      <c r="Q4177" s="18"/>
      <c r="R4177" s="14"/>
      <c r="S4177" s="14">
        <v>1</v>
      </c>
    </row>
    <row r="4178" spans="17:19" ht="20.25" hidden="1" customHeight="1">
      <c r="Q4178" s="18"/>
      <c r="R4178" s="14"/>
      <c r="S4178" s="14">
        <v>1</v>
      </c>
    </row>
    <row r="4179" spans="17:19" ht="20.25" hidden="1" customHeight="1">
      <c r="Q4179" s="18"/>
      <c r="R4179" s="14"/>
      <c r="S4179" s="14">
        <v>1</v>
      </c>
    </row>
    <row r="4180" spans="17:19" ht="20.25" hidden="1" customHeight="1">
      <c r="Q4180" s="18"/>
      <c r="R4180" s="14"/>
      <c r="S4180" s="14">
        <v>1</v>
      </c>
    </row>
    <row r="4181" spans="17:19" ht="20.25" hidden="1" customHeight="1">
      <c r="Q4181" s="18"/>
      <c r="R4181" s="14"/>
      <c r="S4181" s="14">
        <v>1</v>
      </c>
    </row>
    <row r="4182" spans="17:19" ht="20.25" hidden="1" customHeight="1">
      <c r="Q4182" s="18"/>
      <c r="R4182" s="14"/>
      <c r="S4182" s="14">
        <v>1</v>
      </c>
    </row>
    <row r="4183" spans="17:19" ht="20.25" hidden="1" customHeight="1">
      <c r="Q4183" s="18"/>
      <c r="R4183" s="14"/>
      <c r="S4183" s="14">
        <v>1</v>
      </c>
    </row>
    <row r="4184" spans="17:19" ht="20.25" hidden="1" customHeight="1">
      <c r="Q4184" s="18"/>
      <c r="R4184" s="14"/>
      <c r="S4184" s="14">
        <v>1</v>
      </c>
    </row>
    <row r="4185" spans="17:19" ht="20.25" hidden="1" customHeight="1">
      <c r="Q4185" s="18"/>
      <c r="R4185" s="14"/>
      <c r="S4185" s="14">
        <v>1</v>
      </c>
    </row>
    <row r="4186" spans="17:19" ht="20.25" hidden="1" customHeight="1">
      <c r="Q4186" s="18"/>
      <c r="R4186" s="14"/>
      <c r="S4186" s="14">
        <v>1</v>
      </c>
    </row>
    <row r="4187" spans="17:19" ht="20.25" hidden="1" customHeight="1">
      <c r="Q4187" s="18"/>
      <c r="R4187" s="14"/>
      <c r="S4187" s="14">
        <v>1</v>
      </c>
    </row>
    <row r="4188" spans="17:19" ht="20.25" hidden="1" customHeight="1">
      <c r="Q4188" s="18"/>
      <c r="R4188" s="14"/>
      <c r="S4188" s="14">
        <v>1</v>
      </c>
    </row>
    <row r="4189" spans="17:19" ht="20.25" hidden="1" customHeight="1">
      <c r="Q4189" s="18"/>
      <c r="R4189" s="14"/>
      <c r="S4189" s="14">
        <v>1</v>
      </c>
    </row>
    <row r="4190" spans="17:19" ht="20.25" hidden="1" customHeight="1">
      <c r="Q4190" s="18"/>
      <c r="R4190" s="14"/>
      <c r="S4190" s="14">
        <v>1</v>
      </c>
    </row>
    <row r="4191" spans="17:19" ht="20.25" hidden="1" customHeight="1">
      <c r="Q4191" s="18"/>
      <c r="R4191" s="14"/>
      <c r="S4191" s="14">
        <v>1</v>
      </c>
    </row>
    <row r="4192" spans="17:19" ht="20.25" hidden="1" customHeight="1">
      <c r="Q4192" s="18"/>
      <c r="R4192" s="14"/>
      <c r="S4192" s="14">
        <v>1</v>
      </c>
    </row>
    <row r="4193" spans="17:19" ht="20.25" hidden="1" customHeight="1">
      <c r="Q4193" s="18"/>
      <c r="R4193" s="14"/>
      <c r="S4193" s="14">
        <v>1</v>
      </c>
    </row>
    <row r="4194" spans="17:19" ht="20.25" hidden="1" customHeight="1">
      <c r="Q4194" s="18"/>
      <c r="R4194" s="14"/>
      <c r="S4194" s="14">
        <v>1</v>
      </c>
    </row>
    <row r="4195" spans="17:19" ht="20.25" hidden="1" customHeight="1">
      <c r="Q4195" s="18"/>
      <c r="R4195" s="14"/>
      <c r="S4195" s="14">
        <v>1</v>
      </c>
    </row>
    <row r="4196" spans="17:19" ht="20.25" hidden="1" customHeight="1">
      <c r="Q4196" s="18"/>
      <c r="R4196" s="14"/>
      <c r="S4196" s="14">
        <v>1</v>
      </c>
    </row>
    <row r="4197" spans="17:19" ht="20.25" hidden="1" customHeight="1">
      <c r="Q4197" s="18"/>
      <c r="R4197" s="14"/>
      <c r="S4197" s="14">
        <v>1</v>
      </c>
    </row>
    <row r="4198" spans="17:19" ht="20.25" hidden="1" customHeight="1">
      <c r="Q4198" s="18"/>
      <c r="R4198" s="14"/>
      <c r="S4198" s="14">
        <v>1</v>
      </c>
    </row>
    <row r="4199" spans="17:19" ht="20.25" hidden="1" customHeight="1">
      <c r="Q4199" s="18"/>
      <c r="R4199" s="14"/>
      <c r="S4199" s="14">
        <v>1</v>
      </c>
    </row>
    <row r="4200" spans="17:19" ht="20.25" hidden="1" customHeight="1">
      <c r="Q4200" s="18"/>
      <c r="R4200" s="14"/>
      <c r="S4200" s="14">
        <v>1</v>
      </c>
    </row>
    <row r="4201" spans="17:19" ht="20.25" hidden="1" customHeight="1">
      <c r="Q4201" s="18"/>
      <c r="R4201" s="14"/>
      <c r="S4201" s="14">
        <v>1</v>
      </c>
    </row>
    <row r="4202" spans="17:19" ht="20.25" hidden="1" customHeight="1">
      <c r="Q4202" s="18"/>
      <c r="R4202" s="14"/>
      <c r="S4202" s="14">
        <v>1</v>
      </c>
    </row>
    <row r="4203" spans="17:19" ht="20.25" hidden="1" customHeight="1">
      <c r="Q4203" s="18"/>
      <c r="R4203" s="14"/>
      <c r="S4203" s="14">
        <v>1</v>
      </c>
    </row>
    <row r="4204" spans="17:19" ht="20.25" hidden="1" customHeight="1">
      <c r="Q4204" s="18"/>
      <c r="R4204" s="14"/>
      <c r="S4204" s="14">
        <v>1</v>
      </c>
    </row>
    <row r="4205" spans="17:19" ht="20.25" hidden="1" customHeight="1">
      <c r="Q4205" s="18"/>
      <c r="R4205" s="14"/>
      <c r="S4205" s="14">
        <v>1</v>
      </c>
    </row>
    <row r="4206" spans="17:19" ht="20.25" hidden="1" customHeight="1">
      <c r="Q4206" s="18"/>
      <c r="R4206" s="14"/>
      <c r="S4206" s="14">
        <v>1</v>
      </c>
    </row>
    <row r="4207" spans="17:19" ht="20.25" hidden="1" customHeight="1">
      <c r="Q4207" s="18"/>
      <c r="R4207" s="14"/>
      <c r="S4207" s="14">
        <v>1</v>
      </c>
    </row>
    <row r="4208" spans="17:19" ht="20.25" hidden="1" customHeight="1">
      <c r="Q4208" s="18"/>
      <c r="R4208" s="14"/>
      <c r="S4208" s="14">
        <v>1</v>
      </c>
    </row>
    <row r="4209" spans="17:19" ht="20.25" hidden="1" customHeight="1">
      <c r="Q4209" s="18"/>
      <c r="R4209" s="14"/>
      <c r="S4209" s="14">
        <v>1</v>
      </c>
    </row>
    <row r="4210" spans="17:19" ht="20.25" hidden="1" customHeight="1">
      <c r="Q4210" s="18"/>
      <c r="R4210" s="14"/>
      <c r="S4210" s="14">
        <v>1</v>
      </c>
    </row>
    <row r="4211" spans="17:19" ht="20.25" hidden="1" customHeight="1">
      <c r="Q4211" s="18"/>
      <c r="R4211" s="14"/>
      <c r="S4211" s="14">
        <v>1</v>
      </c>
    </row>
    <row r="4212" spans="17:19" ht="20.25" hidden="1" customHeight="1">
      <c r="Q4212" s="18"/>
      <c r="R4212" s="14"/>
      <c r="S4212" s="14">
        <v>1</v>
      </c>
    </row>
    <row r="4213" spans="17:19" ht="20.25" hidden="1" customHeight="1">
      <c r="Q4213" s="18"/>
      <c r="R4213" s="14"/>
      <c r="S4213" s="14">
        <v>1</v>
      </c>
    </row>
    <row r="4214" spans="17:19" ht="20.25" hidden="1" customHeight="1">
      <c r="Q4214" s="18"/>
      <c r="R4214" s="14"/>
      <c r="S4214" s="14">
        <v>1</v>
      </c>
    </row>
    <row r="4215" spans="17:19" ht="20.25" hidden="1" customHeight="1">
      <c r="Q4215" s="18"/>
      <c r="R4215" s="14"/>
      <c r="S4215" s="14">
        <v>1</v>
      </c>
    </row>
    <row r="4216" spans="17:19" ht="20.25" hidden="1" customHeight="1">
      <c r="Q4216" s="18"/>
      <c r="R4216" s="14"/>
      <c r="S4216" s="14">
        <v>1</v>
      </c>
    </row>
    <row r="4217" spans="17:19" ht="20.25" hidden="1" customHeight="1">
      <c r="Q4217" s="18"/>
      <c r="R4217" s="14"/>
      <c r="S4217" s="14">
        <v>1</v>
      </c>
    </row>
    <row r="4218" spans="17:19" ht="20.25" hidden="1" customHeight="1">
      <c r="Q4218" s="18"/>
      <c r="R4218" s="14"/>
      <c r="S4218" s="14">
        <v>1</v>
      </c>
    </row>
    <row r="4219" spans="17:19" ht="20.25" hidden="1" customHeight="1">
      <c r="Q4219" s="18"/>
      <c r="R4219" s="14"/>
      <c r="S4219" s="14">
        <v>1</v>
      </c>
    </row>
    <row r="4220" spans="17:19" ht="20.25" hidden="1" customHeight="1">
      <c r="Q4220" s="18"/>
      <c r="R4220" s="14"/>
      <c r="S4220" s="14">
        <v>1</v>
      </c>
    </row>
    <row r="4221" spans="17:19" ht="20.25" hidden="1" customHeight="1">
      <c r="Q4221" s="18"/>
      <c r="R4221" s="14"/>
      <c r="S4221" s="14">
        <v>1</v>
      </c>
    </row>
    <row r="4222" spans="17:19" ht="20.25" hidden="1" customHeight="1">
      <c r="Q4222" s="18"/>
      <c r="R4222" s="14"/>
      <c r="S4222" s="14">
        <v>1</v>
      </c>
    </row>
    <row r="4223" spans="17:19" ht="20.25" hidden="1" customHeight="1">
      <c r="Q4223" s="18"/>
      <c r="R4223" s="14"/>
      <c r="S4223" s="14">
        <v>1</v>
      </c>
    </row>
    <row r="4224" spans="17:19" ht="20.25" hidden="1" customHeight="1">
      <c r="Q4224" s="18"/>
      <c r="R4224" s="14"/>
      <c r="S4224" s="14">
        <v>1</v>
      </c>
    </row>
    <row r="4225" spans="17:19" ht="20.25" hidden="1" customHeight="1">
      <c r="Q4225" s="18"/>
      <c r="R4225" s="14"/>
      <c r="S4225" s="14">
        <v>1</v>
      </c>
    </row>
    <row r="4226" spans="17:19" ht="20.25" hidden="1" customHeight="1">
      <c r="Q4226" s="18"/>
      <c r="R4226" s="14"/>
      <c r="S4226" s="14">
        <v>1</v>
      </c>
    </row>
    <row r="4227" spans="17:19" ht="20.25" hidden="1" customHeight="1">
      <c r="Q4227" s="18"/>
      <c r="R4227" s="14"/>
      <c r="S4227" s="14">
        <v>1</v>
      </c>
    </row>
    <row r="4228" spans="17:19" ht="20.25" hidden="1" customHeight="1">
      <c r="Q4228" s="18"/>
      <c r="R4228" s="14"/>
      <c r="S4228" s="14">
        <v>1</v>
      </c>
    </row>
    <row r="4229" spans="17:19" ht="20.25" hidden="1" customHeight="1">
      <c r="Q4229" s="18"/>
      <c r="R4229" s="14"/>
      <c r="S4229" s="14">
        <v>1</v>
      </c>
    </row>
    <row r="4230" spans="17:19" ht="20.25" hidden="1" customHeight="1">
      <c r="Q4230" s="18"/>
      <c r="R4230" s="14"/>
      <c r="S4230" s="14">
        <v>1</v>
      </c>
    </row>
    <row r="4231" spans="17:19" ht="20.25" hidden="1" customHeight="1">
      <c r="Q4231" s="18"/>
      <c r="R4231" s="14"/>
      <c r="S4231" s="14">
        <v>1</v>
      </c>
    </row>
    <row r="4232" spans="17:19" ht="20.25" hidden="1" customHeight="1">
      <c r="Q4232" s="18"/>
      <c r="R4232" s="14"/>
      <c r="S4232" s="14">
        <v>1</v>
      </c>
    </row>
    <row r="4233" spans="17:19" ht="20.25" hidden="1" customHeight="1">
      <c r="Q4233" s="18"/>
      <c r="R4233" s="14"/>
      <c r="S4233" s="14">
        <v>1</v>
      </c>
    </row>
    <row r="4234" spans="17:19" ht="20.25" hidden="1" customHeight="1">
      <c r="Q4234" s="18"/>
      <c r="R4234" s="14"/>
      <c r="S4234" s="14">
        <v>1</v>
      </c>
    </row>
    <row r="4235" spans="17:19" ht="20.25" hidden="1" customHeight="1">
      <c r="Q4235" s="18"/>
      <c r="R4235" s="14"/>
      <c r="S4235" s="14">
        <v>1</v>
      </c>
    </row>
    <row r="4236" spans="17:19" ht="20.25" hidden="1" customHeight="1">
      <c r="Q4236" s="18"/>
      <c r="R4236" s="14"/>
      <c r="S4236" s="14">
        <v>1</v>
      </c>
    </row>
    <row r="4237" spans="17:19" ht="20.25" hidden="1" customHeight="1">
      <c r="Q4237" s="18"/>
      <c r="R4237" s="14"/>
      <c r="S4237" s="14">
        <v>1</v>
      </c>
    </row>
    <row r="4238" spans="17:19" ht="20.25" hidden="1" customHeight="1">
      <c r="Q4238" s="18"/>
      <c r="R4238" s="14"/>
      <c r="S4238" s="14">
        <v>1</v>
      </c>
    </row>
    <row r="4239" spans="17:19" ht="20.25" hidden="1" customHeight="1">
      <c r="Q4239" s="18"/>
      <c r="R4239" s="14"/>
      <c r="S4239" s="14">
        <v>1</v>
      </c>
    </row>
    <row r="4240" spans="17:19" ht="20.25" hidden="1" customHeight="1">
      <c r="Q4240" s="18"/>
      <c r="R4240" s="14"/>
      <c r="S4240" s="14">
        <v>1</v>
      </c>
    </row>
    <row r="4241" spans="17:19" ht="20.25" hidden="1" customHeight="1">
      <c r="Q4241" s="18"/>
      <c r="R4241" s="14"/>
      <c r="S4241" s="14">
        <v>1</v>
      </c>
    </row>
    <row r="4242" spans="17:19" ht="20.25" hidden="1" customHeight="1">
      <c r="Q4242" s="18"/>
      <c r="R4242" s="14"/>
      <c r="S4242" s="14">
        <v>1</v>
      </c>
    </row>
    <row r="4243" spans="17:19" ht="20.25" hidden="1" customHeight="1">
      <c r="Q4243" s="18"/>
      <c r="R4243" s="14"/>
      <c r="S4243" s="14">
        <v>1</v>
      </c>
    </row>
    <row r="4244" spans="17:19" ht="20.25" hidden="1" customHeight="1">
      <c r="Q4244" s="18"/>
      <c r="R4244" s="14"/>
      <c r="S4244" s="14">
        <v>1</v>
      </c>
    </row>
    <row r="4245" spans="17:19" ht="20.25" hidden="1" customHeight="1">
      <c r="Q4245" s="18"/>
      <c r="R4245" s="14"/>
      <c r="S4245" s="14">
        <v>1</v>
      </c>
    </row>
    <row r="4246" spans="17:19" ht="20.25" hidden="1" customHeight="1">
      <c r="Q4246" s="18"/>
      <c r="R4246" s="14"/>
      <c r="S4246" s="14">
        <v>1</v>
      </c>
    </row>
    <row r="4247" spans="17:19" ht="20.25" hidden="1" customHeight="1">
      <c r="Q4247" s="18"/>
      <c r="R4247" s="14"/>
      <c r="S4247" s="14">
        <v>1</v>
      </c>
    </row>
    <row r="4248" spans="17:19" ht="20.25" hidden="1" customHeight="1">
      <c r="Q4248" s="18"/>
      <c r="R4248" s="14"/>
      <c r="S4248" s="14">
        <v>1</v>
      </c>
    </row>
    <row r="4249" spans="17:19" ht="20.25" hidden="1" customHeight="1">
      <c r="Q4249" s="18"/>
      <c r="R4249" s="14"/>
      <c r="S4249" s="14">
        <v>1</v>
      </c>
    </row>
    <row r="4250" spans="17:19" ht="20.25" hidden="1" customHeight="1">
      <c r="Q4250" s="18"/>
      <c r="R4250" s="14"/>
      <c r="S4250" s="14">
        <v>1</v>
      </c>
    </row>
    <row r="4251" spans="17:19" ht="20.25" hidden="1" customHeight="1">
      <c r="Q4251" s="18"/>
      <c r="R4251" s="14"/>
      <c r="S4251" s="14">
        <v>1</v>
      </c>
    </row>
    <row r="4252" spans="17:19" ht="20.25" hidden="1" customHeight="1">
      <c r="Q4252" s="18"/>
      <c r="R4252" s="14"/>
      <c r="S4252" s="14">
        <v>1</v>
      </c>
    </row>
    <row r="4253" spans="17:19" ht="20.25" hidden="1" customHeight="1">
      <c r="Q4253" s="18"/>
      <c r="R4253" s="14"/>
      <c r="S4253" s="14">
        <v>1</v>
      </c>
    </row>
    <row r="4254" spans="17:19" ht="20.25" hidden="1" customHeight="1">
      <c r="Q4254" s="18"/>
      <c r="R4254" s="14"/>
      <c r="S4254" s="14">
        <v>1</v>
      </c>
    </row>
    <row r="4255" spans="17:19" ht="20.25" hidden="1" customHeight="1">
      <c r="Q4255" s="18"/>
      <c r="R4255" s="14"/>
      <c r="S4255" s="14">
        <v>1</v>
      </c>
    </row>
    <row r="4256" spans="17:19" ht="20.25" hidden="1" customHeight="1">
      <c r="Q4256" s="18"/>
      <c r="R4256" s="14"/>
      <c r="S4256" s="14">
        <v>1</v>
      </c>
    </row>
    <row r="4257" spans="17:19" ht="20.25" hidden="1" customHeight="1">
      <c r="Q4257" s="18"/>
      <c r="R4257" s="14"/>
      <c r="S4257" s="14">
        <v>1</v>
      </c>
    </row>
    <row r="4258" spans="17:19" ht="20.25" hidden="1" customHeight="1">
      <c r="Q4258" s="18"/>
      <c r="R4258" s="14"/>
      <c r="S4258" s="14">
        <v>1</v>
      </c>
    </row>
    <row r="4259" spans="17:19" ht="20.25" hidden="1" customHeight="1">
      <c r="Q4259" s="18"/>
      <c r="R4259" s="14"/>
      <c r="S4259" s="14">
        <v>1</v>
      </c>
    </row>
    <row r="4260" spans="17:19" ht="20.25" hidden="1" customHeight="1">
      <c r="Q4260" s="18"/>
      <c r="R4260" s="14"/>
      <c r="S4260" s="14">
        <v>1</v>
      </c>
    </row>
    <row r="4261" spans="17:19" ht="20.25" hidden="1" customHeight="1">
      <c r="Q4261" s="18"/>
      <c r="R4261" s="14"/>
      <c r="S4261" s="14">
        <v>1</v>
      </c>
    </row>
    <row r="4262" spans="17:19" ht="20.25" hidden="1" customHeight="1">
      <c r="Q4262" s="18"/>
      <c r="R4262" s="14"/>
      <c r="S4262" s="14">
        <v>1</v>
      </c>
    </row>
    <row r="4263" spans="17:19" ht="20.25" hidden="1" customHeight="1">
      <c r="Q4263" s="18"/>
      <c r="R4263" s="14"/>
      <c r="S4263" s="14">
        <v>1</v>
      </c>
    </row>
    <row r="4264" spans="17:19" ht="20.25" hidden="1" customHeight="1">
      <c r="Q4264" s="18"/>
      <c r="R4264" s="14"/>
      <c r="S4264" s="14">
        <v>1</v>
      </c>
    </row>
    <row r="4265" spans="17:19" ht="20.25" hidden="1" customHeight="1">
      <c r="Q4265" s="18"/>
      <c r="R4265" s="14"/>
      <c r="S4265" s="14">
        <v>1</v>
      </c>
    </row>
    <row r="4266" spans="17:19" ht="20.25" hidden="1" customHeight="1">
      <c r="Q4266" s="18"/>
      <c r="R4266" s="14"/>
      <c r="S4266" s="14">
        <v>1</v>
      </c>
    </row>
    <row r="4267" spans="17:19" ht="20.25" hidden="1" customHeight="1">
      <c r="Q4267" s="18"/>
      <c r="R4267" s="14"/>
      <c r="S4267" s="14">
        <v>1</v>
      </c>
    </row>
    <row r="4268" spans="17:19" ht="20.25" hidden="1" customHeight="1">
      <c r="Q4268" s="18"/>
      <c r="R4268" s="14"/>
      <c r="S4268" s="14">
        <v>1</v>
      </c>
    </row>
    <row r="4269" spans="17:19" ht="20.25" hidden="1" customHeight="1">
      <c r="Q4269" s="18"/>
      <c r="R4269" s="14"/>
      <c r="S4269" s="14">
        <v>1</v>
      </c>
    </row>
    <row r="4270" spans="17:19" ht="20.25" hidden="1" customHeight="1">
      <c r="Q4270" s="18"/>
      <c r="R4270" s="14"/>
      <c r="S4270" s="14">
        <v>1</v>
      </c>
    </row>
    <row r="4271" spans="17:19" ht="20.25" hidden="1" customHeight="1">
      <c r="Q4271" s="18"/>
      <c r="R4271" s="14"/>
      <c r="S4271" s="14">
        <v>1</v>
      </c>
    </row>
    <row r="4272" spans="17:19" ht="20.25" hidden="1" customHeight="1">
      <c r="Q4272" s="18"/>
      <c r="R4272" s="14"/>
      <c r="S4272" s="14">
        <v>1</v>
      </c>
    </row>
    <row r="4273" spans="17:19" ht="20.25" hidden="1" customHeight="1">
      <c r="Q4273" s="18"/>
      <c r="R4273" s="14"/>
      <c r="S4273" s="14">
        <v>1</v>
      </c>
    </row>
    <row r="4274" spans="17:19" ht="20.25" hidden="1" customHeight="1">
      <c r="Q4274" s="18"/>
      <c r="R4274" s="14"/>
      <c r="S4274" s="14">
        <v>1</v>
      </c>
    </row>
    <row r="4275" spans="17:19" ht="20.25" hidden="1" customHeight="1">
      <c r="Q4275" s="18"/>
      <c r="R4275" s="14"/>
      <c r="S4275" s="14">
        <v>1</v>
      </c>
    </row>
    <row r="4276" spans="17:19" ht="20.25" hidden="1" customHeight="1">
      <c r="Q4276" s="18"/>
      <c r="R4276" s="14"/>
      <c r="S4276" s="14">
        <v>1</v>
      </c>
    </row>
    <row r="4277" spans="17:19" ht="20.25" hidden="1" customHeight="1">
      <c r="Q4277" s="18"/>
      <c r="R4277" s="14"/>
      <c r="S4277" s="14">
        <v>1</v>
      </c>
    </row>
    <row r="4278" spans="17:19" ht="20.25" hidden="1" customHeight="1">
      <c r="Q4278" s="18"/>
      <c r="R4278" s="14"/>
      <c r="S4278" s="14">
        <v>1</v>
      </c>
    </row>
    <row r="4279" spans="17:19" ht="20.25" hidden="1" customHeight="1">
      <c r="Q4279" s="18"/>
      <c r="R4279" s="14"/>
      <c r="S4279" s="14">
        <v>1</v>
      </c>
    </row>
    <row r="4280" spans="17:19" ht="20.25" hidden="1" customHeight="1">
      <c r="Q4280" s="18"/>
      <c r="R4280" s="14"/>
      <c r="S4280" s="14">
        <v>1</v>
      </c>
    </row>
    <row r="4281" spans="17:19" ht="20.25" hidden="1" customHeight="1">
      <c r="Q4281" s="18"/>
      <c r="R4281" s="14"/>
      <c r="S4281" s="14">
        <v>1</v>
      </c>
    </row>
    <row r="4282" spans="17:19" ht="20.25" hidden="1" customHeight="1">
      <c r="Q4282" s="18"/>
      <c r="R4282" s="14"/>
      <c r="S4282" s="14">
        <v>1</v>
      </c>
    </row>
    <row r="4283" spans="17:19" ht="20.25" hidden="1" customHeight="1">
      <c r="Q4283" s="18"/>
      <c r="R4283" s="14"/>
      <c r="S4283" s="14">
        <v>1</v>
      </c>
    </row>
    <row r="4284" spans="17:19" ht="20.25" hidden="1" customHeight="1">
      <c r="Q4284" s="18"/>
      <c r="R4284" s="14"/>
      <c r="S4284" s="14">
        <v>1</v>
      </c>
    </row>
    <row r="4285" spans="17:19" ht="20.25" hidden="1" customHeight="1">
      <c r="Q4285" s="18"/>
      <c r="R4285" s="14"/>
      <c r="S4285" s="14">
        <v>1</v>
      </c>
    </row>
    <row r="4286" spans="17:19" ht="20.25" hidden="1" customHeight="1">
      <c r="Q4286" s="18"/>
      <c r="R4286" s="14"/>
      <c r="S4286" s="14">
        <v>1</v>
      </c>
    </row>
    <row r="4287" spans="17:19" ht="20.25" hidden="1" customHeight="1">
      <c r="Q4287" s="18"/>
      <c r="R4287" s="14"/>
      <c r="S4287" s="14">
        <v>1</v>
      </c>
    </row>
    <row r="4288" spans="17:19" ht="20.25" hidden="1" customHeight="1">
      <c r="Q4288" s="18"/>
      <c r="R4288" s="14"/>
      <c r="S4288" s="14">
        <v>1</v>
      </c>
    </row>
    <row r="4289" spans="17:19" ht="20.25" hidden="1" customHeight="1">
      <c r="Q4289" s="18"/>
      <c r="R4289" s="14"/>
      <c r="S4289" s="14">
        <v>1</v>
      </c>
    </row>
    <row r="4290" spans="17:19" ht="20.25" hidden="1" customHeight="1">
      <c r="Q4290" s="18"/>
      <c r="R4290" s="14"/>
      <c r="S4290" s="14">
        <v>1</v>
      </c>
    </row>
    <row r="4291" spans="17:19" ht="20.25" hidden="1" customHeight="1">
      <c r="Q4291" s="18"/>
      <c r="R4291" s="14"/>
      <c r="S4291" s="14">
        <v>1</v>
      </c>
    </row>
    <row r="4292" spans="17:19" ht="20.25" hidden="1" customHeight="1">
      <c r="Q4292" s="18"/>
      <c r="R4292" s="14"/>
      <c r="S4292" s="14">
        <v>1</v>
      </c>
    </row>
    <row r="4293" spans="17:19" ht="20.25" hidden="1" customHeight="1">
      <c r="Q4293" s="18"/>
      <c r="R4293" s="14"/>
      <c r="S4293" s="14">
        <v>1</v>
      </c>
    </row>
    <row r="4294" spans="17:19" ht="20.25" hidden="1" customHeight="1">
      <c r="Q4294" s="18"/>
      <c r="R4294" s="14"/>
      <c r="S4294" s="14">
        <v>1</v>
      </c>
    </row>
    <row r="4295" spans="17:19" ht="20.25" hidden="1" customHeight="1">
      <c r="Q4295" s="18"/>
      <c r="R4295" s="14"/>
      <c r="S4295" s="14">
        <v>1</v>
      </c>
    </row>
    <row r="4296" spans="17:19" ht="20.25" hidden="1" customHeight="1">
      <c r="Q4296" s="18"/>
      <c r="R4296" s="14"/>
      <c r="S4296" s="14">
        <v>1</v>
      </c>
    </row>
    <row r="4297" spans="17:19" ht="20.25" hidden="1" customHeight="1">
      <c r="Q4297" s="18"/>
      <c r="R4297" s="14"/>
      <c r="S4297" s="14">
        <v>1</v>
      </c>
    </row>
    <row r="4298" spans="17:19" ht="20.25" hidden="1" customHeight="1">
      <c r="Q4298" s="18"/>
      <c r="R4298" s="14"/>
      <c r="S4298" s="14">
        <v>1</v>
      </c>
    </row>
    <row r="4299" spans="17:19" ht="20.25" hidden="1" customHeight="1">
      <c r="Q4299" s="18"/>
      <c r="R4299" s="14"/>
      <c r="S4299" s="14">
        <v>1</v>
      </c>
    </row>
    <row r="4300" spans="17:19" ht="20.25" hidden="1" customHeight="1">
      <c r="Q4300" s="18"/>
      <c r="R4300" s="14"/>
      <c r="S4300" s="14">
        <v>1</v>
      </c>
    </row>
    <row r="4301" spans="17:19" ht="20.25" hidden="1" customHeight="1">
      <c r="Q4301" s="18"/>
      <c r="R4301" s="14"/>
      <c r="S4301" s="14">
        <v>1</v>
      </c>
    </row>
    <row r="4302" spans="17:19" ht="20.25" hidden="1" customHeight="1">
      <c r="Q4302" s="18"/>
      <c r="R4302" s="14"/>
      <c r="S4302" s="14">
        <v>1</v>
      </c>
    </row>
    <row r="4303" spans="17:19" ht="20.25" hidden="1" customHeight="1">
      <c r="Q4303" s="18"/>
      <c r="R4303" s="14"/>
      <c r="S4303" s="14">
        <v>1</v>
      </c>
    </row>
    <row r="4304" spans="17:19" ht="20.25" hidden="1" customHeight="1">
      <c r="Q4304" s="18"/>
      <c r="R4304" s="14"/>
      <c r="S4304" s="14">
        <v>1</v>
      </c>
    </row>
    <row r="4305" spans="17:19" ht="20.25" hidden="1" customHeight="1">
      <c r="Q4305" s="18"/>
      <c r="R4305" s="14"/>
      <c r="S4305" s="14">
        <v>1</v>
      </c>
    </row>
    <row r="4306" spans="17:19" ht="20.25" hidden="1" customHeight="1">
      <c r="Q4306" s="18"/>
      <c r="R4306" s="14"/>
      <c r="S4306" s="14">
        <v>1</v>
      </c>
    </row>
    <row r="4307" spans="17:19" ht="20.25" hidden="1" customHeight="1">
      <c r="Q4307" s="18"/>
      <c r="R4307" s="14"/>
      <c r="S4307" s="14">
        <v>1</v>
      </c>
    </row>
    <row r="4308" spans="17:19" ht="20.25" hidden="1" customHeight="1">
      <c r="Q4308" s="18"/>
      <c r="R4308" s="14"/>
      <c r="S4308" s="14">
        <v>1</v>
      </c>
    </row>
    <row r="4309" spans="17:19" ht="20.25" hidden="1" customHeight="1">
      <c r="Q4309" s="18"/>
      <c r="R4309" s="14"/>
      <c r="S4309" s="14">
        <v>1</v>
      </c>
    </row>
    <row r="4310" spans="17:19" ht="20.25" hidden="1" customHeight="1">
      <c r="Q4310" s="18"/>
      <c r="R4310" s="14"/>
      <c r="S4310" s="14">
        <v>1</v>
      </c>
    </row>
    <row r="4311" spans="17:19" ht="20.25" hidden="1" customHeight="1">
      <c r="Q4311" s="18"/>
      <c r="R4311" s="14"/>
      <c r="S4311" s="14">
        <v>1</v>
      </c>
    </row>
    <row r="4312" spans="17:19" ht="20.25" hidden="1" customHeight="1">
      <c r="Q4312" s="18"/>
      <c r="R4312" s="14"/>
      <c r="S4312" s="14">
        <v>1</v>
      </c>
    </row>
    <row r="4313" spans="17:19" ht="20.25" hidden="1" customHeight="1">
      <c r="Q4313" s="18"/>
      <c r="R4313" s="14"/>
      <c r="S4313" s="14">
        <v>1</v>
      </c>
    </row>
    <row r="4314" spans="17:19" ht="20.25" hidden="1" customHeight="1">
      <c r="Q4314" s="18"/>
      <c r="R4314" s="14"/>
      <c r="S4314" s="14">
        <v>1</v>
      </c>
    </row>
    <row r="4315" spans="17:19" ht="20.25" hidden="1" customHeight="1">
      <c r="Q4315" s="18"/>
      <c r="R4315" s="14"/>
      <c r="S4315" s="14">
        <v>1</v>
      </c>
    </row>
    <row r="4316" spans="17:19" ht="20.25" hidden="1" customHeight="1">
      <c r="Q4316" s="18"/>
      <c r="R4316" s="14"/>
      <c r="S4316" s="14">
        <v>1</v>
      </c>
    </row>
    <row r="4317" spans="17:19" ht="20.25" hidden="1" customHeight="1">
      <c r="Q4317" s="18"/>
      <c r="R4317" s="14"/>
      <c r="S4317" s="14">
        <v>1</v>
      </c>
    </row>
    <row r="4318" spans="17:19" ht="20.25" hidden="1" customHeight="1">
      <c r="Q4318" s="18"/>
      <c r="R4318" s="14"/>
      <c r="S4318" s="14">
        <v>1</v>
      </c>
    </row>
    <row r="4319" spans="17:19" ht="20.25" hidden="1" customHeight="1">
      <c r="Q4319" s="18"/>
      <c r="R4319" s="14"/>
      <c r="S4319" s="14">
        <v>1</v>
      </c>
    </row>
    <row r="4320" spans="17:19" ht="20.25" hidden="1" customHeight="1">
      <c r="Q4320" s="18"/>
      <c r="R4320" s="14"/>
      <c r="S4320" s="14">
        <v>1</v>
      </c>
    </row>
    <row r="4321" spans="17:19" ht="20.25" hidden="1" customHeight="1">
      <c r="Q4321" s="18"/>
      <c r="R4321" s="14"/>
      <c r="S4321" s="14">
        <v>1</v>
      </c>
    </row>
    <row r="4322" spans="17:19" ht="20.25" hidden="1" customHeight="1">
      <c r="Q4322" s="18"/>
      <c r="R4322" s="14"/>
      <c r="S4322" s="14">
        <v>1</v>
      </c>
    </row>
    <row r="4323" spans="17:19" ht="20.25" hidden="1" customHeight="1">
      <c r="Q4323" s="18"/>
      <c r="R4323" s="14"/>
      <c r="S4323" s="14">
        <v>1</v>
      </c>
    </row>
    <row r="4324" spans="17:19" ht="20.25" hidden="1" customHeight="1">
      <c r="Q4324" s="18"/>
      <c r="R4324" s="14"/>
      <c r="S4324" s="14">
        <v>1</v>
      </c>
    </row>
    <row r="4325" spans="17:19" ht="20.25" hidden="1" customHeight="1">
      <c r="Q4325" s="18"/>
      <c r="R4325" s="14"/>
      <c r="S4325" s="14">
        <v>1</v>
      </c>
    </row>
    <row r="4326" spans="17:19" ht="20.25" hidden="1" customHeight="1">
      <c r="Q4326" s="18"/>
      <c r="R4326" s="14"/>
      <c r="S4326" s="14">
        <v>1</v>
      </c>
    </row>
    <row r="4327" spans="17:19" ht="20.25" hidden="1" customHeight="1">
      <c r="Q4327" s="18"/>
      <c r="R4327" s="14"/>
      <c r="S4327" s="14">
        <v>1</v>
      </c>
    </row>
    <row r="4328" spans="17:19" ht="20.25" hidden="1" customHeight="1">
      <c r="Q4328" s="18"/>
      <c r="R4328" s="14"/>
      <c r="S4328" s="14">
        <v>1</v>
      </c>
    </row>
    <row r="4329" spans="17:19" ht="20.25" hidden="1" customHeight="1">
      <c r="Q4329" s="18"/>
      <c r="R4329" s="14"/>
      <c r="S4329" s="14">
        <v>1</v>
      </c>
    </row>
    <row r="4330" spans="17:19" ht="20.25" hidden="1" customHeight="1">
      <c r="Q4330" s="18"/>
      <c r="R4330" s="14"/>
      <c r="S4330" s="14">
        <v>1</v>
      </c>
    </row>
    <row r="4331" spans="17:19" ht="20.25" hidden="1" customHeight="1">
      <c r="Q4331" s="18"/>
      <c r="R4331" s="14"/>
      <c r="S4331" s="14">
        <v>1</v>
      </c>
    </row>
    <row r="4332" spans="17:19" ht="20.25" hidden="1" customHeight="1">
      <c r="Q4332" s="18"/>
      <c r="R4332" s="14"/>
      <c r="S4332" s="14">
        <v>1</v>
      </c>
    </row>
    <row r="4333" spans="17:19" ht="20.25" hidden="1" customHeight="1">
      <c r="Q4333" s="18"/>
      <c r="R4333" s="14"/>
      <c r="S4333" s="14">
        <v>1</v>
      </c>
    </row>
    <row r="4334" spans="17:19" ht="20.25" hidden="1" customHeight="1">
      <c r="Q4334" s="18"/>
      <c r="R4334" s="14"/>
      <c r="S4334" s="14">
        <v>1</v>
      </c>
    </row>
    <row r="4335" spans="17:19" ht="20.25" hidden="1" customHeight="1">
      <c r="Q4335" s="18"/>
      <c r="R4335" s="14"/>
      <c r="S4335" s="14">
        <v>1</v>
      </c>
    </row>
    <row r="4336" spans="17:19" ht="20.25" hidden="1" customHeight="1">
      <c r="Q4336" s="18"/>
      <c r="R4336" s="14"/>
      <c r="S4336" s="14">
        <v>1</v>
      </c>
    </row>
    <row r="4337" spans="17:19" ht="20.25" hidden="1" customHeight="1">
      <c r="Q4337" s="18"/>
      <c r="R4337" s="14"/>
      <c r="S4337" s="14">
        <v>1</v>
      </c>
    </row>
    <row r="4338" spans="17:19" ht="20.25" hidden="1" customHeight="1">
      <c r="Q4338" s="18"/>
      <c r="R4338" s="14"/>
      <c r="S4338" s="14">
        <v>1</v>
      </c>
    </row>
    <row r="4339" spans="17:19" ht="20.25" hidden="1" customHeight="1">
      <c r="Q4339" s="18"/>
      <c r="R4339" s="14"/>
      <c r="S4339" s="14">
        <v>1</v>
      </c>
    </row>
    <row r="4340" spans="17:19" ht="20.25" hidden="1" customHeight="1">
      <c r="Q4340" s="18"/>
      <c r="R4340" s="14"/>
      <c r="S4340" s="14">
        <v>1</v>
      </c>
    </row>
    <row r="4341" spans="17:19" ht="20.25" hidden="1" customHeight="1">
      <c r="Q4341" s="18"/>
      <c r="R4341" s="14"/>
      <c r="S4341" s="14">
        <v>1</v>
      </c>
    </row>
    <row r="4342" spans="17:19" ht="20.25" hidden="1" customHeight="1">
      <c r="Q4342" s="18"/>
      <c r="R4342" s="14"/>
      <c r="S4342" s="14">
        <v>1</v>
      </c>
    </row>
    <row r="4343" spans="17:19" ht="20.25" hidden="1" customHeight="1">
      <c r="Q4343" s="18"/>
      <c r="R4343" s="14"/>
      <c r="S4343" s="14">
        <v>1</v>
      </c>
    </row>
    <row r="4344" spans="17:19" ht="20.25" hidden="1" customHeight="1">
      <c r="Q4344" s="18"/>
      <c r="R4344" s="14"/>
      <c r="S4344" s="14">
        <v>1</v>
      </c>
    </row>
    <row r="4345" spans="17:19" ht="20.25" hidden="1" customHeight="1">
      <c r="Q4345" s="18"/>
      <c r="R4345" s="14"/>
      <c r="S4345" s="14">
        <v>1</v>
      </c>
    </row>
    <row r="4346" spans="17:19" ht="20.25" hidden="1" customHeight="1">
      <c r="Q4346" s="18"/>
      <c r="R4346" s="14"/>
      <c r="S4346" s="14">
        <v>1</v>
      </c>
    </row>
    <row r="4347" spans="17:19" ht="20.25" hidden="1" customHeight="1">
      <c r="Q4347" s="18"/>
      <c r="R4347" s="14"/>
      <c r="S4347" s="14">
        <v>1</v>
      </c>
    </row>
    <row r="4348" spans="17:19" ht="20.25" hidden="1" customHeight="1">
      <c r="Q4348" s="18"/>
      <c r="R4348" s="14"/>
      <c r="S4348" s="14">
        <v>1</v>
      </c>
    </row>
    <row r="4349" spans="17:19" ht="20.25" hidden="1" customHeight="1">
      <c r="Q4349" s="18"/>
      <c r="R4349" s="14"/>
      <c r="S4349" s="14">
        <v>1</v>
      </c>
    </row>
    <row r="4350" spans="17:19" ht="20.25" hidden="1" customHeight="1">
      <c r="Q4350" s="18"/>
      <c r="R4350" s="14"/>
      <c r="S4350" s="14">
        <v>1</v>
      </c>
    </row>
    <row r="4351" spans="17:19" ht="20.25" hidden="1" customHeight="1">
      <c r="Q4351" s="18"/>
      <c r="R4351" s="14"/>
      <c r="S4351" s="14">
        <v>1</v>
      </c>
    </row>
    <row r="4352" spans="17:19" ht="20.25" hidden="1" customHeight="1">
      <c r="Q4352" s="18"/>
      <c r="R4352" s="14"/>
      <c r="S4352" s="14">
        <v>1</v>
      </c>
    </row>
    <row r="4353" spans="17:19" ht="20.25" hidden="1" customHeight="1">
      <c r="Q4353" s="18"/>
      <c r="R4353" s="14"/>
      <c r="S4353" s="14">
        <v>1</v>
      </c>
    </row>
    <row r="4354" spans="17:19" ht="20.25" hidden="1" customHeight="1">
      <c r="Q4354" s="18"/>
      <c r="R4354" s="14"/>
      <c r="S4354" s="14">
        <v>1</v>
      </c>
    </row>
    <row r="4355" spans="17:19" ht="20.25" hidden="1" customHeight="1">
      <c r="Q4355" s="18"/>
      <c r="R4355" s="14"/>
      <c r="S4355" s="14">
        <v>1</v>
      </c>
    </row>
    <row r="4356" spans="17:19" ht="20.25" hidden="1" customHeight="1">
      <c r="Q4356" s="18"/>
      <c r="R4356" s="14"/>
      <c r="S4356" s="14">
        <v>1</v>
      </c>
    </row>
    <row r="4357" spans="17:19" ht="20.25" hidden="1" customHeight="1">
      <c r="Q4357" s="18"/>
      <c r="R4357" s="14"/>
      <c r="S4357" s="14">
        <v>1</v>
      </c>
    </row>
    <row r="4358" spans="17:19" ht="20.25" hidden="1" customHeight="1">
      <c r="Q4358" s="18"/>
      <c r="R4358" s="14"/>
      <c r="S4358" s="14">
        <v>1</v>
      </c>
    </row>
    <row r="4359" spans="17:19" ht="20.25" hidden="1" customHeight="1">
      <c r="Q4359" s="18"/>
      <c r="R4359" s="14"/>
      <c r="S4359" s="14">
        <v>1</v>
      </c>
    </row>
    <row r="4360" spans="17:19" ht="20.25" hidden="1" customHeight="1">
      <c r="Q4360" s="18"/>
      <c r="R4360" s="14"/>
      <c r="S4360" s="14">
        <v>1</v>
      </c>
    </row>
    <row r="4361" spans="17:19" ht="20.25" hidden="1" customHeight="1">
      <c r="Q4361" s="18"/>
      <c r="R4361" s="14"/>
      <c r="S4361" s="14">
        <v>1</v>
      </c>
    </row>
    <row r="4362" spans="17:19" ht="20.25" hidden="1" customHeight="1">
      <c r="Q4362" s="18"/>
      <c r="R4362" s="14"/>
      <c r="S4362" s="14">
        <v>1</v>
      </c>
    </row>
    <row r="4363" spans="17:19" ht="20.25" hidden="1" customHeight="1">
      <c r="Q4363" s="18"/>
      <c r="R4363" s="14"/>
      <c r="S4363" s="14">
        <v>1</v>
      </c>
    </row>
    <row r="4364" spans="17:19" ht="20.25" hidden="1" customHeight="1">
      <c r="Q4364" s="18"/>
      <c r="R4364" s="14"/>
      <c r="S4364" s="14">
        <v>1</v>
      </c>
    </row>
    <row r="4365" spans="17:19" ht="20.25" hidden="1" customHeight="1">
      <c r="Q4365" s="18"/>
      <c r="R4365" s="14"/>
      <c r="S4365" s="14">
        <v>1</v>
      </c>
    </row>
    <row r="4366" spans="17:19" ht="20.25" hidden="1" customHeight="1">
      <c r="Q4366" s="18"/>
      <c r="R4366" s="14"/>
      <c r="S4366" s="14">
        <v>1</v>
      </c>
    </row>
    <row r="4367" spans="17:19" ht="20.25" hidden="1" customHeight="1">
      <c r="Q4367" s="18"/>
      <c r="R4367" s="14"/>
      <c r="S4367" s="14">
        <v>1</v>
      </c>
    </row>
    <row r="4368" spans="17:19" ht="20.25" hidden="1" customHeight="1">
      <c r="Q4368" s="18"/>
      <c r="R4368" s="14"/>
      <c r="S4368" s="14">
        <v>1</v>
      </c>
    </row>
    <row r="4369" spans="17:19" ht="20.25" hidden="1" customHeight="1">
      <c r="Q4369" s="18"/>
      <c r="R4369" s="14"/>
      <c r="S4369" s="14">
        <v>1</v>
      </c>
    </row>
    <row r="4370" spans="17:19" ht="20.25" hidden="1" customHeight="1">
      <c r="Q4370" s="18"/>
      <c r="R4370" s="14"/>
      <c r="S4370" s="14">
        <v>1</v>
      </c>
    </row>
    <row r="4371" spans="17:19" ht="20.25" hidden="1" customHeight="1">
      <c r="Q4371" s="18"/>
      <c r="R4371" s="14"/>
      <c r="S4371" s="14">
        <v>1</v>
      </c>
    </row>
    <row r="4372" spans="17:19" ht="20.25" hidden="1" customHeight="1">
      <c r="Q4372" s="18"/>
      <c r="R4372" s="14"/>
      <c r="S4372" s="14">
        <v>1</v>
      </c>
    </row>
    <row r="4373" spans="17:19" ht="20.25" hidden="1" customHeight="1">
      <c r="Q4373" s="18"/>
      <c r="R4373" s="14"/>
      <c r="S4373" s="14">
        <v>1</v>
      </c>
    </row>
    <row r="4374" spans="17:19" ht="20.25" hidden="1" customHeight="1">
      <c r="Q4374" s="18"/>
      <c r="R4374" s="14"/>
      <c r="S4374" s="14">
        <v>1</v>
      </c>
    </row>
    <row r="4375" spans="17:19" ht="20.25" hidden="1" customHeight="1">
      <c r="Q4375" s="18"/>
      <c r="R4375" s="14"/>
      <c r="S4375" s="14">
        <v>1</v>
      </c>
    </row>
    <row r="4376" spans="17:19" ht="20.25" hidden="1" customHeight="1">
      <c r="Q4376" s="18"/>
      <c r="R4376" s="14"/>
      <c r="S4376" s="14">
        <v>1</v>
      </c>
    </row>
    <row r="4377" spans="17:19" ht="20.25" hidden="1" customHeight="1">
      <c r="Q4377" s="18"/>
      <c r="R4377" s="14"/>
      <c r="S4377" s="14">
        <v>1</v>
      </c>
    </row>
    <row r="4378" spans="17:19" ht="20.25" hidden="1" customHeight="1">
      <c r="Q4378" s="18"/>
      <c r="R4378" s="14"/>
      <c r="S4378" s="14">
        <v>1</v>
      </c>
    </row>
    <row r="4379" spans="17:19" ht="20.25" hidden="1" customHeight="1">
      <c r="Q4379" s="18"/>
      <c r="R4379" s="14"/>
      <c r="S4379" s="14">
        <v>1</v>
      </c>
    </row>
    <row r="4380" spans="17:19" ht="20.25" hidden="1" customHeight="1">
      <c r="Q4380" s="18"/>
      <c r="R4380" s="14"/>
      <c r="S4380" s="14">
        <v>1</v>
      </c>
    </row>
    <row r="4381" spans="17:19" ht="20.25" hidden="1" customHeight="1">
      <c r="Q4381" s="18"/>
      <c r="R4381" s="14"/>
      <c r="S4381" s="14">
        <v>1</v>
      </c>
    </row>
    <row r="4382" spans="17:19" ht="20.25" hidden="1" customHeight="1">
      <c r="Q4382" s="18"/>
      <c r="R4382" s="14"/>
      <c r="S4382" s="14">
        <v>1</v>
      </c>
    </row>
    <row r="4383" spans="17:19" ht="20.25" hidden="1" customHeight="1">
      <c r="Q4383" s="18"/>
      <c r="R4383" s="14"/>
      <c r="S4383" s="14">
        <v>1</v>
      </c>
    </row>
    <row r="4384" spans="17:19" ht="20.25" hidden="1" customHeight="1">
      <c r="Q4384" s="18"/>
      <c r="R4384" s="14"/>
      <c r="S4384" s="14">
        <v>1</v>
      </c>
    </row>
    <row r="4385" spans="17:19" ht="20.25" hidden="1" customHeight="1">
      <c r="Q4385" s="18"/>
      <c r="R4385" s="14"/>
      <c r="S4385" s="14">
        <v>1</v>
      </c>
    </row>
    <row r="4386" spans="17:19" ht="20.25" hidden="1" customHeight="1">
      <c r="Q4386" s="18"/>
      <c r="R4386" s="14"/>
      <c r="S4386" s="14">
        <v>1</v>
      </c>
    </row>
    <row r="4387" spans="17:19" ht="20.25" hidden="1" customHeight="1">
      <c r="Q4387" s="18"/>
      <c r="R4387" s="14"/>
      <c r="S4387" s="14">
        <v>1</v>
      </c>
    </row>
    <row r="4388" spans="17:19" ht="20.25" hidden="1" customHeight="1">
      <c r="Q4388" s="18"/>
      <c r="R4388" s="14"/>
      <c r="S4388" s="14">
        <v>1</v>
      </c>
    </row>
    <row r="4389" spans="17:19" ht="20.25" hidden="1" customHeight="1">
      <c r="Q4389" s="18"/>
      <c r="R4389" s="14"/>
      <c r="S4389" s="14">
        <v>1</v>
      </c>
    </row>
    <row r="4390" spans="17:19" ht="20.25" hidden="1" customHeight="1">
      <c r="Q4390" s="18"/>
      <c r="R4390" s="14"/>
      <c r="S4390" s="14">
        <v>1</v>
      </c>
    </row>
    <row r="4391" spans="17:19" ht="20.25" hidden="1" customHeight="1">
      <c r="Q4391" s="18"/>
      <c r="R4391" s="14"/>
      <c r="S4391" s="14">
        <v>1</v>
      </c>
    </row>
    <row r="4392" spans="17:19" ht="20.25" hidden="1" customHeight="1">
      <c r="Q4392" s="18"/>
      <c r="R4392" s="14"/>
      <c r="S4392" s="14">
        <v>1</v>
      </c>
    </row>
    <row r="4393" spans="17:19" ht="20.25" hidden="1" customHeight="1">
      <c r="Q4393" s="18"/>
      <c r="R4393" s="14"/>
      <c r="S4393" s="14">
        <v>1</v>
      </c>
    </row>
    <row r="4394" spans="17:19" ht="20.25" hidden="1" customHeight="1">
      <c r="Q4394" s="18"/>
      <c r="R4394" s="14"/>
      <c r="S4394" s="14">
        <v>1</v>
      </c>
    </row>
    <row r="4395" spans="17:19" ht="20.25" hidden="1" customHeight="1">
      <c r="Q4395" s="18"/>
      <c r="R4395" s="14"/>
      <c r="S4395" s="14">
        <v>1</v>
      </c>
    </row>
    <row r="4396" spans="17:19" ht="20.25" hidden="1" customHeight="1">
      <c r="Q4396" s="18"/>
      <c r="R4396" s="14"/>
      <c r="S4396" s="14">
        <v>1</v>
      </c>
    </row>
    <row r="4397" spans="17:19" ht="20.25" hidden="1" customHeight="1">
      <c r="Q4397" s="18"/>
      <c r="R4397" s="14"/>
      <c r="S4397" s="14">
        <v>1</v>
      </c>
    </row>
    <row r="4398" spans="17:19" ht="20.25" hidden="1" customHeight="1">
      <c r="Q4398" s="18"/>
      <c r="R4398" s="14"/>
      <c r="S4398" s="14">
        <v>1</v>
      </c>
    </row>
    <row r="4399" spans="17:19" ht="20.25" hidden="1" customHeight="1">
      <c r="Q4399" s="18"/>
      <c r="R4399" s="14"/>
      <c r="S4399" s="14">
        <v>1</v>
      </c>
    </row>
    <row r="4400" spans="17:19" ht="20.25" hidden="1" customHeight="1">
      <c r="Q4400" s="18"/>
      <c r="R4400" s="14"/>
      <c r="S4400" s="14">
        <v>1</v>
      </c>
    </row>
    <row r="4401" spans="17:19" ht="20.25" hidden="1" customHeight="1">
      <c r="Q4401" s="18"/>
      <c r="R4401" s="14"/>
      <c r="S4401" s="14">
        <v>1</v>
      </c>
    </row>
    <row r="4402" spans="17:19" ht="20.25" hidden="1" customHeight="1">
      <c r="Q4402" s="18"/>
      <c r="R4402" s="14"/>
      <c r="S4402" s="14">
        <v>1</v>
      </c>
    </row>
    <row r="4403" spans="17:19" ht="20.25" hidden="1" customHeight="1">
      <c r="Q4403" s="18"/>
      <c r="R4403" s="14"/>
      <c r="S4403" s="14">
        <v>1</v>
      </c>
    </row>
    <row r="4404" spans="17:19" ht="20.25" hidden="1" customHeight="1">
      <c r="Q4404" s="18"/>
      <c r="R4404" s="14"/>
      <c r="S4404" s="14">
        <v>1</v>
      </c>
    </row>
    <row r="4405" spans="17:19" ht="20.25" hidden="1" customHeight="1">
      <c r="Q4405" s="18"/>
      <c r="R4405" s="14"/>
      <c r="S4405" s="14">
        <v>1</v>
      </c>
    </row>
    <row r="4406" spans="17:19" ht="20.25" hidden="1" customHeight="1">
      <c r="Q4406" s="18"/>
      <c r="R4406" s="14"/>
      <c r="S4406" s="14">
        <v>1</v>
      </c>
    </row>
    <row r="4407" spans="17:19" ht="20.25" hidden="1" customHeight="1">
      <c r="Q4407" s="18"/>
      <c r="R4407" s="14"/>
      <c r="S4407" s="14">
        <v>1</v>
      </c>
    </row>
    <row r="4408" spans="17:19" ht="20.25" hidden="1" customHeight="1">
      <c r="Q4408" s="18"/>
      <c r="R4408" s="14"/>
      <c r="S4408" s="14">
        <v>1</v>
      </c>
    </row>
    <row r="4409" spans="17:19" ht="20.25" hidden="1" customHeight="1">
      <c r="Q4409" s="18"/>
      <c r="R4409" s="14"/>
      <c r="S4409" s="14">
        <v>1</v>
      </c>
    </row>
    <row r="4410" spans="17:19" ht="20.25" hidden="1" customHeight="1">
      <c r="Q4410" s="18"/>
      <c r="R4410" s="14"/>
      <c r="S4410" s="14">
        <v>1</v>
      </c>
    </row>
    <row r="4411" spans="17:19" ht="20.25" hidden="1" customHeight="1">
      <c r="Q4411" s="18"/>
      <c r="R4411" s="14"/>
      <c r="S4411" s="14">
        <v>1</v>
      </c>
    </row>
    <row r="4412" spans="17:19" ht="20.25" hidden="1" customHeight="1">
      <c r="Q4412" s="18"/>
      <c r="R4412" s="14"/>
      <c r="S4412" s="14">
        <v>1</v>
      </c>
    </row>
    <row r="4413" spans="17:19" ht="20.25" hidden="1" customHeight="1">
      <c r="Q4413" s="18"/>
      <c r="R4413" s="14"/>
      <c r="S4413" s="14">
        <v>1</v>
      </c>
    </row>
    <row r="4414" spans="17:19" ht="20.25" hidden="1" customHeight="1">
      <c r="Q4414" s="18"/>
      <c r="R4414" s="14"/>
      <c r="S4414" s="14">
        <v>1</v>
      </c>
    </row>
    <row r="4415" spans="17:19" ht="20.25" hidden="1" customHeight="1">
      <c r="Q4415" s="18"/>
      <c r="R4415" s="14"/>
      <c r="S4415" s="14">
        <v>1</v>
      </c>
    </row>
    <row r="4416" spans="17:19" ht="20.25" hidden="1" customHeight="1">
      <c r="Q4416" s="18"/>
      <c r="R4416" s="14"/>
      <c r="S4416" s="14">
        <v>1</v>
      </c>
    </row>
    <row r="4417" spans="17:19" ht="20.25" hidden="1" customHeight="1">
      <c r="Q4417" s="18"/>
      <c r="R4417" s="14"/>
      <c r="S4417" s="14">
        <v>1</v>
      </c>
    </row>
    <row r="4418" spans="17:19" ht="20.25" hidden="1" customHeight="1">
      <c r="Q4418" s="18"/>
      <c r="R4418" s="14"/>
      <c r="S4418" s="14">
        <v>1</v>
      </c>
    </row>
    <row r="4419" spans="17:19" ht="20.25" hidden="1" customHeight="1">
      <c r="Q4419" s="18"/>
      <c r="R4419" s="14"/>
      <c r="S4419" s="14">
        <v>1</v>
      </c>
    </row>
    <row r="4420" spans="17:19" ht="20.25" hidden="1" customHeight="1">
      <c r="Q4420" s="18"/>
      <c r="R4420" s="14"/>
      <c r="S4420" s="14">
        <v>1</v>
      </c>
    </row>
    <row r="4421" spans="17:19" ht="20.25" hidden="1" customHeight="1">
      <c r="Q4421" s="18"/>
      <c r="R4421" s="14"/>
      <c r="S4421" s="14">
        <v>1</v>
      </c>
    </row>
    <row r="4422" spans="17:19" ht="20.25" hidden="1" customHeight="1">
      <c r="Q4422" s="18"/>
      <c r="R4422" s="14"/>
      <c r="S4422" s="14">
        <v>1</v>
      </c>
    </row>
    <row r="4423" spans="17:19" ht="20.25" hidden="1" customHeight="1">
      <c r="Q4423" s="18"/>
      <c r="R4423" s="14"/>
      <c r="S4423" s="14">
        <v>1</v>
      </c>
    </row>
    <row r="4424" spans="17:19" ht="20.25" hidden="1" customHeight="1">
      <c r="Q4424" s="18"/>
      <c r="R4424" s="14"/>
      <c r="S4424" s="14">
        <v>1</v>
      </c>
    </row>
    <row r="4425" spans="17:19" ht="20.25" hidden="1" customHeight="1">
      <c r="Q4425" s="18"/>
      <c r="R4425" s="14"/>
      <c r="S4425" s="14">
        <v>1</v>
      </c>
    </row>
    <row r="4426" spans="17:19" ht="20.25" hidden="1" customHeight="1">
      <c r="Q4426" s="18"/>
      <c r="R4426" s="14"/>
      <c r="S4426" s="14">
        <v>1</v>
      </c>
    </row>
    <row r="4427" spans="17:19" ht="20.25" hidden="1" customHeight="1">
      <c r="Q4427" s="18"/>
      <c r="R4427" s="14"/>
      <c r="S4427" s="14">
        <v>1</v>
      </c>
    </row>
    <row r="4428" spans="17:19" ht="20.25" hidden="1" customHeight="1">
      <c r="Q4428" s="18"/>
      <c r="R4428" s="14"/>
      <c r="S4428" s="14">
        <v>1</v>
      </c>
    </row>
    <row r="4429" spans="17:19" ht="20.25" hidden="1" customHeight="1">
      <c r="Q4429" s="18"/>
      <c r="R4429" s="14"/>
      <c r="S4429" s="14">
        <v>1</v>
      </c>
    </row>
    <row r="4430" spans="17:19" ht="20.25" hidden="1" customHeight="1">
      <c r="Q4430" s="18"/>
      <c r="R4430" s="14"/>
      <c r="S4430" s="14">
        <v>1</v>
      </c>
    </row>
    <row r="4431" spans="17:19" ht="20.25" hidden="1" customHeight="1">
      <c r="Q4431" s="18"/>
      <c r="R4431" s="14"/>
      <c r="S4431" s="14">
        <v>1</v>
      </c>
    </row>
    <row r="4432" spans="17:19" ht="20.25" hidden="1" customHeight="1">
      <c r="Q4432" s="18"/>
      <c r="R4432" s="14"/>
      <c r="S4432" s="14">
        <v>1</v>
      </c>
    </row>
    <row r="4433" spans="17:19" ht="20.25" hidden="1" customHeight="1">
      <c r="Q4433" s="18"/>
      <c r="R4433" s="14"/>
      <c r="S4433" s="14">
        <v>1</v>
      </c>
    </row>
    <row r="4434" spans="17:19" ht="20.25" hidden="1" customHeight="1">
      <c r="Q4434" s="18"/>
      <c r="R4434" s="14"/>
      <c r="S4434" s="14">
        <v>1</v>
      </c>
    </row>
    <row r="4435" spans="17:19" ht="20.25" hidden="1" customHeight="1">
      <c r="Q4435" s="18"/>
      <c r="R4435" s="14"/>
      <c r="S4435" s="14">
        <v>1</v>
      </c>
    </row>
    <row r="4436" spans="17:19" ht="20.25" hidden="1" customHeight="1">
      <c r="Q4436" s="18"/>
      <c r="R4436" s="14"/>
      <c r="S4436" s="14">
        <v>1</v>
      </c>
    </row>
    <row r="4437" spans="17:19" ht="20.25" hidden="1" customHeight="1">
      <c r="Q4437" s="18"/>
      <c r="R4437" s="14"/>
      <c r="S4437" s="14">
        <v>1</v>
      </c>
    </row>
    <row r="4438" spans="17:19" ht="20.25" hidden="1" customHeight="1">
      <c r="Q4438" s="18"/>
      <c r="R4438" s="14"/>
      <c r="S4438" s="14">
        <v>1</v>
      </c>
    </row>
    <row r="4439" spans="17:19" ht="20.25" hidden="1" customHeight="1">
      <c r="Q4439" s="18"/>
      <c r="R4439" s="14"/>
      <c r="S4439" s="14">
        <v>1</v>
      </c>
    </row>
    <row r="4440" spans="17:19" ht="20.25" hidden="1" customHeight="1">
      <c r="Q4440" s="18"/>
      <c r="R4440" s="14"/>
      <c r="S4440" s="14">
        <v>1</v>
      </c>
    </row>
    <row r="4441" spans="17:19" ht="20.25" hidden="1" customHeight="1">
      <c r="Q4441" s="18"/>
      <c r="R4441" s="14"/>
      <c r="S4441" s="14">
        <v>1</v>
      </c>
    </row>
    <row r="4442" spans="17:19" ht="20.25" hidden="1" customHeight="1">
      <c r="Q4442" s="18"/>
      <c r="R4442" s="14"/>
      <c r="S4442" s="14">
        <v>1</v>
      </c>
    </row>
    <row r="4443" spans="17:19" ht="20.25" hidden="1" customHeight="1">
      <c r="Q4443" s="18"/>
      <c r="R4443" s="14"/>
      <c r="S4443" s="14">
        <v>1</v>
      </c>
    </row>
    <row r="4444" spans="17:19" ht="20.25" hidden="1" customHeight="1">
      <c r="Q4444" s="18"/>
      <c r="R4444" s="14"/>
      <c r="S4444" s="14">
        <v>1</v>
      </c>
    </row>
    <row r="4445" spans="17:19" ht="20.25" hidden="1" customHeight="1">
      <c r="Q4445" s="18"/>
      <c r="R4445" s="14"/>
      <c r="S4445" s="14">
        <v>1</v>
      </c>
    </row>
    <row r="4446" spans="17:19" ht="20.25" hidden="1" customHeight="1">
      <c r="Q4446" s="18"/>
      <c r="R4446" s="14"/>
      <c r="S4446" s="14">
        <v>1</v>
      </c>
    </row>
    <row r="4447" spans="17:19" ht="20.25" hidden="1" customHeight="1">
      <c r="Q4447" s="18"/>
      <c r="R4447" s="14"/>
      <c r="S4447" s="14">
        <v>1</v>
      </c>
    </row>
    <row r="4448" spans="17:19" ht="20.25" hidden="1" customHeight="1">
      <c r="Q4448" s="18"/>
      <c r="R4448" s="14"/>
      <c r="S4448" s="14">
        <v>1</v>
      </c>
    </row>
    <row r="4449" spans="17:19" ht="20.25" hidden="1" customHeight="1">
      <c r="Q4449" s="18"/>
      <c r="R4449" s="14"/>
      <c r="S4449" s="14">
        <v>1</v>
      </c>
    </row>
    <row r="4450" spans="17:19" ht="20.25" hidden="1" customHeight="1">
      <c r="Q4450" s="18"/>
      <c r="R4450" s="14"/>
      <c r="S4450" s="14">
        <v>1</v>
      </c>
    </row>
    <row r="4451" spans="17:19" ht="20.25" hidden="1" customHeight="1">
      <c r="Q4451" s="18"/>
      <c r="R4451" s="14"/>
      <c r="S4451" s="14">
        <v>1</v>
      </c>
    </row>
    <row r="4452" spans="17:19" ht="20.25" hidden="1" customHeight="1">
      <c r="Q4452" s="18"/>
      <c r="R4452" s="14"/>
      <c r="S4452" s="14">
        <v>1</v>
      </c>
    </row>
    <row r="4453" spans="17:19" ht="20.25" hidden="1" customHeight="1">
      <c r="Q4453" s="18"/>
      <c r="R4453" s="14"/>
      <c r="S4453" s="14">
        <v>1</v>
      </c>
    </row>
    <row r="4454" spans="17:19" ht="20.25" hidden="1" customHeight="1">
      <c r="Q4454" s="18"/>
      <c r="R4454" s="14"/>
      <c r="S4454" s="14">
        <v>1</v>
      </c>
    </row>
    <row r="4455" spans="17:19" ht="20.25" hidden="1" customHeight="1">
      <c r="Q4455" s="18"/>
      <c r="R4455" s="14"/>
      <c r="S4455" s="14">
        <v>1</v>
      </c>
    </row>
    <row r="4456" spans="17:19" ht="20.25" hidden="1" customHeight="1">
      <c r="Q4456" s="18"/>
      <c r="R4456" s="14"/>
      <c r="S4456" s="14">
        <v>1</v>
      </c>
    </row>
    <row r="4457" spans="17:19" ht="20.25" hidden="1" customHeight="1">
      <c r="Q4457" s="18"/>
      <c r="R4457" s="14"/>
      <c r="S4457" s="14">
        <v>1</v>
      </c>
    </row>
    <row r="4458" spans="17:19" ht="20.25" hidden="1" customHeight="1">
      <c r="Q4458" s="18"/>
      <c r="R4458" s="14"/>
      <c r="S4458" s="14">
        <v>1</v>
      </c>
    </row>
    <row r="4459" spans="17:19" ht="20.25" hidden="1" customHeight="1">
      <c r="Q4459" s="18"/>
      <c r="R4459" s="14"/>
      <c r="S4459" s="14">
        <v>1</v>
      </c>
    </row>
    <row r="4460" spans="17:19" ht="20.25" hidden="1" customHeight="1">
      <c r="Q4460" s="18"/>
      <c r="R4460" s="14"/>
      <c r="S4460" s="14">
        <v>1</v>
      </c>
    </row>
    <row r="4461" spans="17:19" ht="20.25" hidden="1" customHeight="1">
      <c r="Q4461" s="18"/>
      <c r="R4461" s="14"/>
      <c r="S4461" s="14">
        <v>1</v>
      </c>
    </row>
    <row r="4462" spans="17:19" ht="20.25" hidden="1" customHeight="1">
      <c r="Q4462" s="18"/>
      <c r="R4462" s="14"/>
      <c r="S4462" s="14">
        <v>1</v>
      </c>
    </row>
    <row r="4463" spans="17:19" ht="20.25" hidden="1" customHeight="1">
      <c r="Q4463" s="18"/>
      <c r="R4463" s="14"/>
      <c r="S4463" s="14">
        <v>1</v>
      </c>
    </row>
    <row r="4464" spans="17:19" ht="20.25" hidden="1" customHeight="1">
      <c r="Q4464" s="18"/>
      <c r="R4464" s="14"/>
      <c r="S4464" s="14">
        <v>1</v>
      </c>
    </row>
    <row r="4465" spans="17:19" ht="20.25" hidden="1" customHeight="1">
      <c r="Q4465" s="18"/>
      <c r="R4465" s="14"/>
      <c r="S4465" s="14">
        <v>1</v>
      </c>
    </row>
    <row r="4466" spans="17:19" ht="20.25" hidden="1" customHeight="1">
      <c r="Q4466" s="18"/>
      <c r="R4466" s="14"/>
      <c r="S4466" s="14">
        <v>1</v>
      </c>
    </row>
    <row r="4467" spans="17:19" ht="20.25" hidden="1" customHeight="1">
      <c r="Q4467" s="18"/>
      <c r="R4467" s="14"/>
      <c r="S4467" s="14">
        <v>1</v>
      </c>
    </row>
    <row r="4468" spans="17:19" ht="20.25" hidden="1" customHeight="1">
      <c r="Q4468" s="18"/>
      <c r="R4468" s="14"/>
      <c r="S4468" s="14">
        <v>1</v>
      </c>
    </row>
    <row r="4469" spans="17:19" ht="20.25" hidden="1" customHeight="1">
      <c r="Q4469" s="18"/>
      <c r="R4469" s="14"/>
      <c r="S4469" s="14">
        <v>1</v>
      </c>
    </row>
    <row r="4470" spans="17:19" ht="20.25" hidden="1" customHeight="1">
      <c r="Q4470" s="18"/>
      <c r="R4470" s="14"/>
      <c r="S4470" s="14">
        <v>1</v>
      </c>
    </row>
    <row r="4471" spans="17:19" ht="20.25" hidden="1" customHeight="1">
      <c r="Q4471" s="18"/>
      <c r="R4471" s="14"/>
      <c r="S4471" s="14">
        <v>1</v>
      </c>
    </row>
    <row r="4472" spans="17:19" ht="20.25" hidden="1" customHeight="1">
      <c r="Q4472" s="18"/>
      <c r="R4472" s="14"/>
      <c r="S4472" s="14">
        <v>1</v>
      </c>
    </row>
    <row r="4473" spans="17:19" ht="20.25" hidden="1" customHeight="1">
      <c r="Q4473" s="18"/>
      <c r="R4473" s="14"/>
      <c r="S4473" s="14">
        <v>1</v>
      </c>
    </row>
    <row r="4474" spans="17:19" ht="20.25" hidden="1" customHeight="1">
      <c r="Q4474" s="18"/>
      <c r="R4474" s="14"/>
      <c r="S4474" s="14">
        <v>1</v>
      </c>
    </row>
    <row r="4475" spans="17:19" ht="20.25" hidden="1" customHeight="1">
      <c r="Q4475" s="18"/>
      <c r="R4475" s="14"/>
      <c r="S4475" s="14">
        <v>1</v>
      </c>
    </row>
    <row r="4476" spans="17:19" ht="20.25" hidden="1" customHeight="1">
      <c r="Q4476" s="18"/>
      <c r="R4476" s="14"/>
      <c r="S4476" s="14">
        <v>1</v>
      </c>
    </row>
    <row r="4477" spans="17:19" ht="20.25" hidden="1" customHeight="1">
      <c r="Q4477" s="18"/>
      <c r="R4477" s="14"/>
      <c r="S4477" s="14">
        <v>1</v>
      </c>
    </row>
    <row r="4478" spans="17:19" ht="20.25" hidden="1" customHeight="1">
      <c r="Q4478" s="18"/>
      <c r="R4478" s="14"/>
      <c r="S4478" s="14">
        <v>1</v>
      </c>
    </row>
    <row r="4479" spans="17:19" ht="20.25" hidden="1" customHeight="1">
      <c r="Q4479" s="18"/>
      <c r="R4479" s="14"/>
      <c r="S4479" s="14">
        <v>1</v>
      </c>
    </row>
    <row r="4480" spans="17:19" ht="20.25" hidden="1" customHeight="1">
      <c r="Q4480" s="18"/>
      <c r="R4480" s="14"/>
      <c r="S4480" s="14">
        <v>1</v>
      </c>
    </row>
    <row r="4481" spans="17:19" ht="20.25" hidden="1" customHeight="1">
      <c r="Q4481" s="18"/>
      <c r="R4481" s="14"/>
      <c r="S4481" s="14">
        <v>1</v>
      </c>
    </row>
    <row r="4482" spans="17:19" ht="20.25" hidden="1" customHeight="1">
      <c r="Q4482" s="18"/>
      <c r="R4482" s="14"/>
      <c r="S4482" s="14">
        <v>1</v>
      </c>
    </row>
    <row r="4483" spans="17:19" ht="20.25" hidden="1" customHeight="1">
      <c r="Q4483" s="18"/>
      <c r="R4483" s="14"/>
      <c r="S4483" s="14">
        <v>1</v>
      </c>
    </row>
    <row r="4484" spans="17:19" ht="20.25" hidden="1" customHeight="1">
      <c r="Q4484" s="18"/>
      <c r="R4484" s="14"/>
      <c r="S4484" s="14">
        <v>1</v>
      </c>
    </row>
    <row r="4485" spans="17:19" ht="20.25" hidden="1" customHeight="1">
      <c r="Q4485" s="18"/>
      <c r="R4485" s="14"/>
      <c r="S4485" s="14">
        <v>1</v>
      </c>
    </row>
    <row r="4486" spans="17:19" ht="20.25" hidden="1" customHeight="1">
      <c r="Q4486" s="18"/>
      <c r="R4486" s="14"/>
      <c r="S4486" s="14">
        <v>1</v>
      </c>
    </row>
    <row r="4487" spans="17:19" ht="20.25" hidden="1" customHeight="1">
      <c r="Q4487" s="18"/>
      <c r="R4487" s="14"/>
      <c r="S4487" s="14">
        <v>1</v>
      </c>
    </row>
    <row r="4488" spans="17:19" ht="20.25" hidden="1" customHeight="1">
      <c r="Q4488" s="18"/>
      <c r="R4488" s="14"/>
      <c r="S4488" s="14">
        <v>1</v>
      </c>
    </row>
    <row r="4489" spans="17:19" ht="20.25" hidden="1" customHeight="1">
      <c r="Q4489" s="18"/>
      <c r="R4489" s="14"/>
      <c r="S4489" s="14">
        <v>1</v>
      </c>
    </row>
    <row r="4490" spans="17:19" ht="20.25" hidden="1" customHeight="1">
      <c r="Q4490" s="18"/>
      <c r="R4490" s="14"/>
      <c r="S4490" s="14">
        <v>1</v>
      </c>
    </row>
    <row r="4491" spans="17:19" ht="20.25" hidden="1" customHeight="1">
      <c r="Q4491" s="18"/>
      <c r="R4491" s="14"/>
      <c r="S4491" s="14">
        <v>1</v>
      </c>
    </row>
    <row r="4492" spans="17:19" ht="20.25" hidden="1" customHeight="1">
      <c r="Q4492" s="18"/>
      <c r="R4492" s="14"/>
      <c r="S4492" s="14">
        <v>1</v>
      </c>
    </row>
    <row r="4493" spans="17:19" ht="20.25" hidden="1" customHeight="1">
      <c r="Q4493" s="18"/>
      <c r="R4493" s="14"/>
      <c r="S4493" s="14">
        <v>1</v>
      </c>
    </row>
    <row r="4494" spans="17:19" ht="20.25" hidden="1" customHeight="1">
      <c r="Q4494" s="18"/>
      <c r="R4494" s="14"/>
      <c r="S4494" s="14">
        <v>1</v>
      </c>
    </row>
    <row r="4495" spans="17:19" ht="20.25" hidden="1" customHeight="1">
      <c r="Q4495" s="18"/>
      <c r="R4495" s="14"/>
      <c r="S4495" s="14">
        <v>1</v>
      </c>
    </row>
    <row r="4496" spans="17:19" ht="20.25" hidden="1" customHeight="1">
      <c r="Q4496" s="18"/>
      <c r="R4496" s="14"/>
      <c r="S4496" s="14">
        <v>1</v>
      </c>
    </row>
    <row r="4497" spans="17:19" ht="20.25" hidden="1" customHeight="1">
      <c r="Q4497" s="18"/>
      <c r="R4497" s="14"/>
      <c r="S4497" s="14">
        <v>1</v>
      </c>
    </row>
    <row r="4498" spans="17:19" ht="20.25" hidden="1" customHeight="1">
      <c r="Q4498" s="18"/>
      <c r="R4498" s="14"/>
      <c r="S4498" s="14">
        <v>1</v>
      </c>
    </row>
    <row r="4499" spans="17:19" ht="20.25" hidden="1" customHeight="1">
      <c r="Q4499" s="18"/>
      <c r="R4499" s="14"/>
      <c r="S4499" s="14">
        <v>1</v>
      </c>
    </row>
    <row r="4500" spans="17:19" ht="20.25" hidden="1" customHeight="1">
      <c r="Q4500" s="18"/>
      <c r="R4500" s="14"/>
      <c r="S4500" s="14">
        <v>1</v>
      </c>
    </row>
    <row r="4501" spans="17:19" ht="20.25" hidden="1" customHeight="1">
      <c r="Q4501" s="18"/>
      <c r="R4501" s="14"/>
      <c r="S4501" s="14">
        <v>1</v>
      </c>
    </row>
    <row r="4502" spans="17:19" ht="20.25" hidden="1" customHeight="1">
      <c r="Q4502" s="18"/>
      <c r="R4502" s="14"/>
      <c r="S4502" s="14">
        <v>1</v>
      </c>
    </row>
    <row r="4503" spans="17:19" ht="20.25" hidden="1" customHeight="1">
      <c r="Q4503" s="18"/>
      <c r="R4503" s="14"/>
      <c r="S4503" s="14">
        <v>1</v>
      </c>
    </row>
    <row r="4504" spans="17:19" ht="20.25" hidden="1" customHeight="1">
      <c r="Q4504" s="18"/>
      <c r="R4504" s="14"/>
      <c r="S4504" s="14">
        <v>1</v>
      </c>
    </row>
    <row r="4505" spans="17:19" ht="20.25" hidden="1" customHeight="1">
      <c r="Q4505" s="18"/>
      <c r="R4505" s="14"/>
      <c r="S4505" s="14">
        <v>1</v>
      </c>
    </row>
    <row r="4506" spans="17:19" ht="20.25" hidden="1" customHeight="1">
      <c r="Q4506" s="18"/>
      <c r="R4506" s="14"/>
      <c r="S4506" s="14">
        <v>1</v>
      </c>
    </row>
    <row r="4507" spans="17:19" ht="20.25" hidden="1" customHeight="1">
      <c r="Q4507" s="18"/>
      <c r="R4507" s="14"/>
      <c r="S4507" s="14">
        <v>1</v>
      </c>
    </row>
    <row r="4508" spans="17:19" ht="20.25" hidden="1" customHeight="1">
      <c r="Q4508" s="18"/>
      <c r="R4508" s="14"/>
      <c r="S4508" s="14">
        <v>1</v>
      </c>
    </row>
    <row r="4509" spans="17:19" ht="20.25" hidden="1" customHeight="1">
      <c r="Q4509" s="18"/>
      <c r="R4509" s="14"/>
      <c r="S4509" s="14">
        <v>1</v>
      </c>
    </row>
    <row r="4510" spans="17:19" ht="20.25" hidden="1" customHeight="1">
      <c r="Q4510" s="18"/>
      <c r="R4510" s="14"/>
      <c r="S4510" s="14">
        <v>1</v>
      </c>
    </row>
    <row r="4511" spans="17:19" ht="20.25" hidden="1" customHeight="1">
      <c r="Q4511" s="18"/>
      <c r="R4511" s="14"/>
      <c r="S4511" s="14">
        <v>1</v>
      </c>
    </row>
    <row r="4512" spans="17:19" ht="20.25" hidden="1" customHeight="1">
      <c r="Q4512" s="18"/>
      <c r="R4512" s="14"/>
      <c r="S4512" s="14">
        <v>1</v>
      </c>
    </row>
    <row r="4513" spans="17:19" ht="20.25" hidden="1" customHeight="1">
      <c r="Q4513" s="18"/>
      <c r="R4513" s="14"/>
      <c r="S4513" s="14">
        <v>1</v>
      </c>
    </row>
    <row r="4514" spans="17:19" ht="20.25" hidden="1" customHeight="1">
      <c r="Q4514" s="18"/>
      <c r="R4514" s="14"/>
      <c r="S4514" s="14">
        <v>1</v>
      </c>
    </row>
    <row r="4515" spans="17:19" ht="20.25" hidden="1" customHeight="1">
      <c r="Q4515" s="18"/>
      <c r="R4515" s="14"/>
      <c r="S4515" s="14">
        <v>1</v>
      </c>
    </row>
    <row r="4516" spans="17:19" ht="20.25" hidden="1" customHeight="1">
      <c r="Q4516" s="18"/>
      <c r="R4516" s="14"/>
      <c r="S4516" s="14">
        <v>1</v>
      </c>
    </row>
    <row r="4517" spans="17:19" ht="20.25" hidden="1" customHeight="1">
      <c r="Q4517" s="18"/>
      <c r="R4517" s="14"/>
      <c r="S4517" s="14">
        <v>1</v>
      </c>
    </row>
    <row r="4518" spans="17:19" ht="20.25" hidden="1" customHeight="1">
      <c r="Q4518" s="18"/>
      <c r="R4518" s="14"/>
      <c r="S4518" s="14">
        <v>1</v>
      </c>
    </row>
    <row r="4519" spans="17:19" ht="20.25" hidden="1" customHeight="1">
      <c r="Q4519" s="18"/>
      <c r="R4519" s="14"/>
      <c r="S4519" s="14">
        <v>1</v>
      </c>
    </row>
    <row r="4520" spans="17:19" ht="20.25" hidden="1" customHeight="1">
      <c r="Q4520" s="18"/>
      <c r="R4520" s="14"/>
      <c r="S4520" s="14">
        <v>1</v>
      </c>
    </row>
    <row r="4521" spans="17:19" ht="20.25" hidden="1" customHeight="1">
      <c r="Q4521" s="18"/>
      <c r="R4521" s="14"/>
      <c r="S4521" s="14">
        <v>1</v>
      </c>
    </row>
    <row r="4522" spans="17:19" ht="20.25" hidden="1" customHeight="1">
      <c r="Q4522" s="18"/>
      <c r="R4522" s="14"/>
      <c r="S4522" s="14">
        <v>1</v>
      </c>
    </row>
    <row r="4523" spans="17:19" ht="20.25" hidden="1" customHeight="1">
      <c r="Q4523" s="18"/>
      <c r="R4523" s="14"/>
      <c r="S4523" s="14">
        <v>1</v>
      </c>
    </row>
    <row r="4524" spans="17:19" ht="20.25" hidden="1" customHeight="1">
      <c r="Q4524" s="18"/>
      <c r="R4524" s="14"/>
      <c r="S4524" s="14">
        <v>1</v>
      </c>
    </row>
    <row r="4525" spans="17:19" ht="20.25" hidden="1" customHeight="1">
      <c r="Q4525" s="18"/>
      <c r="R4525" s="14"/>
      <c r="S4525" s="14">
        <v>1</v>
      </c>
    </row>
    <row r="4526" spans="17:19" ht="20.25" hidden="1" customHeight="1">
      <c r="Q4526" s="18"/>
      <c r="R4526" s="14"/>
      <c r="S4526" s="14">
        <v>1</v>
      </c>
    </row>
    <row r="4527" spans="17:19" ht="20.25" hidden="1" customHeight="1">
      <c r="Q4527" s="18"/>
      <c r="R4527" s="14"/>
      <c r="S4527" s="14">
        <v>1</v>
      </c>
    </row>
    <row r="4528" spans="17:19" ht="20.25" hidden="1" customHeight="1">
      <c r="Q4528" s="18"/>
      <c r="R4528" s="14"/>
      <c r="S4528" s="14">
        <v>1</v>
      </c>
    </row>
    <row r="4529" spans="17:19" ht="20.25" hidden="1" customHeight="1">
      <c r="Q4529" s="18"/>
      <c r="R4529" s="14"/>
      <c r="S4529" s="14">
        <v>1</v>
      </c>
    </row>
    <row r="4530" spans="17:19" ht="20.25" hidden="1" customHeight="1">
      <c r="Q4530" s="18"/>
      <c r="R4530" s="14"/>
      <c r="S4530" s="14">
        <v>1</v>
      </c>
    </row>
    <row r="4531" spans="17:19" ht="20.25" hidden="1" customHeight="1">
      <c r="Q4531" s="18"/>
      <c r="R4531" s="14"/>
      <c r="S4531" s="14">
        <v>1</v>
      </c>
    </row>
    <row r="4532" spans="17:19" ht="20.25" hidden="1" customHeight="1">
      <c r="Q4532" s="18"/>
      <c r="R4532" s="14"/>
      <c r="S4532" s="14">
        <v>1</v>
      </c>
    </row>
    <row r="4533" spans="17:19" ht="20.25" hidden="1" customHeight="1">
      <c r="Q4533" s="18"/>
      <c r="R4533" s="14"/>
      <c r="S4533" s="14">
        <v>1</v>
      </c>
    </row>
    <row r="4534" spans="17:19" ht="20.25" hidden="1" customHeight="1">
      <c r="Q4534" s="18"/>
      <c r="R4534" s="14"/>
      <c r="S4534" s="14">
        <v>1</v>
      </c>
    </row>
    <row r="4535" spans="17:19" ht="20.25" hidden="1" customHeight="1">
      <c r="Q4535" s="18"/>
      <c r="R4535" s="14"/>
      <c r="S4535" s="14">
        <v>1</v>
      </c>
    </row>
    <row r="4536" spans="17:19" ht="20.25" hidden="1" customHeight="1">
      <c r="Q4536" s="18"/>
      <c r="R4536" s="14"/>
      <c r="S4536" s="14">
        <v>1</v>
      </c>
    </row>
    <row r="4537" spans="17:19" ht="20.25" hidden="1" customHeight="1">
      <c r="Q4537" s="18"/>
      <c r="R4537" s="14"/>
      <c r="S4537" s="14">
        <v>1</v>
      </c>
    </row>
    <row r="4538" spans="17:19" ht="20.25" hidden="1" customHeight="1">
      <c r="Q4538" s="18"/>
      <c r="R4538" s="14"/>
      <c r="S4538" s="14">
        <v>1</v>
      </c>
    </row>
    <row r="4539" spans="17:19" ht="20.25" hidden="1" customHeight="1">
      <c r="Q4539" s="18"/>
      <c r="R4539" s="14"/>
      <c r="S4539" s="14">
        <v>1</v>
      </c>
    </row>
    <row r="4540" spans="17:19" ht="20.25" hidden="1" customHeight="1">
      <c r="Q4540" s="18"/>
      <c r="R4540" s="14"/>
      <c r="S4540" s="14">
        <v>1</v>
      </c>
    </row>
    <row r="4541" spans="17:19" ht="20.25" hidden="1" customHeight="1">
      <c r="Q4541" s="18"/>
      <c r="R4541" s="14"/>
      <c r="S4541" s="14">
        <v>1</v>
      </c>
    </row>
    <row r="4542" spans="17:19" ht="20.25" hidden="1" customHeight="1">
      <c r="Q4542" s="18"/>
      <c r="R4542" s="14"/>
      <c r="S4542" s="14">
        <v>1</v>
      </c>
    </row>
    <row r="4543" spans="17:19" ht="20.25" hidden="1" customHeight="1">
      <c r="Q4543" s="18"/>
      <c r="R4543" s="14"/>
      <c r="S4543" s="14">
        <v>1</v>
      </c>
    </row>
    <row r="4544" spans="17:19" ht="20.25" hidden="1" customHeight="1">
      <c r="Q4544" s="18"/>
      <c r="R4544" s="14"/>
      <c r="S4544" s="14">
        <v>1</v>
      </c>
    </row>
    <row r="4545" spans="17:19" ht="20.25" hidden="1" customHeight="1">
      <c r="Q4545" s="18"/>
      <c r="R4545" s="14"/>
      <c r="S4545" s="14">
        <v>1</v>
      </c>
    </row>
    <row r="4546" spans="17:19" ht="20.25" hidden="1" customHeight="1">
      <c r="Q4546" s="18"/>
      <c r="R4546" s="14"/>
      <c r="S4546" s="14">
        <v>1</v>
      </c>
    </row>
    <row r="4547" spans="17:19" ht="20.25" hidden="1" customHeight="1">
      <c r="Q4547" s="18"/>
      <c r="R4547" s="14"/>
      <c r="S4547" s="14">
        <v>1</v>
      </c>
    </row>
    <row r="4548" spans="17:19" ht="20.25" hidden="1" customHeight="1">
      <c r="Q4548" s="18"/>
      <c r="R4548" s="14"/>
      <c r="S4548" s="14">
        <v>1</v>
      </c>
    </row>
    <row r="4549" spans="17:19" ht="20.25" hidden="1" customHeight="1">
      <c r="Q4549" s="18"/>
      <c r="R4549" s="14"/>
      <c r="S4549" s="14">
        <v>1</v>
      </c>
    </row>
    <row r="4550" spans="17:19" ht="20.25" hidden="1" customHeight="1">
      <c r="Q4550" s="18"/>
      <c r="R4550" s="14"/>
      <c r="S4550" s="14">
        <v>1</v>
      </c>
    </row>
    <row r="4551" spans="17:19" ht="20.25" hidden="1" customHeight="1">
      <c r="Q4551" s="18"/>
      <c r="R4551" s="14"/>
      <c r="S4551" s="14">
        <v>1</v>
      </c>
    </row>
    <row r="4552" spans="17:19" ht="20.25" hidden="1" customHeight="1">
      <c r="Q4552" s="18"/>
      <c r="R4552" s="14"/>
      <c r="S4552" s="14">
        <v>1</v>
      </c>
    </row>
    <row r="4553" spans="17:19" ht="20.25" hidden="1" customHeight="1">
      <c r="Q4553" s="18"/>
      <c r="R4553" s="14"/>
      <c r="S4553" s="14">
        <v>1</v>
      </c>
    </row>
    <row r="4554" spans="17:19" ht="20.25" hidden="1" customHeight="1">
      <c r="Q4554" s="18"/>
      <c r="R4554" s="14"/>
      <c r="S4554" s="14">
        <v>1</v>
      </c>
    </row>
    <row r="4555" spans="17:19" ht="20.25" hidden="1" customHeight="1">
      <c r="Q4555" s="18"/>
      <c r="R4555" s="14"/>
      <c r="S4555" s="14">
        <v>1</v>
      </c>
    </row>
    <row r="4556" spans="17:19" ht="20.25" hidden="1" customHeight="1">
      <c r="Q4556" s="18"/>
      <c r="R4556" s="14"/>
      <c r="S4556" s="14">
        <v>1</v>
      </c>
    </row>
    <row r="4557" spans="17:19" ht="20.25" hidden="1" customHeight="1">
      <c r="Q4557" s="18"/>
      <c r="R4557" s="14"/>
      <c r="S4557" s="14">
        <v>1</v>
      </c>
    </row>
    <row r="4558" spans="17:19" ht="20.25" hidden="1" customHeight="1">
      <c r="Q4558" s="18"/>
      <c r="R4558" s="14"/>
      <c r="S4558" s="14">
        <v>1</v>
      </c>
    </row>
    <row r="4559" spans="17:19" ht="20.25" hidden="1" customHeight="1">
      <c r="Q4559" s="18"/>
      <c r="R4559" s="14"/>
      <c r="S4559" s="14">
        <v>1</v>
      </c>
    </row>
    <row r="4560" spans="17:19" ht="20.25" hidden="1" customHeight="1">
      <c r="Q4560" s="18"/>
      <c r="R4560" s="14"/>
      <c r="S4560" s="14">
        <v>1</v>
      </c>
    </row>
    <row r="4561" spans="17:19" ht="20.25" hidden="1" customHeight="1">
      <c r="Q4561" s="18"/>
      <c r="R4561" s="14"/>
      <c r="S4561" s="14">
        <v>1</v>
      </c>
    </row>
    <row r="4562" spans="17:19" ht="20.25" hidden="1" customHeight="1">
      <c r="Q4562" s="18"/>
      <c r="R4562" s="14"/>
      <c r="S4562" s="14">
        <v>1</v>
      </c>
    </row>
    <row r="4563" spans="17:19" ht="20.25" hidden="1" customHeight="1">
      <c r="Q4563" s="18"/>
      <c r="R4563" s="14"/>
      <c r="S4563" s="14">
        <v>1</v>
      </c>
    </row>
    <row r="4564" spans="17:19" ht="20.25" hidden="1" customHeight="1">
      <c r="Q4564" s="18"/>
      <c r="R4564" s="14"/>
      <c r="S4564" s="14">
        <v>1</v>
      </c>
    </row>
    <row r="4565" spans="17:19" ht="20.25" hidden="1" customHeight="1">
      <c r="Q4565" s="18"/>
      <c r="R4565" s="14"/>
      <c r="S4565" s="14">
        <v>1</v>
      </c>
    </row>
    <row r="4566" spans="17:19" ht="20.25" hidden="1" customHeight="1">
      <c r="Q4566" s="18"/>
      <c r="R4566" s="14"/>
      <c r="S4566" s="14">
        <v>1</v>
      </c>
    </row>
    <row r="4567" spans="17:19" ht="20.25" hidden="1" customHeight="1">
      <c r="Q4567" s="18"/>
      <c r="R4567" s="14"/>
      <c r="S4567" s="14">
        <v>1</v>
      </c>
    </row>
    <row r="4568" spans="17:19" ht="20.25" hidden="1" customHeight="1">
      <c r="Q4568" s="18"/>
      <c r="R4568" s="14"/>
      <c r="S4568" s="14">
        <v>1</v>
      </c>
    </row>
    <row r="4569" spans="17:19" ht="20.25" hidden="1" customHeight="1">
      <c r="Q4569" s="18"/>
      <c r="R4569" s="14"/>
      <c r="S4569" s="14">
        <v>1</v>
      </c>
    </row>
    <row r="4570" spans="17:19" ht="20.25" hidden="1" customHeight="1">
      <c r="Q4570" s="18"/>
      <c r="R4570" s="14"/>
      <c r="S4570" s="14">
        <v>1</v>
      </c>
    </row>
    <row r="4571" spans="17:19" ht="20.25" hidden="1" customHeight="1">
      <c r="Q4571" s="18"/>
      <c r="R4571" s="14"/>
      <c r="S4571" s="14">
        <v>1</v>
      </c>
    </row>
    <row r="4572" spans="17:19" ht="20.25" hidden="1" customHeight="1">
      <c r="Q4572" s="18"/>
      <c r="R4572" s="14"/>
      <c r="S4572" s="14">
        <v>1</v>
      </c>
    </row>
    <row r="4573" spans="17:19" ht="20.25" hidden="1" customHeight="1">
      <c r="Q4573" s="18"/>
      <c r="R4573" s="14"/>
      <c r="S4573" s="14">
        <v>1</v>
      </c>
    </row>
    <row r="4574" spans="17:19" ht="20.25" hidden="1" customHeight="1">
      <c r="Q4574" s="18"/>
      <c r="R4574" s="14"/>
      <c r="S4574" s="14">
        <v>1</v>
      </c>
    </row>
    <row r="4575" spans="17:19" ht="20.25" hidden="1" customHeight="1">
      <c r="Q4575" s="18"/>
      <c r="R4575" s="14"/>
      <c r="S4575" s="14">
        <v>1</v>
      </c>
    </row>
    <row r="4576" spans="17:19" ht="20.25" hidden="1" customHeight="1">
      <c r="Q4576" s="18"/>
      <c r="R4576" s="14"/>
      <c r="S4576" s="14">
        <v>1</v>
      </c>
    </row>
    <row r="4577" spans="17:19" ht="20.25" hidden="1" customHeight="1">
      <c r="Q4577" s="18"/>
      <c r="R4577" s="14"/>
      <c r="S4577" s="14">
        <v>1</v>
      </c>
    </row>
    <row r="4578" spans="17:19" ht="20.25" hidden="1" customHeight="1">
      <c r="Q4578" s="18"/>
      <c r="R4578" s="14"/>
      <c r="S4578" s="14">
        <v>1</v>
      </c>
    </row>
    <row r="4579" spans="17:19" ht="20.25" hidden="1" customHeight="1">
      <c r="Q4579" s="18"/>
      <c r="R4579" s="14"/>
      <c r="S4579" s="14">
        <v>1</v>
      </c>
    </row>
    <row r="4580" spans="17:19" ht="20.25" hidden="1" customHeight="1">
      <c r="Q4580" s="18"/>
      <c r="R4580" s="14"/>
      <c r="S4580" s="14">
        <v>1</v>
      </c>
    </row>
    <row r="4581" spans="17:19" ht="20.25" hidden="1" customHeight="1">
      <c r="Q4581" s="18"/>
      <c r="R4581" s="14"/>
      <c r="S4581" s="14">
        <v>1</v>
      </c>
    </row>
    <row r="4582" spans="17:19" ht="20.25" hidden="1" customHeight="1">
      <c r="Q4582" s="18"/>
      <c r="R4582" s="14"/>
      <c r="S4582" s="14">
        <v>1</v>
      </c>
    </row>
    <row r="4583" spans="17:19" ht="20.25" hidden="1" customHeight="1">
      <c r="Q4583" s="18"/>
      <c r="R4583" s="14"/>
      <c r="S4583" s="14">
        <v>1</v>
      </c>
    </row>
    <row r="4584" spans="17:19" ht="20.25" hidden="1" customHeight="1">
      <c r="Q4584" s="18"/>
      <c r="R4584" s="14"/>
      <c r="S4584" s="14">
        <v>1</v>
      </c>
    </row>
    <row r="4585" spans="17:19" ht="20.25" hidden="1" customHeight="1">
      <c r="Q4585" s="18"/>
      <c r="R4585" s="14"/>
      <c r="S4585" s="14">
        <v>1</v>
      </c>
    </row>
    <row r="4586" spans="17:19" ht="20.25" hidden="1" customHeight="1">
      <c r="Q4586" s="18"/>
      <c r="R4586" s="14"/>
      <c r="S4586" s="14">
        <v>1</v>
      </c>
    </row>
    <row r="4587" spans="17:19" ht="20.25" hidden="1" customHeight="1">
      <c r="Q4587" s="18"/>
      <c r="R4587" s="14"/>
      <c r="S4587" s="14">
        <v>1</v>
      </c>
    </row>
    <row r="4588" spans="17:19" ht="20.25" hidden="1" customHeight="1">
      <c r="Q4588" s="18"/>
      <c r="R4588" s="14"/>
      <c r="S4588" s="14">
        <v>1</v>
      </c>
    </row>
    <row r="4589" spans="17:19" ht="20.25" hidden="1" customHeight="1">
      <c r="Q4589" s="18"/>
      <c r="R4589" s="14"/>
      <c r="S4589" s="14">
        <v>1</v>
      </c>
    </row>
    <row r="4590" spans="17:19" ht="20.25" hidden="1" customHeight="1">
      <c r="Q4590" s="18"/>
      <c r="R4590" s="14"/>
      <c r="S4590" s="14">
        <v>1</v>
      </c>
    </row>
    <row r="4591" spans="17:19" ht="20.25" hidden="1" customHeight="1">
      <c r="Q4591" s="18"/>
      <c r="R4591" s="14"/>
      <c r="S4591" s="14">
        <v>1</v>
      </c>
    </row>
    <row r="4592" spans="17:19" ht="20.25" hidden="1" customHeight="1">
      <c r="Q4592" s="18"/>
      <c r="R4592" s="14"/>
      <c r="S4592" s="14">
        <v>1</v>
      </c>
    </row>
    <row r="4593" spans="17:19" ht="20.25" hidden="1" customHeight="1">
      <c r="Q4593" s="18"/>
      <c r="R4593" s="14"/>
      <c r="S4593" s="14">
        <v>1</v>
      </c>
    </row>
    <row r="4594" spans="17:19" ht="20.25" hidden="1" customHeight="1">
      <c r="Q4594" s="18"/>
      <c r="R4594" s="14"/>
      <c r="S4594" s="14">
        <v>1</v>
      </c>
    </row>
    <row r="4595" spans="17:19" ht="20.25" hidden="1" customHeight="1">
      <c r="Q4595" s="18"/>
      <c r="R4595" s="14"/>
      <c r="S4595" s="14">
        <v>1</v>
      </c>
    </row>
    <row r="4596" spans="17:19" ht="20.25" hidden="1" customHeight="1">
      <c r="Q4596" s="18"/>
      <c r="R4596" s="14"/>
      <c r="S4596" s="14">
        <v>1</v>
      </c>
    </row>
    <row r="4597" spans="17:19" ht="20.25" hidden="1" customHeight="1">
      <c r="Q4597" s="18"/>
      <c r="R4597" s="14"/>
      <c r="S4597" s="14">
        <v>1</v>
      </c>
    </row>
    <row r="4598" spans="17:19" ht="20.25" hidden="1" customHeight="1">
      <c r="Q4598" s="18"/>
      <c r="R4598" s="14"/>
      <c r="S4598" s="14">
        <v>1</v>
      </c>
    </row>
    <row r="4599" spans="17:19" ht="20.25" hidden="1" customHeight="1">
      <c r="Q4599" s="18"/>
      <c r="R4599" s="14"/>
      <c r="S4599" s="14">
        <v>1</v>
      </c>
    </row>
    <row r="4600" spans="17:19" ht="20.25" hidden="1" customHeight="1">
      <c r="Q4600" s="18"/>
      <c r="R4600" s="14"/>
      <c r="S4600" s="14">
        <v>1</v>
      </c>
    </row>
    <row r="4601" spans="17:19" ht="20.25" hidden="1" customHeight="1">
      <c r="Q4601" s="18"/>
      <c r="R4601" s="14"/>
      <c r="S4601" s="14">
        <v>1</v>
      </c>
    </row>
    <row r="4602" spans="17:19" ht="20.25" hidden="1" customHeight="1">
      <c r="Q4602" s="18"/>
      <c r="R4602" s="14"/>
      <c r="S4602" s="14">
        <v>1</v>
      </c>
    </row>
    <row r="4603" spans="17:19" ht="20.25" hidden="1" customHeight="1">
      <c r="Q4603" s="18"/>
      <c r="R4603" s="14"/>
      <c r="S4603" s="14">
        <v>1</v>
      </c>
    </row>
    <row r="4604" spans="17:19" ht="20.25" hidden="1" customHeight="1">
      <c r="Q4604" s="18"/>
      <c r="R4604" s="14"/>
      <c r="S4604" s="14">
        <v>1</v>
      </c>
    </row>
    <row r="4605" spans="17:19" ht="20.25" hidden="1" customHeight="1">
      <c r="Q4605" s="18"/>
      <c r="R4605" s="14"/>
      <c r="S4605" s="14">
        <v>1</v>
      </c>
    </row>
    <row r="4606" spans="17:19" ht="20.25" hidden="1" customHeight="1">
      <c r="Q4606" s="18"/>
      <c r="R4606" s="14"/>
      <c r="S4606" s="14">
        <v>1</v>
      </c>
    </row>
    <row r="4607" spans="17:19" ht="20.25" hidden="1" customHeight="1">
      <c r="Q4607" s="18"/>
      <c r="R4607" s="14"/>
      <c r="S4607" s="14">
        <v>1</v>
      </c>
    </row>
    <row r="4608" spans="17:19" ht="20.25" hidden="1" customHeight="1">
      <c r="Q4608" s="18"/>
      <c r="R4608" s="14"/>
      <c r="S4608" s="14">
        <v>1</v>
      </c>
    </row>
    <row r="4609" spans="17:19" ht="20.25" hidden="1" customHeight="1">
      <c r="Q4609" s="18"/>
      <c r="R4609" s="14"/>
      <c r="S4609" s="14">
        <v>1</v>
      </c>
    </row>
    <row r="4610" spans="17:19" ht="20.25" hidden="1" customHeight="1">
      <c r="Q4610" s="18"/>
      <c r="R4610" s="14"/>
      <c r="S4610" s="14">
        <v>1</v>
      </c>
    </row>
    <row r="4611" spans="17:19" ht="20.25" hidden="1" customHeight="1">
      <c r="Q4611" s="18"/>
      <c r="R4611" s="14"/>
      <c r="S4611" s="14">
        <v>1</v>
      </c>
    </row>
    <row r="4612" spans="17:19" ht="20.25" hidden="1" customHeight="1">
      <c r="Q4612" s="18"/>
      <c r="R4612" s="14"/>
      <c r="S4612" s="14">
        <v>1</v>
      </c>
    </row>
    <row r="4613" spans="17:19" ht="20.25" hidden="1" customHeight="1">
      <c r="Q4613" s="18"/>
      <c r="R4613" s="14"/>
      <c r="S4613" s="14">
        <v>1</v>
      </c>
    </row>
    <row r="4614" spans="17:19" ht="20.25" hidden="1" customHeight="1">
      <c r="Q4614" s="18"/>
      <c r="R4614" s="14"/>
      <c r="S4614" s="14">
        <v>1</v>
      </c>
    </row>
    <row r="4615" spans="17:19" ht="20.25" hidden="1" customHeight="1">
      <c r="Q4615" s="18"/>
      <c r="R4615" s="14"/>
      <c r="S4615" s="14">
        <v>1</v>
      </c>
    </row>
    <row r="4616" spans="17:19" ht="20.25" hidden="1" customHeight="1">
      <c r="Q4616" s="18"/>
      <c r="R4616" s="14"/>
      <c r="S4616" s="14">
        <v>1</v>
      </c>
    </row>
    <row r="4617" spans="17:19" ht="20.25" hidden="1" customHeight="1">
      <c r="Q4617" s="18"/>
      <c r="R4617" s="14"/>
      <c r="S4617" s="14">
        <v>1</v>
      </c>
    </row>
    <row r="4618" spans="17:19" ht="20.25" hidden="1" customHeight="1">
      <c r="Q4618" s="18"/>
      <c r="R4618" s="14"/>
      <c r="S4618" s="14">
        <v>1</v>
      </c>
    </row>
    <row r="4619" spans="17:19" ht="20.25" hidden="1" customHeight="1">
      <c r="Q4619" s="18"/>
      <c r="R4619" s="14"/>
      <c r="S4619" s="14">
        <v>1</v>
      </c>
    </row>
    <row r="4620" spans="17:19" ht="20.25" hidden="1" customHeight="1">
      <c r="Q4620" s="18"/>
      <c r="R4620" s="14"/>
      <c r="S4620" s="14">
        <v>1</v>
      </c>
    </row>
    <row r="4621" spans="17:19" ht="20.25" hidden="1" customHeight="1">
      <c r="Q4621" s="18"/>
      <c r="R4621" s="14"/>
      <c r="S4621" s="14">
        <v>1</v>
      </c>
    </row>
    <row r="4622" spans="17:19" ht="20.25" hidden="1" customHeight="1">
      <c r="Q4622" s="18"/>
      <c r="R4622" s="14"/>
      <c r="S4622" s="14">
        <v>1</v>
      </c>
    </row>
    <row r="4623" spans="17:19" ht="20.25" hidden="1" customHeight="1">
      <c r="Q4623" s="18"/>
      <c r="R4623" s="14"/>
      <c r="S4623" s="14">
        <v>1</v>
      </c>
    </row>
    <row r="4624" spans="17:19" ht="20.25" hidden="1" customHeight="1">
      <c r="Q4624" s="18"/>
      <c r="R4624" s="14"/>
      <c r="S4624" s="14">
        <v>1</v>
      </c>
    </row>
    <row r="4625" spans="17:19" ht="20.25" hidden="1" customHeight="1">
      <c r="Q4625" s="18"/>
      <c r="R4625" s="14"/>
      <c r="S4625" s="14">
        <v>1</v>
      </c>
    </row>
    <row r="4626" spans="17:19" ht="20.25" hidden="1" customHeight="1">
      <c r="Q4626" s="18"/>
      <c r="R4626" s="14"/>
      <c r="S4626" s="14">
        <v>1</v>
      </c>
    </row>
    <row r="4627" spans="17:19" ht="20.25" hidden="1" customHeight="1">
      <c r="Q4627" s="18"/>
      <c r="R4627" s="14"/>
      <c r="S4627" s="14">
        <v>1</v>
      </c>
    </row>
    <row r="4628" spans="17:19" ht="20.25" hidden="1" customHeight="1">
      <c r="Q4628" s="18"/>
      <c r="R4628" s="14"/>
      <c r="S4628" s="14">
        <v>1</v>
      </c>
    </row>
    <row r="4629" spans="17:19" ht="20.25" hidden="1" customHeight="1">
      <c r="Q4629" s="18"/>
      <c r="R4629" s="14"/>
      <c r="S4629" s="14">
        <v>1</v>
      </c>
    </row>
    <row r="4630" spans="17:19" ht="20.25" hidden="1" customHeight="1">
      <c r="Q4630" s="18"/>
      <c r="R4630" s="14"/>
      <c r="S4630" s="14">
        <v>1</v>
      </c>
    </row>
    <row r="4631" spans="17:19" ht="20.25" hidden="1" customHeight="1">
      <c r="Q4631" s="18"/>
      <c r="R4631" s="14"/>
      <c r="S4631" s="14">
        <v>1</v>
      </c>
    </row>
    <row r="4632" spans="17:19" ht="20.25" hidden="1" customHeight="1">
      <c r="Q4632" s="18"/>
      <c r="R4632" s="14"/>
      <c r="S4632" s="14">
        <v>1</v>
      </c>
    </row>
    <row r="4633" spans="17:19" ht="20.25" hidden="1" customHeight="1">
      <c r="Q4633" s="18"/>
      <c r="R4633" s="14"/>
      <c r="S4633" s="14">
        <v>1</v>
      </c>
    </row>
    <row r="4634" spans="17:19" ht="20.25" hidden="1" customHeight="1">
      <c r="Q4634" s="18"/>
      <c r="R4634" s="14"/>
      <c r="S4634" s="14">
        <v>1</v>
      </c>
    </row>
    <row r="4635" spans="17:19" ht="20.25" hidden="1" customHeight="1">
      <c r="Q4635" s="18"/>
      <c r="R4635" s="14"/>
      <c r="S4635" s="14">
        <v>1</v>
      </c>
    </row>
    <row r="4636" spans="17:19" ht="20.25" hidden="1" customHeight="1">
      <c r="Q4636" s="18"/>
      <c r="R4636" s="14"/>
      <c r="S4636" s="14">
        <v>1</v>
      </c>
    </row>
    <row r="4637" spans="17:19" ht="20.25" hidden="1" customHeight="1">
      <c r="Q4637" s="18"/>
      <c r="R4637" s="14"/>
      <c r="S4637" s="14">
        <v>1</v>
      </c>
    </row>
    <row r="4638" spans="17:19" ht="20.25" hidden="1" customHeight="1">
      <c r="Q4638" s="18"/>
      <c r="R4638" s="14"/>
      <c r="S4638" s="14">
        <v>1</v>
      </c>
    </row>
    <row r="4639" spans="17:19" ht="20.25" hidden="1" customHeight="1">
      <c r="Q4639" s="18"/>
      <c r="R4639" s="14"/>
      <c r="S4639" s="14">
        <v>1</v>
      </c>
    </row>
    <row r="4640" spans="17:19" ht="20.25" hidden="1" customHeight="1">
      <c r="Q4640" s="18"/>
      <c r="R4640" s="14"/>
      <c r="S4640" s="14">
        <v>1</v>
      </c>
    </row>
    <row r="4641" spans="17:19" ht="20.25" hidden="1" customHeight="1">
      <c r="Q4641" s="18"/>
      <c r="R4641" s="14"/>
      <c r="S4641" s="14">
        <v>1</v>
      </c>
    </row>
    <row r="4642" spans="17:19" ht="20.25" hidden="1" customHeight="1">
      <c r="Q4642" s="18"/>
      <c r="R4642" s="14"/>
      <c r="S4642" s="14">
        <v>1</v>
      </c>
    </row>
    <row r="4643" spans="17:19" ht="20.25" hidden="1" customHeight="1">
      <c r="Q4643" s="18"/>
      <c r="R4643" s="14"/>
      <c r="S4643" s="14">
        <v>1</v>
      </c>
    </row>
    <row r="4644" spans="17:19" ht="20.25" hidden="1" customHeight="1">
      <c r="Q4644" s="18"/>
      <c r="R4644" s="14"/>
      <c r="S4644" s="14">
        <v>1</v>
      </c>
    </row>
    <row r="4645" spans="17:19" ht="20.25" hidden="1" customHeight="1">
      <c r="Q4645" s="18"/>
      <c r="R4645" s="14"/>
      <c r="S4645" s="14">
        <v>1</v>
      </c>
    </row>
    <row r="4646" spans="17:19" ht="20.25" hidden="1" customHeight="1">
      <c r="Q4646" s="18"/>
      <c r="R4646" s="14"/>
      <c r="S4646" s="14">
        <v>1</v>
      </c>
    </row>
    <row r="4647" spans="17:19" ht="20.25" hidden="1" customHeight="1">
      <c r="Q4647" s="18"/>
      <c r="R4647" s="14"/>
      <c r="S4647" s="14">
        <v>1</v>
      </c>
    </row>
    <row r="4648" spans="17:19" ht="20.25" hidden="1" customHeight="1">
      <c r="Q4648" s="18"/>
      <c r="R4648" s="14"/>
      <c r="S4648" s="14">
        <v>1</v>
      </c>
    </row>
    <row r="4649" spans="17:19" ht="20.25" hidden="1" customHeight="1">
      <c r="Q4649" s="18"/>
      <c r="R4649" s="14"/>
      <c r="S4649" s="14">
        <v>1</v>
      </c>
    </row>
    <row r="4650" spans="17:19" ht="20.25" hidden="1" customHeight="1">
      <c r="Q4650" s="18"/>
      <c r="R4650" s="14"/>
      <c r="S4650" s="14">
        <v>1</v>
      </c>
    </row>
    <row r="4651" spans="17:19" ht="20.25" hidden="1" customHeight="1">
      <c r="Q4651" s="18"/>
      <c r="R4651" s="14"/>
      <c r="S4651" s="14">
        <v>1</v>
      </c>
    </row>
    <row r="4652" spans="17:19" ht="20.25" hidden="1" customHeight="1">
      <c r="Q4652" s="18"/>
      <c r="R4652" s="14"/>
      <c r="S4652" s="14">
        <v>1</v>
      </c>
    </row>
    <row r="4653" spans="17:19" ht="20.25" hidden="1" customHeight="1">
      <c r="Q4653" s="18"/>
      <c r="R4653" s="14"/>
      <c r="S4653" s="14">
        <v>1</v>
      </c>
    </row>
    <row r="4654" spans="17:19" ht="20.25" hidden="1" customHeight="1">
      <c r="Q4654" s="18"/>
      <c r="R4654" s="14"/>
      <c r="S4654" s="14">
        <v>1</v>
      </c>
    </row>
    <row r="4655" spans="17:19" ht="20.25" hidden="1" customHeight="1">
      <c r="Q4655" s="18"/>
      <c r="R4655" s="14"/>
      <c r="S4655" s="14">
        <v>1</v>
      </c>
    </row>
    <row r="4656" spans="17:19" ht="20.25" hidden="1" customHeight="1">
      <c r="Q4656" s="18"/>
      <c r="R4656" s="14"/>
      <c r="S4656" s="14">
        <v>1</v>
      </c>
    </row>
    <row r="4657" spans="17:19" ht="20.25" hidden="1" customHeight="1">
      <c r="Q4657" s="18"/>
      <c r="R4657" s="14"/>
      <c r="S4657" s="14">
        <v>1</v>
      </c>
    </row>
    <row r="4658" spans="17:19" ht="20.25" hidden="1" customHeight="1">
      <c r="Q4658" s="18"/>
      <c r="R4658" s="14"/>
      <c r="S4658" s="14">
        <v>1</v>
      </c>
    </row>
    <row r="4659" spans="17:19" ht="20.25" hidden="1" customHeight="1">
      <c r="Q4659" s="18"/>
      <c r="R4659" s="14"/>
      <c r="S4659" s="14">
        <v>1</v>
      </c>
    </row>
    <row r="4660" spans="17:19" ht="20.25" hidden="1" customHeight="1">
      <c r="Q4660" s="18"/>
      <c r="R4660" s="14"/>
      <c r="S4660" s="14">
        <v>1</v>
      </c>
    </row>
    <row r="4661" spans="17:19" ht="20.25" hidden="1" customHeight="1">
      <c r="Q4661" s="18"/>
      <c r="R4661" s="14"/>
      <c r="S4661" s="14">
        <v>1</v>
      </c>
    </row>
    <row r="4662" spans="17:19" ht="20.25" hidden="1" customHeight="1">
      <c r="Q4662" s="18"/>
      <c r="R4662" s="14"/>
      <c r="S4662" s="14">
        <v>1</v>
      </c>
    </row>
    <row r="4663" spans="17:19" ht="20.25" hidden="1" customHeight="1">
      <c r="Q4663" s="18"/>
      <c r="R4663" s="14"/>
      <c r="S4663" s="14">
        <v>1</v>
      </c>
    </row>
    <row r="4664" spans="17:19" ht="20.25" hidden="1" customHeight="1">
      <c r="Q4664" s="18"/>
      <c r="R4664" s="14"/>
      <c r="S4664" s="14">
        <v>1</v>
      </c>
    </row>
    <row r="4665" spans="17:19" ht="20.25" hidden="1" customHeight="1">
      <c r="Q4665" s="18"/>
      <c r="R4665" s="14"/>
      <c r="S4665" s="14">
        <v>1</v>
      </c>
    </row>
    <row r="4666" spans="17:19" ht="20.25" hidden="1" customHeight="1">
      <c r="Q4666" s="18"/>
      <c r="R4666" s="14"/>
      <c r="S4666" s="14">
        <v>1</v>
      </c>
    </row>
    <row r="4667" spans="17:19" ht="20.25" hidden="1" customHeight="1">
      <c r="Q4667" s="18"/>
      <c r="R4667" s="14"/>
      <c r="S4667" s="14">
        <v>1</v>
      </c>
    </row>
    <row r="4668" spans="17:19" ht="20.25" hidden="1" customHeight="1">
      <c r="Q4668" s="18"/>
      <c r="R4668" s="14"/>
      <c r="S4668" s="14">
        <v>1</v>
      </c>
    </row>
    <row r="4669" spans="17:19" ht="20.25" hidden="1" customHeight="1">
      <c r="Q4669" s="18"/>
      <c r="R4669" s="14"/>
      <c r="S4669" s="14">
        <v>1</v>
      </c>
    </row>
    <row r="4670" spans="17:19" ht="20.25" hidden="1" customHeight="1">
      <c r="Q4670" s="18"/>
      <c r="R4670" s="14"/>
      <c r="S4670" s="14">
        <v>1</v>
      </c>
    </row>
    <row r="4671" spans="17:19" ht="20.25" hidden="1" customHeight="1">
      <c r="Q4671" s="18"/>
      <c r="R4671" s="14"/>
      <c r="S4671" s="14">
        <v>1</v>
      </c>
    </row>
    <row r="4672" spans="17:19" ht="20.25" hidden="1" customHeight="1">
      <c r="Q4672" s="18"/>
      <c r="R4672" s="14"/>
      <c r="S4672" s="14">
        <v>1</v>
      </c>
    </row>
    <row r="4673" spans="17:19" ht="20.25" hidden="1" customHeight="1">
      <c r="Q4673" s="18"/>
      <c r="R4673" s="14"/>
      <c r="S4673" s="14">
        <v>1</v>
      </c>
    </row>
    <row r="4674" spans="17:19" ht="20.25" hidden="1" customHeight="1">
      <c r="Q4674" s="18"/>
      <c r="R4674" s="14"/>
      <c r="S4674" s="14">
        <v>1</v>
      </c>
    </row>
    <row r="4675" spans="17:19" ht="20.25" hidden="1" customHeight="1">
      <c r="Q4675" s="18"/>
      <c r="R4675" s="14"/>
      <c r="S4675" s="14">
        <v>1</v>
      </c>
    </row>
    <row r="4676" spans="17:19" ht="20.25" hidden="1" customHeight="1">
      <c r="Q4676" s="18"/>
      <c r="R4676" s="14"/>
      <c r="S4676" s="14">
        <v>1</v>
      </c>
    </row>
    <row r="4677" spans="17:19" ht="20.25" hidden="1" customHeight="1">
      <c r="Q4677" s="18"/>
      <c r="R4677" s="14"/>
      <c r="S4677" s="14">
        <v>1</v>
      </c>
    </row>
    <row r="4678" spans="17:19" ht="20.25" hidden="1" customHeight="1">
      <c r="Q4678" s="18"/>
      <c r="R4678" s="14"/>
      <c r="S4678" s="14">
        <v>1</v>
      </c>
    </row>
    <row r="4679" spans="17:19" ht="20.25" hidden="1" customHeight="1">
      <c r="Q4679" s="18"/>
      <c r="R4679" s="14"/>
      <c r="S4679" s="14">
        <v>1</v>
      </c>
    </row>
    <row r="4680" spans="17:19" ht="20.25" hidden="1" customHeight="1">
      <c r="Q4680" s="18"/>
      <c r="R4680" s="14"/>
      <c r="S4680" s="14">
        <v>1</v>
      </c>
    </row>
    <row r="4681" spans="17:19" ht="20.25" hidden="1" customHeight="1">
      <c r="Q4681" s="18"/>
      <c r="R4681" s="14"/>
      <c r="S4681" s="14">
        <v>1</v>
      </c>
    </row>
    <row r="4682" spans="17:19" ht="20.25" hidden="1" customHeight="1">
      <c r="Q4682" s="18"/>
      <c r="R4682" s="14"/>
      <c r="S4682" s="14">
        <v>1</v>
      </c>
    </row>
    <row r="4683" spans="17:19" ht="20.25" hidden="1" customHeight="1">
      <c r="Q4683" s="18"/>
      <c r="R4683" s="14"/>
      <c r="S4683" s="14">
        <v>1</v>
      </c>
    </row>
    <row r="4684" spans="17:19" ht="20.25" hidden="1" customHeight="1">
      <c r="Q4684" s="18"/>
      <c r="R4684" s="14"/>
      <c r="S4684" s="14">
        <v>1</v>
      </c>
    </row>
    <row r="4685" spans="17:19" ht="20.25" hidden="1" customHeight="1">
      <c r="Q4685" s="18"/>
      <c r="R4685" s="14"/>
      <c r="S4685" s="14">
        <v>1</v>
      </c>
    </row>
    <row r="4686" spans="17:19" ht="20.25" hidden="1" customHeight="1">
      <c r="Q4686" s="18"/>
      <c r="R4686" s="14"/>
      <c r="S4686" s="14">
        <v>1</v>
      </c>
    </row>
    <row r="4687" spans="17:19" ht="20.25" hidden="1" customHeight="1">
      <c r="Q4687" s="18"/>
      <c r="R4687" s="14"/>
      <c r="S4687" s="14">
        <v>1</v>
      </c>
    </row>
    <row r="4688" spans="17:19" ht="20.25" hidden="1" customHeight="1">
      <c r="Q4688" s="18"/>
      <c r="R4688" s="14"/>
      <c r="S4688" s="14">
        <v>1</v>
      </c>
    </row>
    <row r="4689" spans="17:19" ht="20.25" hidden="1" customHeight="1">
      <c r="Q4689" s="18"/>
      <c r="R4689" s="14"/>
      <c r="S4689" s="14">
        <v>1</v>
      </c>
    </row>
    <row r="4690" spans="17:19" ht="20.25" hidden="1" customHeight="1">
      <c r="Q4690" s="18"/>
      <c r="R4690" s="14"/>
      <c r="S4690" s="14">
        <v>1</v>
      </c>
    </row>
    <row r="4691" spans="17:19" ht="20.25" hidden="1" customHeight="1">
      <c r="Q4691" s="18"/>
      <c r="R4691" s="14"/>
      <c r="S4691" s="14">
        <v>1</v>
      </c>
    </row>
    <row r="4692" spans="17:19" ht="20.25" hidden="1" customHeight="1">
      <c r="Q4692" s="18"/>
      <c r="R4692" s="14"/>
      <c r="S4692" s="14">
        <v>1</v>
      </c>
    </row>
    <row r="4693" spans="17:19" ht="20.25" hidden="1" customHeight="1">
      <c r="Q4693" s="18"/>
      <c r="R4693" s="14"/>
      <c r="S4693" s="14">
        <v>1</v>
      </c>
    </row>
    <row r="4694" spans="17:19" ht="20.25" hidden="1" customHeight="1">
      <c r="Q4694" s="18"/>
      <c r="R4694" s="14"/>
      <c r="S4694" s="14">
        <v>1</v>
      </c>
    </row>
    <row r="4695" spans="17:19" ht="20.25" hidden="1" customHeight="1">
      <c r="Q4695" s="18"/>
      <c r="R4695" s="14"/>
      <c r="S4695" s="14">
        <v>1</v>
      </c>
    </row>
    <row r="4696" spans="17:19" ht="20.25" hidden="1" customHeight="1">
      <c r="Q4696" s="18"/>
      <c r="R4696" s="14"/>
      <c r="S4696" s="14">
        <v>1</v>
      </c>
    </row>
    <row r="4697" spans="17:19" ht="20.25" hidden="1" customHeight="1">
      <c r="Q4697" s="18"/>
      <c r="R4697" s="14"/>
      <c r="S4697" s="14">
        <v>1</v>
      </c>
    </row>
    <row r="4698" spans="17:19" ht="20.25" hidden="1" customHeight="1">
      <c r="Q4698" s="18"/>
      <c r="R4698" s="14"/>
      <c r="S4698" s="14">
        <v>1</v>
      </c>
    </row>
    <row r="4699" spans="17:19" ht="20.25" hidden="1" customHeight="1">
      <c r="Q4699" s="18"/>
      <c r="R4699" s="14"/>
      <c r="S4699" s="14">
        <v>1</v>
      </c>
    </row>
    <row r="4700" spans="17:19" ht="20.25" hidden="1" customHeight="1">
      <c r="Q4700" s="18"/>
      <c r="R4700" s="14"/>
      <c r="S4700" s="14">
        <v>1</v>
      </c>
    </row>
    <row r="4701" spans="17:19" ht="20.25" hidden="1" customHeight="1">
      <c r="Q4701" s="18"/>
      <c r="R4701" s="14"/>
      <c r="S4701" s="14">
        <v>1</v>
      </c>
    </row>
    <row r="4702" spans="17:19" ht="20.25" hidden="1" customHeight="1">
      <c r="Q4702" s="18"/>
      <c r="R4702" s="14"/>
      <c r="S4702" s="14">
        <v>1</v>
      </c>
    </row>
    <row r="4703" spans="17:19" ht="20.25" hidden="1" customHeight="1">
      <c r="Q4703" s="18"/>
      <c r="R4703" s="14"/>
      <c r="S4703" s="14">
        <v>1</v>
      </c>
    </row>
    <row r="4704" spans="17:19" ht="20.25" hidden="1" customHeight="1">
      <c r="Q4704" s="18"/>
      <c r="R4704" s="14"/>
      <c r="S4704" s="14">
        <v>1</v>
      </c>
    </row>
    <row r="4705" spans="17:19" ht="20.25" hidden="1" customHeight="1">
      <c r="Q4705" s="18"/>
      <c r="R4705" s="14"/>
      <c r="S4705" s="14">
        <v>1</v>
      </c>
    </row>
    <row r="4706" spans="17:19" ht="20.25" hidden="1" customHeight="1">
      <c r="Q4706" s="18"/>
      <c r="R4706" s="14"/>
      <c r="S4706" s="14">
        <v>1</v>
      </c>
    </row>
    <row r="4707" spans="17:19" ht="20.25" hidden="1" customHeight="1">
      <c r="Q4707" s="18"/>
      <c r="R4707" s="14"/>
      <c r="S4707" s="14">
        <v>1</v>
      </c>
    </row>
    <row r="4708" spans="17:19" ht="20.25" hidden="1" customHeight="1">
      <c r="Q4708" s="18"/>
      <c r="R4708" s="14"/>
      <c r="S4708" s="14">
        <v>1</v>
      </c>
    </row>
    <row r="4709" spans="17:19" ht="20.25" hidden="1" customHeight="1">
      <c r="Q4709" s="18"/>
      <c r="R4709" s="14"/>
      <c r="S4709" s="14">
        <v>1</v>
      </c>
    </row>
    <row r="4710" spans="17:19" ht="20.25" hidden="1" customHeight="1">
      <c r="Q4710" s="18"/>
      <c r="R4710" s="14"/>
      <c r="S4710" s="14">
        <v>1</v>
      </c>
    </row>
    <row r="4711" spans="17:19" ht="20.25" hidden="1" customHeight="1">
      <c r="Q4711" s="18"/>
      <c r="R4711" s="14"/>
      <c r="S4711" s="14">
        <v>1</v>
      </c>
    </row>
    <row r="4712" spans="17:19" ht="20.25" hidden="1" customHeight="1">
      <c r="Q4712" s="18"/>
      <c r="R4712" s="14"/>
      <c r="S4712" s="14">
        <v>1</v>
      </c>
    </row>
    <row r="4713" spans="17:19" ht="20.25" hidden="1" customHeight="1">
      <c r="Q4713" s="18"/>
      <c r="R4713" s="14"/>
      <c r="S4713" s="14">
        <v>1</v>
      </c>
    </row>
    <row r="4714" spans="17:19" ht="20.25" hidden="1" customHeight="1">
      <c r="Q4714" s="18"/>
      <c r="R4714" s="14"/>
      <c r="S4714" s="14">
        <v>1</v>
      </c>
    </row>
    <row r="4715" spans="17:19" ht="20.25" hidden="1" customHeight="1">
      <c r="Q4715" s="18"/>
      <c r="R4715" s="14"/>
      <c r="S4715" s="14">
        <v>1</v>
      </c>
    </row>
    <row r="4716" spans="17:19" ht="20.25" hidden="1" customHeight="1">
      <c r="Q4716" s="18"/>
      <c r="R4716" s="14"/>
      <c r="S4716" s="14">
        <v>1</v>
      </c>
    </row>
    <row r="4717" spans="17:19" ht="20.25" hidden="1" customHeight="1">
      <c r="Q4717" s="18"/>
      <c r="R4717" s="14"/>
      <c r="S4717" s="14">
        <v>1</v>
      </c>
    </row>
    <row r="4718" spans="17:19" ht="20.25" hidden="1" customHeight="1">
      <c r="Q4718" s="18"/>
      <c r="R4718" s="14"/>
      <c r="S4718" s="14">
        <v>1</v>
      </c>
    </row>
    <row r="4719" spans="17:19" ht="20.25" hidden="1" customHeight="1">
      <c r="Q4719" s="18"/>
      <c r="R4719" s="14"/>
      <c r="S4719" s="14">
        <v>1</v>
      </c>
    </row>
    <row r="4720" spans="17:19" ht="20.25" hidden="1" customHeight="1">
      <c r="Q4720" s="18"/>
      <c r="R4720" s="14"/>
      <c r="S4720" s="14">
        <v>1</v>
      </c>
    </row>
    <row r="4721" spans="17:19" ht="20.25" hidden="1" customHeight="1">
      <c r="Q4721" s="18"/>
      <c r="R4721" s="14"/>
      <c r="S4721" s="14">
        <v>1</v>
      </c>
    </row>
    <row r="4722" spans="17:19" ht="20.25" hidden="1" customHeight="1">
      <c r="Q4722" s="18"/>
      <c r="R4722" s="14"/>
      <c r="S4722" s="14">
        <v>1</v>
      </c>
    </row>
    <row r="4723" spans="17:19" ht="20.25" hidden="1" customHeight="1">
      <c r="Q4723" s="18"/>
      <c r="R4723" s="14"/>
      <c r="S4723" s="14">
        <v>1</v>
      </c>
    </row>
    <row r="4724" spans="17:19" ht="20.25" hidden="1" customHeight="1">
      <c r="Q4724" s="18"/>
      <c r="R4724" s="14"/>
      <c r="S4724" s="14">
        <v>1</v>
      </c>
    </row>
    <row r="4725" spans="17:19" ht="20.25" hidden="1" customHeight="1">
      <c r="Q4725" s="18"/>
      <c r="R4725" s="14"/>
      <c r="S4725" s="14">
        <v>1</v>
      </c>
    </row>
    <row r="4726" spans="17:19" ht="20.25" hidden="1" customHeight="1">
      <c r="Q4726" s="18"/>
      <c r="R4726" s="14"/>
      <c r="S4726" s="14">
        <v>1</v>
      </c>
    </row>
    <row r="4727" spans="17:19" ht="20.25" hidden="1" customHeight="1">
      <c r="Q4727" s="18"/>
      <c r="R4727" s="14"/>
      <c r="S4727" s="14">
        <v>1</v>
      </c>
    </row>
    <row r="4728" spans="17:19" ht="20.25" hidden="1" customHeight="1">
      <c r="Q4728" s="18"/>
      <c r="R4728" s="14"/>
      <c r="S4728" s="14">
        <v>1</v>
      </c>
    </row>
    <row r="4729" spans="17:19" ht="20.25" hidden="1" customHeight="1">
      <c r="Q4729" s="18"/>
      <c r="R4729" s="14"/>
      <c r="S4729" s="14">
        <v>1</v>
      </c>
    </row>
    <row r="4730" spans="17:19" ht="20.25" hidden="1" customHeight="1">
      <c r="Q4730" s="18"/>
      <c r="R4730" s="14"/>
      <c r="S4730" s="14">
        <v>1</v>
      </c>
    </row>
    <row r="4731" spans="17:19" ht="20.25" hidden="1" customHeight="1">
      <c r="Q4731" s="18"/>
      <c r="R4731" s="14"/>
      <c r="S4731" s="14">
        <v>1</v>
      </c>
    </row>
    <row r="4732" spans="17:19" ht="20.25" hidden="1" customHeight="1">
      <c r="Q4732" s="18"/>
      <c r="R4732" s="14"/>
      <c r="S4732" s="14">
        <v>1</v>
      </c>
    </row>
    <row r="4733" spans="17:19" ht="20.25" hidden="1" customHeight="1">
      <c r="Q4733" s="18"/>
      <c r="R4733" s="14"/>
      <c r="S4733" s="14">
        <v>1</v>
      </c>
    </row>
    <row r="4734" spans="17:19" ht="20.25" hidden="1" customHeight="1">
      <c r="Q4734" s="18"/>
      <c r="R4734" s="14"/>
      <c r="S4734" s="14">
        <v>1</v>
      </c>
    </row>
    <row r="4735" spans="17:19" ht="20.25" hidden="1" customHeight="1">
      <c r="Q4735" s="18"/>
      <c r="R4735" s="14"/>
      <c r="S4735" s="14">
        <v>1</v>
      </c>
    </row>
    <row r="4736" spans="17:19" ht="20.25" hidden="1" customHeight="1">
      <c r="Q4736" s="18"/>
      <c r="R4736" s="14"/>
      <c r="S4736" s="14">
        <v>1</v>
      </c>
    </row>
    <row r="4737" spans="17:19" ht="20.25" hidden="1" customHeight="1">
      <c r="Q4737" s="18"/>
      <c r="R4737" s="14"/>
      <c r="S4737" s="14">
        <v>1</v>
      </c>
    </row>
    <row r="4738" spans="17:19" ht="20.25" hidden="1" customHeight="1">
      <c r="Q4738" s="18"/>
      <c r="R4738" s="14"/>
      <c r="S4738" s="14">
        <v>1</v>
      </c>
    </row>
    <row r="4739" spans="17:19" ht="20.25" hidden="1" customHeight="1">
      <c r="Q4739" s="18"/>
      <c r="R4739" s="14"/>
      <c r="S4739" s="14">
        <v>1</v>
      </c>
    </row>
    <row r="4740" spans="17:19" ht="20.25" hidden="1" customHeight="1">
      <c r="Q4740" s="18"/>
      <c r="R4740" s="14"/>
      <c r="S4740" s="14">
        <v>1</v>
      </c>
    </row>
    <row r="4741" spans="17:19" ht="20.25" hidden="1" customHeight="1">
      <c r="Q4741" s="18"/>
      <c r="R4741" s="14"/>
      <c r="S4741" s="14">
        <v>1</v>
      </c>
    </row>
    <row r="4742" spans="17:19" ht="20.25" hidden="1" customHeight="1">
      <c r="Q4742" s="18"/>
      <c r="R4742" s="14"/>
      <c r="S4742" s="14">
        <v>1</v>
      </c>
    </row>
    <row r="4743" spans="17:19" ht="20.25" hidden="1" customHeight="1">
      <c r="Q4743" s="18"/>
      <c r="R4743" s="14"/>
      <c r="S4743" s="14">
        <v>1</v>
      </c>
    </row>
    <row r="4744" spans="17:19" ht="20.25" hidden="1" customHeight="1">
      <c r="Q4744" s="18"/>
      <c r="R4744" s="14"/>
      <c r="S4744" s="14">
        <v>1</v>
      </c>
    </row>
    <row r="4745" spans="17:19" ht="20.25" hidden="1" customHeight="1">
      <c r="Q4745" s="18"/>
      <c r="R4745" s="14"/>
      <c r="S4745" s="14">
        <v>1</v>
      </c>
    </row>
    <row r="4746" spans="17:19" ht="20.25" hidden="1" customHeight="1">
      <c r="Q4746" s="18"/>
      <c r="R4746" s="14"/>
      <c r="S4746" s="14">
        <v>1</v>
      </c>
    </row>
    <row r="4747" spans="17:19" ht="20.25" hidden="1" customHeight="1">
      <c r="Q4747" s="18"/>
      <c r="R4747" s="14"/>
      <c r="S4747" s="14">
        <v>1</v>
      </c>
    </row>
    <row r="4748" spans="17:19" ht="20.25" hidden="1" customHeight="1">
      <c r="Q4748" s="18"/>
      <c r="R4748" s="14"/>
      <c r="S4748" s="14">
        <v>1</v>
      </c>
    </row>
    <row r="4749" spans="17:19" ht="20.25" hidden="1" customHeight="1">
      <c r="Q4749" s="18"/>
      <c r="R4749" s="14"/>
      <c r="S4749" s="14">
        <v>1</v>
      </c>
    </row>
    <row r="4750" spans="17:19" ht="20.25" hidden="1" customHeight="1">
      <c r="Q4750" s="18"/>
      <c r="R4750" s="14"/>
      <c r="S4750" s="14">
        <v>1</v>
      </c>
    </row>
    <row r="4751" spans="17:19" ht="20.25" hidden="1" customHeight="1">
      <c r="Q4751" s="18"/>
      <c r="R4751" s="14"/>
      <c r="S4751" s="14">
        <v>1</v>
      </c>
    </row>
    <row r="4752" spans="17:19" ht="20.25" hidden="1" customHeight="1">
      <c r="Q4752" s="18"/>
      <c r="R4752" s="14"/>
      <c r="S4752" s="14">
        <v>1</v>
      </c>
    </row>
    <row r="4753" spans="17:19" ht="20.25" hidden="1" customHeight="1">
      <c r="Q4753" s="18"/>
      <c r="R4753" s="14"/>
      <c r="S4753" s="14">
        <v>1</v>
      </c>
    </row>
    <row r="4754" spans="17:19" ht="20.25" hidden="1" customHeight="1">
      <c r="Q4754" s="18"/>
      <c r="R4754" s="14"/>
      <c r="S4754" s="14">
        <v>1</v>
      </c>
    </row>
    <row r="4755" spans="17:19" ht="20.25" hidden="1" customHeight="1">
      <c r="Q4755" s="18"/>
      <c r="R4755" s="14"/>
      <c r="S4755" s="14">
        <v>1</v>
      </c>
    </row>
    <row r="4756" spans="17:19" ht="20.25" hidden="1" customHeight="1">
      <c r="Q4756" s="18"/>
      <c r="R4756" s="14"/>
      <c r="S4756" s="14">
        <v>1</v>
      </c>
    </row>
    <row r="4757" spans="17:19" ht="20.25" hidden="1" customHeight="1">
      <c r="Q4757" s="18"/>
      <c r="R4757" s="14"/>
      <c r="S4757" s="14">
        <v>1</v>
      </c>
    </row>
    <row r="4758" spans="17:19" ht="20.25" hidden="1" customHeight="1">
      <c r="Q4758" s="18"/>
      <c r="R4758" s="14"/>
      <c r="S4758" s="14">
        <v>1</v>
      </c>
    </row>
    <row r="4759" spans="17:19" ht="20.25" hidden="1" customHeight="1">
      <c r="Q4759" s="18"/>
      <c r="R4759" s="14"/>
      <c r="S4759" s="14">
        <v>1</v>
      </c>
    </row>
    <row r="4760" spans="17:19" ht="20.25" hidden="1" customHeight="1">
      <c r="Q4760" s="18"/>
      <c r="R4760" s="14"/>
      <c r="S4760" s="14">
        <v>1</v>
      </c>
    </row>
    <row r="4761" spans="17:19" ht="20.25" hidden="1" customHeight="1">
      <c r="Q4761" s="18"/>
      <c r="R4761" s="14"/>
      <c r="S4761" s="14">
        <v>1</v>
      </c>
    </row>
    <row r="4762" spans="17:19" ht="20.25" hidden="1" customHeight="1">
      <c r="Q4762" s="18"/>
      <c r="R4762" s="14"/>
      <c r="S4762" s="14">
        <v>1</v>
      </c>
    </row>
    <row r="4763" spans="17:19" ht="20.25" hidden="1" customHeight="1">
      <c r="Q4763" s="18"/>
      <c r="R4763" s="14"/>
      <c r="S4763" s="14">
        <v>1</v>
      </c>
    </row>
    <row r="4764" spans="17:19" ht="20.25" hidden="1" customHeight="1">
      <c r="Q4764" s="18"/>
      <c r="R4764" s="14"/>
      <c r="S4764" s="14">
        <v>1</v>
      </c>
    </row>
    <row r="4765" spans="17:19" ht="20.25" hidden="1" customHeight="1">
      <c r="Q4765" s="18"/>
      <c r="R4765" s="14"/>
      <c r="S4765" s="14">
        <v>1</v>
      </c>
    </row>
    <row r="4766" spans="17:19" ht="20.25" hidden="1" customHeight="1">
      <c r="Q4766" s="18"/>
      <c r="R4766" s="14"/>
      <c r="S4766" s="14">
        <v>1</v>
      </c>
    </row>
    <row r="4767" spans="17:19" ht="20.25" hidden="1" customHeight="1">
      <c r="Q4767" s="18"/>
      <c r="R4767" s="14"/>
      <c r="S4767" s="14">
        <v>1</v>
      </c>
    </row>
    <row r="4768" spans="17:19" ht="20.25" hidden="1" customHeight="1">
      <c r="Q4768" s="18"/>
      <c r="R4768" s="14"/>
      <c r="S4768" s="14">
        <v>1</v>
      </c>
    </row>
    <row r="4769" spans="17:19" ht="20.25" hidden="1" customHeight="1">
      <c r="Q4769" s="18"/>
      <c r="R4769" s="14"/>
      <c r="S4769" s="14">
        <v>1</v>
      </c>
    </row>
    <row r="4770" spans="17:19" ht="20.25" hidden="1" customHeight="1">
      <c r="Q4770" s="18"/>
      <c r="R4770" s="14"/>
      <c r="S4770" s="14">
        <v>1</v>
      </c>
    </row>
    <row r="4771" spans="17:19" ht="20.25" hidden="1" customHeight="1">
      <c r="Q4771" s="18"/>
      <c r="R4771" s="14"/>
      <c r="S4771" s="14">
        <v>1</v>
      </c>
    </row>
    <row r="4772" spans="17:19" ht="20.25" hidden="1" customHeight="1">
      <c r="Q4772" s="18"/>
      <c r="R4772" s="14"/>
      <c r="S4772" s="14">
        <v>1</v>
      </c>
    </row>
    <row r="4773" spans="17:19" ht="20.25" hidden="1" customHeight="1">
      <c r="Q4773" s="18"/>
      <c r="R4773" s="14"/>
      <c r="S4773" s="14">
        <v>1</v>
      </c>
    </row>
    <row r="4774" spans="17:19" ht="20.25" hidden="1" customHeight="1">
      <c r="Q4774" s="18"/>
      <c r="R4774" s="14"/>
      <c r="S4774" s="14">
        <v>1</v>
      </c>
    </row>
    <row r="4775" spans="17:19" ht="20.25" hidden="1" customHeight="1">
      <c r="Q4775" s="18"/>
      <c r="R4775" s="14"/>
      <c r="S4775" s="14">
        <v>1</v>
      </c>
    </row>
    <row r="4776" spans="17:19" ht="20.25" hidden="1" customHeight="1">
      <c r="Q4776" s="18"/>
      <c r="R4776" s="14"/>
      <c r="S4776" s="14">
        <v>1</v>
      </c>
    </row>
    <row r="4777" spans="17:19" ht="20.25" hidden="1" customHeight="1">
      <c r="Q4777" s="18"/>
      <c r="R4777" s="14"/>
      <c r="S4777" s="14">
        <v>1</v>
      </c>
    </row>
    <row r="4778" spans="17:19" ht="20.25" hidden="1" customHeight="1">
      <c r="Q4778" s="18"/>
      <c r="R4778" s="14"/>
      <c r="S4778" s="14">
        <v>1</v>
      </c>
    </row>
    <row r="4779" spans="17:19" ht="20.25" hidden="1" customHeight="1">
      <c r="Q4779" s="18"/>
      <c r="R4779" s="14"/>
      <c r="S4779" s="14">
        <v>1</v>
      </c>
    </row>
    <row r="4780" spans="17:19" ht="20.25" hidden="1" customHeight="1">
      <c r="Q4780" s="18"/>
      <c r="R4780" s="14"/>
      <c r="S4780" s="14">
        <v>1</v>
      </c>
    </row>
    <row r="4781" spans="17:19" ht="20.25" hidden="1" customHeight="1">
      <c r="Q4781" s="18"/>
      <c r="R4781" s="14"/>
      <c r="S4781" s="14">
        <v>1</v>
      </c>
    </row>
    <row r="4782" spans="17:19" ht="20.25" hidden="1" customHeight="1">
      <c r="Q4782" s="18"/>
      <c r="R4782" s="14"/>
      <c r="S4782" s="14">
        <v>1</v>
      </c>
    </row>
    <row r="4783" spans="17:19" ht="20.25" hidden="1" customHeight="1">
      <c r="Q4783" s="18"/>
      <c r="R4783" s="14"/>
      <c r="S4783" s="14">
        <v>1</v>
      </c>
    </row>
    <row r="4784" spans="17:19" ht="20.25" hidden="1" customHeight="1">
      <c r="Q4784" s="18"/>
      <c r="R4784" s="14"/>
      <c r="S4784" s="14">
        <v>1</v>
      </c>
    </row>
    <row r="4785" spans="17:19" ht="20.25" hidden="1" customHeight="1">
      <c r="Q4785" s="18"/>
      <c r="R4785" s="14"/>
      <c r="S4785" s="14">
        <v>1</v>
      </c>
    </row>
    <row r="4786" spans="17:19" ht="20.25" hidden="1" customHeight="1">
      <c r="Q4786" s="18"/>
      <c r="R4786" s="14"/>
      <c r="S4786" s="14">
        <v>1</v>
      </c>
    </row>
    <row r="4787" spans="17:19" ht="20.25" hidden="1" customHeight="1">
      <c r="Q4787" s="18"/>
      <c r="R4787" s="14"/>
      <c r="S4787" s="14">
        <v>1</v>
      </c>
    </row>
    <row r="4788" spans="17:19" ht="20.25" hidden="1" customHeight="1">
      <c r="Q4788" s="18"/>
      <c r="R4788" s="14"/>
      <c r="S4788" s="14">
        <v>1</v>
      </c>
    </row>
    <row r="4789" spans="17:19" ht="20.25" hidden="1" customHeight="1">
      <c r="Q4789" s="18"/>
      <c r="R4789" s="14"/>
      <c r="S4789" s="14">
        <v>1</v>
      </c>
    </row>
    <row r="4790" spans="17:19" ht="20.25" hidden="1" customHeight="1">
      <c r="Q4790" s="18"/>
      <c r="R4790" s="14"/>
      <c r="S4790" s="14">
        <v>1</v>
      </c>
    </row>
    <row r="4791" spans="17:19" ht="20.25" hidden="1" customHeight="1">
      <c r="Q4791" s="18"/>
      <c r="R4791" s="14"/>
      <c r="S4791" s="14">
        <v>1</v>
      </c>
    </row>
    <row r="4792" spans="17:19" ht="20.25" hidden="1" customHeight="1">
      <c r="Q4792" s="18"/>
      <c r="R4792" s="14"/>
      <c r="S4792" s="14">
        <v>1</v>
      </c>
    </row>
    <row r="4793" spans="17:19" ht="20.25" hidden="1" customHeight="1">
      <c r="Q4793" s="18"/>
      <c r="R4793" s="14"/>
      <c r="S4793" s="14">
        <v>1</v>
      </c>
    </row>
    <row r="4794" spans="17:19" ht="20.25" hidden="1" customHeight="1">
      <c r="Q4794" s="18"/>
      <c r="R4794" s="14"/>
      <c r="S4794" s="14">
        <v>1</v>
      </c>
    </row>
    <row r="4795" spans="17:19" ht="20.25" hidden="1" customHeight="1">
      <c r="Q4795" s="18"/>
      <c r="R4795" s="14"/>
      <c r="S4795" s="14">
        <v>1</v>
      </c>
    </row>
    <row r="4796" spans="17:19" ht="20.25" hidden="1" customHeight="1">
      <c r="Q4796" s="18"/>
      <c r="R4796" s="14"/>
      <c r="S4796" s="14">
        <v>1</v>
      </c>
    </row>
    <row r="4797" spans="17:19" ht="20.25" hidden="1" customHeight="1">
      <c r="Q4797" s="18"/>
      <c r="R4797" s="14"/>
      <c r="S4797" s="14">
        <v>1</v>
      </c>
    </row>
    <row r="4798" spans="17:19" ht="20.25" hidden="1" customHeight="1">
      <c r="Q4798" s="18"/>
      <c r="R4798" s="14"/>
      <c r="S4798" s="14">
        <v>1</v>
      </c>
    </row>
    <row r="4799" spans="17:19" ht="20.25" hidden="1" customHeight="1">
      <c r="Q4799" s="18"/>
      <c r="R4799" s="14"/>
      <c r="S4799" s="14">
        <v>1</v>
      </c>
    </row>
    <row r="4800" spans="17:19" ht="20.25" hidden="1" customHeight="1">
      <c r="Q4800" s="18"/>
      <c r="R4800" s="14"/>
      <c r="S4800" s="14">
        <v>1</v>
      </c>
    </row>
    <row r="4801" spans="17:19" ht="20.25" hidden="1" customHeight="1">
      <c r="Q4801" s="18"/>
      <c r="R4801" s="14"/>
      <c r="S4801" s="14">
        <v>1</v>
      </c>
    </row>
    <row r="4802" spans="17:19" ht="20.25" hidden="1" customHeight="1">
      <c r="Q4802" s="18"/>
      <c r="R4802" s="14"/>
      <c r="S4802" s="14">
        <v>1</v>
      </c>
    </row>
    <row r="4803" spans="17:19" ht="20.25" hidden="1" customHeight="1">
      <c r="Q4803" s="18"/>
      <c r="R4803" s="14"/>
      <c r="S4803" s="14">
        <v>1</v>
      </c>
    </row>
    <row r="4804" spans="17:19" ht="20.25" hidden="1" customHeight="1">
      <c r="Q4804" s="18"/>
      <c r="R4804" s="14"/>
      <c r="S4804" s="14">
        <v>1</v>
      </c>
    </row>
    <row r="4805" spans="17:19" ht="20.25" hidden="1" customHeight="1">
      <c r="Q4805" s="18"/>
      <c r="R4805" s="14"/>
      <c r="S4805" s="14">
        <v>1</v>
      </c>
    </row>
    <row r="4806" spans="17:19" ht="20.25" hidden="1" customHeight="1">
      <c r="Q4806" s="18"/>
      <c r="R4806" s="14"/>
      <c r="S4806" s="14">
        <v>1</v>
      </c>
    </row>
    <row r="4807" spans="17:19" ht="20.25" hidden="1" customHeight="1">
      <c r="Q4807" s="18"/>
      <c r="R4807" s="14"/>
      <c r="S4807" s="14">
        <v>1</v>
      </c>
    </row>
    <row r="4808" spans="17:19" ht="20.25" hidden="1" customHeight="1">
      <c r="Q4808" s="18"/>
      <c r="R4808" s="14"/>
      <c r="S4808" s="14">
        <v>1</v>
      </c>
    </row>
    <row r="4809" spans="17:19" ht="20.25" hidden="1" customHeight="1">
      <c r="Q4809" s="18"/>
      <c r="R4809" s="14"/>
      <c r="S4809" s="14">
        <v>1</v>
      </c>
    </row>
    <row r="4810" spans="17:19" ht="20.25" hidden="1" customHeight="1">
      <c r="Q4810" s="18"/>
      <c r="R4810" s="14"/>
      <c r="S4810" s="14">
        <v>1</v>
      </c>
    </row>
    <row r="4811" spans="17:19" ht="20.25" hidden="1" customHeight="1">
      <c r="Q4811" s="18"/>
      <c r="R4811" s="14"/>
      <c r="S4811" s="14">
        <v>1</v>
      </c>
    </row>
    <row r="4812" spans="17:19" ht="20.25" hidden="1" customHeight="1">
      <c r="Q4812" s="18"/>
      <c r="R4812" s="14"/>
      <c r="S4812" s="14">
        <v>1</v>
      </c>
    </row>
    <row r="4813" spans="17:19" ht="20.25" hidden="1" customHeight="1">
      <c r="Q4813" s="18"/>
      <c r="R4813" s="14"/>
      <c r="S4813" s="14">
        <v>1</v>
      </c>
    </row>
    <row r="4814" spans="17:19" ht="20.25" hidden="1" customHeight="1">
      <c r="Q4814" s="18"/>
      <c r="R4814" s="14"/>
      <c r="S4814" s="14">
        <v>1</v>
      </c>
    </row>
    <row r="4815" spans="17:19" ht="20.25" hidden="1" customHeight="1">
      <c r="Q4815" s="18"/>
      <c r="R4815" s="14"/>
      <c r="S4815" s="14">
        <v>1</v>
      </c>
    </row>
    <row r="4816" spans="17:19" ht="20.25" hidden="1" customHeight="1">
      <c r="Q4816" s="18"/>
      <c r="R4816" s="14"/>
      <c r="S4816" s="14">
        <v>1</v>
      </c>
    </row>
    <row r="4817" spans="17:19" ht="20.25" hidden="1" customHeight="1">
      <c r="Q4817" s="18"/>
      <c r="R4817" s="14"/>
      <c r="S4817" s="14">
        <v>1</v>
      </c>
    </row>
    <row r="4818" spans="17:19" ht="20.25" hidden="1" customHeight="1">
      <c r="Q4818" s="18"/>
      <c r="R4818" s="14"/>
      <c r="S4818" s="14">
        <v>1</v>
      </c>
    </row>
    <row r="4819" spans="17:19" ht="20.25" hidden="1" customHeight="1">
      <c r="Q4819" s="18"/>
      <c r="R4819" s="14"/>
      <c r="S4819" s="14">
        <v>1</v>
      </c>
    </row>
    <row r="4820" spans="17:19" ht="20.25" hidden="1" customHeight="1">
      <c r="Q4820" s="18"/>
      <c r="R4820" s="14"/>
      <c r="S4820" s="14">
        <v>1</v>
      </c>
    </row>
    <row r="4821" spans="17:19" ht="20.25" hidden="1" customHeight="1">
      <c r="Q4821" s="18"/>
      <c r="R4821" s="14"/>
      <c r="S4821" s="14">
        <v>1</v>
      </c>
    </row>
    <row r="4822" spans="17:19" ht="20.25" hidden="1" customHeight="1">
      <c r="Q4822" s="18"/>
      <c r="R4822" s="14"/>
      <c r="S4822" s="14">
        <v>1</v>
      </c>
    </row>
    <row r="4823" spans="17:19" ht="20.25" hidden="1" customHeight="1">
      <c r="Q4823" s="18"/>
      <c r="R4823" s="14"/>
      <c r="S4823" s="14">
        <v>1</v>
      </c>
    </row>
    <row r="4824" spans="17:19" ht="20.25" hidden="1" customHeight="1">
      <c r="Q4824" s="18"/>
      <c r="R4824" s="14"/>
      <c r="S4824" s="14">
        <v>1</v>
      </c>
    </row>
    <row r="4825" spans="17:19" ht="20.25" hidden="1" customHeight="1">
      <c r="Q4825" s="18"/>
      <c r="R4825" s="14"/>
      <c r="S4825" s="14">
        <v>1</v>
      </c>
    </row>
    <row r="4826" spans="17:19" ht="20.25" hidden="1" customHeight="1">
      <c r="Q4826" s="18"/>
      <c r="R4826" s="14"/>
      <c r="S4826" s="14">
        <v>1</v>
      </c>
    </row>
    <row r="4827" spans="17:19" ht="20.25" hidden="1" customHeight="1">
      <c r="Q4827" s="18"/>
      <c r="R4827" s="14"/>
      <c r="S4827" s="14">
        <v>1</v>
      </c>
    </row>
    <row r="4828" spans="17:19" ht="20.25" hidden="1" customHeight="1">
      <c r="Q4828" s="18"/>
      <c r="R4828" s="14"/>
      <c r="S4828" s="14">
        <v>1</v>
      </c>
    </row>
    <row r="4829" spans="17:19" ht="20.25" hidden="1" customHeight="1">
      <c r="Q4829" s="18"/>
      <c r="R4829" s="14"/>
      <c r="S4829" s="14">
        <v>1</v>
      </c>
    </row>
    <row r="4830" spans="17:19" ht="20.25" hidden="1" customHeight="1">
      <c r="Q4830" s="18"/>
      <c r="R4830" s="14"/>
      <c r="S4830" s="14">
        <v>1</v>
      </c>
    </row>
    <row r="4831" spans="17:19" ht="20.25" hidden="1" customHeight="1">
      <c r="Q4831" s="18"/>
      <c r="R4831" s="14"/>
      <c r="S4831" s="14">
        <v>1</v>
      </c>
    </row>
    <row r="4832" spans="17:19" ht="20.25" hidden="1" customHeight="1">
      <c r="Q4832" s="18"/>
      <c r="R4832" s="14"/>
      <c r="S4832" s="14">
        <v>1</v>
      </c>
    </row>
    <row r="4833" spans="17:19" ht="20.25" hidden="1" customHeight="1">
      <c r="Q4833" s="18"/>
      <c r="R4833" s="14"/>
      <c r="S4833" s="14">
        <v>1</v>
      </c>
    </row>
    <row r="4834" spans="17:19" ht="20.25" hidden="1" customHeight="1">
      <c r="Q4834" s="18"/>
      <c r="R4834" s="14"/>
      <c r="S4834" s="14">
        <v>1</v>
      </c>
    </row>
    <row r="4835" spans="17:19" ht="20.25" hidden="1" customHeight="1">
      <c r="Q4835" s="18"/>
      <c r="R4835" s="14"/>
      <c r="S4835" s="14">
        <v>1</v>
      </c>
    </row>
    <row r="4836" spans="17:19" ht="20.25" hidden="1" customHeight="1">
      <c r="Q4836" s="18"/>
      <c r="R4836" s="14"/>
      <c r="S4836" s="14">
        <v>1</v>
      </c>
    </row>
    <row r="4837" spans="17:19" ht="20.25" hidden="1" customHeight="1">
      <c r="Q4837" s="18"/>
      <c r="R4837" s="14"/>
      <c r="S4837" s="14">
        <v>1</v>
      </c>
    </row>
    <row r="4838" spans="17:19" ht="20.25" hidden="1" customHeight="1">
      <c r="Q4838" s="18"/>
      <c r="R4838" s="14"/>
      <c r="S4838" s="14">
        <v>1</v>
      </c>
    </row>
    <row r="4839" spans="17:19" ht="20.25" hidden="1" customHeight="1">
      <c r="Q4839" s="18"/>
      <c r="R4839" s="14"/>
      <c r="S4839" s="14">
        <v>1</v>
      </c>
    </row>
    <row r="4840" spans="17:19" ht="20.25" hidden="1" customHeight="1">
      <c r="Q4840" s="18"/>
      <c r="R4840" s="14"/>
      <c r="S4840" s="14">
        <v>1</v>
      </c>
    </row>
    <row r="4841" spans="17:19" ht="20.25" hidden="1" customHeight="1">
      <c r="Q4841" s="18"/>
      <c r="R4841" s="14"/>
      <c r="S4841" s="14">
        <v>1</v>
      </c>
    </row>
    <row r="4842" spans="17:19" ht="20.25" hidden="1" customHeight="1">
      <c r="Q4842" s="18"/>
      <c r="R4842" s="14"/>
      <c r="S4842" s="14">
        <v>1</v>
      </c>
    </row>
    <row r="4843" spans="17:19" ht="20.25" hidden="1" customHeight="1">
      <c r="Q4843" s="18"/>
      <c r="R4843" s="14"/>
      <c r="S4843" s="14">
        <v>1</v>
      </c>
    </row>
    <row r="4844" spans="17:19" ht="20.25" hidden="1" customHeight="1">
      <c r="Q4844" s="18"/>
      <c r="R4844" s="14"/>
      <c r="S4844" s="14">
        <v>1</v>
      </c>
    </row>
    <row r="4845" spans="17:19" ht="20.25" hidden="1" customHeight="1">
      <c r="Q4845" s="18"/>
      <c r="R4845" s="14"/>
      <c r="S4845" s="14">
        <v>1</v>
      </c>
    </row>
    <row r="4846" spans="17:19" ht="20.25" hidden="1" customHeight="1">
      <c r="Q4846" s="18"/>
      <c r="R4846" s="14"/>
      <c r="S4846" s="14">
        <v>1</v>
      </c>
    </row>
    <row r="4847" spans="17:19" ht="20.25" hidden="1" customHeight="1">
      <c r="Q4847" s="18"/>
      <c r="R4847" s="14"/>
      <c r="S4847" s="14">
        <v>1</v>
      </c>
    </row>
    <row r="4848" spans="17:19" ht="20.25" hidden="1" customHeight="1">
      <c r="Q4848" s="18"/>
      <c r="R4848" s="14"/>
      <c r="S4848" s="14">
        <v>1</v>
      </c>
    </row>
    <row r="4849" spans="17:19" ht="20.25" hidden="1" customHeight="1">
      <c r="Q4849" s="18"/>
      <c r="R4849" s="14"/>
      <c r="S4849" s="14">
        <v>1</v>
      </c>
    </row>
    <row r="4850" spans="17:19" ht="20.25" hidden="1" customHeight="1">
      <c r="Q4850" s="18"/>
      <c r="R4850" s="14"/>
      <c r="S4850" s="14">
        <v>1</v>
      </c>
    </row>
    <row r="4851" spans="17:19" ht="20.25" hidden="1" customHeight="1">
      <c r="Q4851" s="18"/>
      <c r="R4851" s="14"/>
      <c r="S4851" s="14">
        <v>1</v>
      </c>
    </row>
    <row r="4852" spans="17:19" ht="20.25" hidden="1" customHeight="1">
      <c r="Q4852" s="18"/>
      <c r="R4852" s="14"/>
      <c r="S4852" s="14">
        <v>1</v>
      </c>
    </row>
    <row r="4853" spans="17:19" ht="20.25" hidden="1" customHeight="1">
      <c r="Q4853" s="18"/>
      <c r="R4853" s="14"/>
      <c r="S4853" s="14">
        <v>1</v>
      </c>
    </row>
    <row r="4854" spans="17:19" ht="20.25" hidden="1" customHeight="1">
      <c r="Q4854" s="18"/>
      <c r="R4854" s="14"/>
      <c r="S4854" s="14">
        <v>1</v>
      </c>
    </row>
    <row r="4855" spans="17:19" ht="20.25" hidden="1" customHeight="1">
      <c r="Q4855" s="18"/>
      <c r="R4855" s="14"/>
      <c r="S4855" s="14">
        <v>1</v>
      </c>
    </row>
    <row r="4856" spans="17:19" ht="20.25" hidden="1" customHeight="1">
      <c r="Q4856" s="18"/>
      <c r="R4856" s="14"/>
      <c r="S4856" s="14">
        <v>1</v>
      </c>
    </row>
    <row r="4857" spans="17:19" ht="20.25" hidden="1" customHeight="1">
      <c r="Q4857" s="18"/>
      <c r="R4857" s="14"/>
      <c r="S4857" s="14">
        <v>1</v>
      </c>
    </row>
    <row r="4858" spans="17:19" ht="20.25" hidden="1" customHeight="1">
      <c r="Q4858" s="18"/>
      <c r="R4858" s="14"/>
      <c r="S4858" s="14">
        <v>1</v>
      </c>
    </row>
    <row r="4859" spans="17:19" ht="20.25" hidden="1" customHeight="1">
      <c r="Q4859" s="18"/>
      <c r="R4859" s="14"/>
      <c r="S4859" s="14">
        <v>1</v>
      </c>
    </row>
    <row r="4860" spans="17:19" ht="20.25" hidden="1" customHeight="1">
      <c r="Q4860" s="18"/>
      <c r="R4860" s="14"/>
      <c r="S4860" s="14">
        <v>1</v>
      </c>
    </row>
    <row r="4861" spans="17:19" ht="20.25" hidden="1" customHeight="1">
      <c r="Q4861" s="18"/>
      <c r="R4861" s="14"/>
      <c r="S4861" s="14">
        <v>1</v>
      </c>
    </row>
    <row r="4862" spans="17:19" ht="20.25" hidden="1" customHeight="1">
      <c r="Q4862" s="18"/>
      <c r="R4862" s="14"/>
      <c r="S4862" s="14">
        <v>1</v>
      </c>
    </row>
    <row r="4863" spans="17:19" ht="20.25" hidden="1" customHeight="1">
      <c r="Q4863" s="18"/>
      <c r="R4863" s="14"/>
      <c r="S4863" s="14">
        <v>1</v>
      </c>
    </row>
    <row r="4864" spans="17:19" ht="20.25" hidden="1" customHeight="1">
      <c r="Q4864" s="18"/>
      <c r="R4864" s="14"/>
      <c r="S4864" s="14">
        <v>1</v>
      </c>
    </row>
    <row r="4865" spans="17:19" ht="20.25" hidden="1" customHeight="1">
      <c r="Q4865" s="18"/>
      <c r="R4865" s="14"/>
      <c r="S4865" s="14">
        <v>1</v>
      </c>
    </row>
    <row r="4866" spans="17:19" ht="20.25" hidden="1" customHeight="1">
      <c r="Q4866" s="18"/>
      <c r="R4866" s="14"/>
      <c r="S4866" s="14">
        <v>1</v>
      </c>
    </row>
    <row r="4867" spans="17:19" ht="20.25" hidden="1" customHeight="1">
      <c r="Q4867" s="18"/>
      <c r="R4867" s="14"/>
      <c r="S4867" s="14">
        <v>1</v>
      </c>
    </row>
    <row r="4868" spans="17:19" ht="20.25" hidden="1" customHeight="1">
      <c r="Q4868" s="18"/>
      <c r="R4868" s="14"/>
      <c r="S4868" s="14">
        <v>1</v>
      </c>
    </row>
    <row r="4869" spans="17:19" ht="20.25" hidden="1" customHeight="1">
      <c r="Q4869" s="18"/>
      <c r="R4869" s="14"/>
      <c r="S4869" s="14">
        <v>1</v>
      </c>
    </row>
    <row r="4870" spans="17:19" ht="20.25" hidden="1" customHeight="1">
      <c r="Q4870" s="18"/>
      <c r="R4870" s="14"/>
      <c r="S4870" s="14">
        <v>1</v>
      </c>
    </row>
    <row r="4871" spans="17:19" ht="20.25" hidden="1" customHeight="1">
      <c r="Q4871" s="18"/>
      <c r="R4871" s="14"/>
      <c r="S4871" s="14">
        <v>1</v>
      </c>
    </row>
    <row r="4872" spans="17:19" ht="20.25" hidden="1" customHeight="1">
      <c r="Q4872" s="18"/>
      <c r="R4872" s="14"/>
      <c r="S4872" s="14">
        <v>1</v>
      </c>
    </row>
    <row r="4873" spans="17:19" ht="20.25" hidden="1" customHeight="1">
      <c r="Q4873" s="18"/>
      <c r="R4873" s="14"/>
      <c r="S4873" s="14">
        <v>1</v>
      </c>
    </row>
    <row r="4874" spans="17:19" ht="20.25" hidden="1" customHeight="1">
      <c r="Q4874" s="18"/>
      <c r="R4874" s="14"/>
      <c r="S4874" s="14">
        <v>1</v>
      </c>
    </row>
    <row r="4875" spans="17:19" ht="20.25" hidden="1" customHeight="1">
      <c r="Q4875" s="18"/>
      <c r="R4875" s="14"/>
      <c r="S4875" s="14">
        <v>1</v>
      </c>
    </row>
    <row r="4876" spans="17:19" ht="20.25" hidden="1" customHeight="1">
      <c r="Q4876" s="18"/>
      <c r="R4876" s="14"/>
      <c r="S4876" s="14">
        <v>1</v>
      </c>
    </row>
    <row r="4877" spans="17:19" ht="20.25" hidden="1" customHeight="1">
      <c r="Q4877" s="18"/>
      <c r="R4877" s="14"/>
      <c r="S4877" s="14">
        <v>1</v>
      </c>
    </row>
    <row r="4878" spans="17:19" ht="20.25" hidden="1" customHeight="1">
      <c r="Q4878" s="18"/>
      <c r="R4878" s="14"/>
      <c r="S4878" s="14">
        <v>1</v>
      </c>
    </row>
    <row r="4879" spans="17:19" ht="20.25" hidden="1" customHeight="1">
      <c r="Q4879" s="18"/>
      <c r="R4879" s="14"/>
      <c r="S4879" s="14">
        <v>1</v>
      </c>
    </row>
    <row r="4880" spans="17:19" ht="20.25" hidden="1" customHeight="1">
      <c r="Q4880" s="18"/>
      <c r="R4880" s="14"/>
      <c r="S4880" s="14">
        <v>1</v>
      </c>
    </row>
    <row r="4881" spans="17:19" ht="20.25" hidden="1" customHeight="1">
      <c r="Q4881" s="18"/>
      <c r="R4881" s="14"/>
      <c r="S4881" s="14">
        <v>1</v>
      </c>
    </row>
    <row r="4882" spans="17:19" ht="20.25" hidden="1" customHeight="1">
      <c r="Q4882" s="18"/>
      <c r="R4882" s="14"/>
      <c r="S4882" s="14">
        <v>1</v>
      </c>
    </row>
    <row r="4883" spans="17:19" ht="20.25" hidden="1" customHeight="1">
      <c r="Q4883" s="18"/>
      <c r="R4883" s="14"/>
      <c r="S4883" s="14">
        <v>1</v>
      </c>
    </row>
    <row r="4884" spans="17:19" ht="20.25" hidden="1" customHeight="1">
      <c r="Q4884" s="18"/>
      <c r="R4884" s="14"/>
      <c r="S4884" s="14">
        <v>1</v>
      </c>
    </row>
    <row r="4885" spans="17:19" ht="20.25" hidden="1" customHeight="1">
      <c r="Q4885" s="18"/>
      <c r="R4885" s="14"/>
      <c r="S4885" s="14">
        <v>1</v>
      </c>
    </row>
    <row r="4886" spans="17:19" ht="20.25" hidden="1" customHeight="1">
      <c r="Q4886" s="18"/>
      <c r="R4886" s="14"/>
      <c r="S4886" s="14">
        <v>1</v>
      </c>
    </row>
    <row r="4887" spans="17:19" ht="20.25" hidden="1" customHeight="1">
      <c r="Q4887" s="18"/>
      <c r="R4887" s="14"/>
      <c r="S4887" s="14">
        <v>1</v>
      </c>
    </row>
    <row r="4888" spans="17:19" ht="20.25" hidden="1" customHeight="1">
      <c r="Q4888" s="18"/>
      <c r="R4888" s="14"/>
      <c r="S4888" s="14">
        <v>1</v>
      </c>
    </row>
    <row r="4889" spans="17:19" ht="20.25" hidden="1" customHeight="1">
      <c r="Q4889" s="18"/>
      <c r="R4889" s="14"/>
      <c r="S4889" s="14">
        <v>1</v>
      </c>
    </row>
    <row r="4890" spans="17:19" ht="20.25" hidden="1" customHeight="1">
      <c r="Q4890" s="18"/>
      <c r="R4890" s="14"/>
      <c r="S4890" s="14">
        <v>1</v>
      </c>
    </row>
    <row r="4891" spans="17:19" ht="20.25" hidden="1" customHeight="1">
      <c r="Q4891" s="18"/>
      <c r="R4891" s="14"/>
      <c r="S4891" s="14">
        <v>1</v>
      </c>
    </row>
    <row r="4892" spans="17:19" ht="20.25" hidden="1" customHeight="1">
      <c r="Q4892" s="18"/>
      <c r="R4892" s="14"/>
      <c r="S4892" s="14">
        <v>1</v>
      </c>
    </row>
    <row r="4893" spans="17:19" ht="20.25" hidden="1" customHeight="1">
      <c r="Q4893" s="18"/>
      <c r="R4893" s="14"/>
      <c r="S4893" s="14">
        <v>1</v>
      </c>
    </row>
    <row r="4894" spans="17:19" ht="20.25" hidden="1" customHeight="1">
      <c r="Q4894" s="18"/>
      <c r="R4894" s="14"/>
      <c r="S4894" s="14">
        <v>1</v>
      </c>
    </row>
    <row r="4895" spans="17:19" ht="20.25" hidden="1" customHeight="1">
      <c r="Q4895" s="18"/>
      <c r="R4895" s="14"/>
      <c r="S4895" s="14">
        <v>1</v>
      </c>
    </row>
    <row r="4896" spans="17:19" ht="20.25" hidden="1" customHeight="1">
      <c r="Q4896" s="18"/>
      <c r="R4896" s="14"/>
      <c r="S4896" s="14">
        <v>1</v>
      </c>
    </row>
    <row r="4897" spans="17:19" ht="20.25" hidden="1" customHeight="1">
      <c r="Q4897" s="18"/>
      <c r="R4897" s="14"/>
      <c r="S4897" s="14">
        <v>1</v>
      </c>
    </row>
    <row r="4898" spans="17:19" ht="20.25" hidden="1" customHeight="1">
      <c r="Q4898" s="18"/>
      <c r="R4898" s="14"/>
      <c r="S4898" s="14">
        <v>1</v>
      </c>
    </row>
    <row r="4899" spans="17:19" ht="20.25" hidden="1" customHeight="1">
      <c r="Q4899" s="18"/>
      <c r="R4899" s="14"/>
      <c r="S4899" s="14">
        <v>1</v>
      </c>
    </row>
    <row r="4900" spans="17:19" ht="20.25" hidden="1" customHeight="1">
      <c r="Q4900" s="18"/>
      <c r="R4900" s="14"/>
      <c r="S4900" s="14">
        <v>1</v>
      </c>
    </row>
    <row r="4901" spans="17:19" ht="20.25" hidden="1" customHeight="1">
      <c r="Q4901" s="18"/>
      <c r="R4901" s="14"/>
      <c r="S4901" s="14">
        <v>1</v>
      </c>
    </row>
    <row r="4902" spans="17:19" ht="20.25" hidden="1" customHeight="1">
      <c r="Q4902" s="18"/>
      <c r="R4902" s="14"/>
      <c r="S4902" s="14">
        <v>1</v>
      </c>
    </row>
    <row r="4903" spans="17:19" ht="20.25" hidden="1" customHeight="1">
      <c r="Q4903" s="18"/>
      <c r="R4903" s="14"/>
      <c r="S4903" s="14">
        <v>1</v>
      </c>
    </row>
    <row r="4904" spans="17:19" ht="20.25" hidden="1" customHeight="1">
      <c r="Q4904" s="18"/>
      <c r="R4904" s="14"/>
      <c r="S4904" s="14">
        <v>1</v>
      </c>
    </row>
    <row r="4905" spans="17:19" ht="20.25" hidden="1" customHeight="1">
      <c r="Q4905" s="18"/>
      <c r="R4905" s="14"/>
      <c r="S4905" s="14">
        <v>1</v>
      </c>
    </row>
    <row r="4906" spans="17:19" ht="20.25" hidden="1" customHeight="1">
      <c r="Q4906" s="18"/>
      <c r="R4906" s="14"/>
      <c r="S4906" s="14">
        <v>1</v>
      </c>
    </row>
    <row r="4907" spans="17:19" ht="20.25" hidden="1" customHeight="1">
      <c r="Q4907" s="18"/>
      <c r="R4907" s="14"/>
      <c r="S4907" s="14">
        <v>1</v>
      </c>
    </row>
    <row r="4908" spans="17:19" ht="20.25" hidden="1" customHeight="1">
      <c r="Q4908" s="18"/>
      <c r="R4908" s="14"/>
      <c r="S4908" s="14">
        <v>1</v>
      </c>
    </row>
    <row r="4909" spans="17:19" ht="20.25" hidden="1" customHeight="1">
      <c r="Q4909" s="18"/>
      <c r="R4909" s="14"/>
      <c r="S4909" s="14">
        <v>1</v>
      </c>
    </row>
    <row r="4910" spans="17:19" ht="20.25" hidden="1" customHeight="1">
      <c r="Q4910" s="18"/>
      <c r="R4910" s="14"/>
      <c r="S4910" s="14">
        <v>1</v>
      </c>
    </row>
    <row r="4911" spans="17:19" ht="20.25" hidden="1" customHeight="1">
      <c r="Q4911" s="18"/>
      <c r="R4911" s="14"/>
      <c r="S4911" s="14">
        <v>1</v>
      </c>
    </row>
    <row r="4912" spans="17:19" ht="20.25" hidden="1" customHeight="1">
      <c r="Q4912" s="18"/>
      <c r="R4912" s="14"/>
      <c r="S4912" s="14">
        <v>1</v>
      </c>
    </row>
    <row r="4913" spans="17:19" ht="20.25" hidden="1" customHeight="1">
      <c r="Q4913" s="18"/>
      <c r="R4913" s="14"/>
      <c r="S4913" s="14">
        <v>1</v>
      </c>
    </row>
    <row r="4914" spans="17:19" ht="20.25" hidden="1" customHeight="1">
      <c r="Q4914" s="18"/>
      <c r="R4914" s="14"/>
      <c r="S4914" s="14">
        <v>1</v>
      </c>
    </row>
    <row r="4915" spans="17:19" ht="20.25" hidden="1" customHeight="1">
      <c r="Q4915" s="18"/>
      <c r="R4915" s="14"/>
      <c r="S4915" s="14">
        <v>1</v>
      </c>
    </row>
    <row r="4916" spans="17:19" ht="20.25" hidden="1" customHeight="1">
      <c r="Q4916" s="18"/>
      <c r="R4916" s="14"/>
      <c r="S4916" s="14">
        <v>1</v>
      </c>
    </row>
    <row r="4917" spans="17:19" ht="20.25" hidden="1" customHeight="1">
      <c r="Q4917" s="18"/>
      <c r="R4917" s="14"/>
      <c r="S4917" s="14">
        <v>1</v>
      </c>
    </row>
    <row r="4918" spans="17:19" ht="20.25" hidden="1" customHeight="1">
      <c r="Q4918" s="18"/>
      <c r="R4918" s="14"/>
      <c r="S4918" s="14">
        <v>1</v>
      </c>
    </row>
    <row r="4919" spans="17:19" ht="20.25" hidden="1" customHeight="1">
      <c r="Q4919" s="18"/>
      <c r="R4919" s="14"/>
      <c r="S4919" s="14">
        <v>1</v>
      </c>
    </row>
    <row r="4920" spans="17:19" ht="20.25" hidden="1" customHeight="1">
      <c r="Q4920" s="18"/>
      <c r="R4920" s="14"/>
      <c r="S4920" s="14">
        <v>1</v>
      </c>
    </row>
    <row r="4921" spans="17:19" ht="20.25" hidden="1" customHeight="1">
      <c r="Q4921" s="18"/>
      <c r="R4921" s="14"/>
      <c r="S4921" s="14">
        <v>1</v>
      </c>
    </row>
    <row r="4922" spans="17:19" ht="20.25" hidden="1" customHeight="1">
      <c r="Q4922" s="18"/>
      <c r="R4922" s="14"/>
      <c r="S4922" s="14">
        <v>1</v>
      </c>
    </row>
    <row r="4923" spans="17:19" ht="20.25" hidden="1" customHeight="1">
      <c r="Q4923" s="18"/>
      <c r="R4923" s="14"/>
      <c r="S4923" s="14">
        <v>1</v>
      </c>
    </row>
    <row r="4924" spans="17:19" ht="20.25" hidden="1" customHeight="1">
      <c r="Q4924" s="18"/>
      <c r="R4924" s="14"/>
      <c r="S4924" s="14">
        <v>1</v>
      </c>
    </row>
    <row r="4925" spans="17:19" ht="20.25" hidden="1" customHeight="1">
      <c r="Q4925" s="18"/>
      <c r="R4925" s="14"/>
      <c r="S4925" s="14">
        <v>1</v>
      </c>
    </row>
    <row r="4926" spans="17:19" ht="20.25" hidden="1" customHeight="1">
      <c r="Q4926" s="18"/>
      <c r="R4926" s="14"/>
      <c r="S4926" s="14">
        <v>1</v>
      </c>
    </row>
    <row r="4927" spans="17:19" ht="20.25" hidden="1" customHeight="1">
      <c r="Q4927" s="18"/>
      <c r="R4927" s="14"/>
      <c r="S4927" s="14">
        <v>1</v>
      </c>
    </row>
    <row r="4928" spans="17:19" ht="20.25" hidden="1" customHeight="1">
      <c r="Q4928" s="18"/>
      <c r="R4928" s="14"/>
      <c r="S4928" s="14">
        <v>1</v>
      </c>
    </row>
    <row r="4929" spans="17:19" ht="20.25" hidden="1" customHeight="1">
      <c r="Q4929" s="18"/>
      <c r="R4929" s="14"/>
      <c r="S4929" s="14">
        <v>1</v>
      </c>
    </row>
    <row r="4930" spans="17:19" ht="20.25" hidden="1" customHeight="1">
      <c r="Q4930" s="18"/>
      <c r="R4930" s="14"/>
      <c r="S4930" s="14">
        <v>1</v>
      </c>
    </row>
    <row r="4931" spans="17:19" ht="20.25" hidden="1" customHeight="1">
      <c r="Q4931" s="18"/>
      <c r="R4931" s="14"/>
      <c r="S4931" s="14">
        <v>1</v>
      </c>
    </row>
    <row r="4932" spans="17:19" ht="20.25" hidden="1" customHeight="1">
      <c r="Q4932" s="18"/>
      <c r="R4932" s="14"/>
      <c r="S4932" s="14">
        <v>1</v>
      </c>
    </row>
    <row r="4933" spans="17:19" ht="20.25" hidden="1" customHeight="1">
      <c r="Q4933" s="18"/>
      <c r="R4933" s="14"/>
      <c r="S4933" s="14">
        <v>1</v>
      </c>
    </row>
    <row r="4934" spans="17:19" ht="20.25" hidden="1" customHeight="1">
      <c r="Q4934" s="18"/>
      <c r="R4934" s="14"/>
      <c r="S4934" s="14">
        <v>1</v>
      </c>
    </row>
    <row r="4935" spans="17:19" ht="20.25" hidden="1" customHeight="1">
      <c r="Q4935" s="18"/>
      <c r="R4935" s="14"/>
      <c r="S4935" s="14">
        <v>1</v>
      </c>
    </row>
    <row r="4936" spans="17:19" ht="20.25" hidden="1" customHeight="1">
      <c r="Q4936" s="18"/>
      <c r="R4936" s="14"/>
      <c r="S4936" s="14">
        <v>1</v>
      </c>
    </row>
    <row r="4937" spans="17:19" ht="20.25" hidden="1" customHeight="1">
      <c r="Q4937" s="18"/>
      <c r="R4937" s="14"/>
      <c r="S4937" s="14">
        <v>1</v>
      </c>
    </row>
    <row r="4938" spans="17:19" ht="20.25" hidden="1" customHeight="1">
      <c r="Q4938" s="18"/>
      <c r="R4938" s="14"/>
      <c r="S4938" s="14">
        <v>1</v>
      </c>
    </row>
    <row r="4939" spans="17:19" ht="20.25" hidden="1" customHeight="1">
      <c r="Q4939" s="18"/>
      <c r="R4939" s="14"/>
      <c r="S4939" s="14">
        <v>1</v>
      </c>
    </row>
    <row r="4940" spans="17:19" ht="20.25" hidden="1" customHeight="1">
      <c r="Q4940" s="18"/>
      <c r="R4940" s="14"/>
      <c r="S4940" s="14">
        <v>1</v>
      </c>
    </row>
    <row r="4941" spans="17:19" ht="20.25" hidden="1" customHeight="1">
      <c r="Q4941" s="18"/>
      <c r="R4941" s="14"/>
      <c r="S4941" s="14">
        <v>1</v>
      </c>
    </row>
    <row r="4942" spans="17:19" ht="20.25" hidden="1" customHeight="1">
      <c r="Q4942" s="18"/>
      <c r="R4942" s="14"/>
      <c r="S4942" s="14">
        <v>1</v>
      </c>
    </row>
    <row r="4943" spans="17:19" ht="20.25" hidden="1" customHeight="1">
      <c r="Q4943" s="18"/>
      <c r="R4943" s="14"/>
      <c r="S4943" s="14">
        <v>1</v>
      </c>
    </row>
    <row r="4944" spans="17:19" ht="20.25" hidden="1" customHeight="1">
      <c r="Q4944" s="18"/>
      <c r="R4944" s="14"/>
      <c r="S4944" s="14">
        <v>1</v>
      </c>
    </row>
    <row r="4945" spans="17:19" ht="20.25" hidden="1" customHeight="1">
      <c r="Q4945" s="18"/>
      <c r="R4945" s="14"/>
      <c r="S4945" s="14">
        <v>1</v>
      </c>
    </row>
    <row r="4946" spans="17:19" ht="20.25" hidden="1" customHeight="1">
      <c r="Q4946" s="18"/>
      <c r="R4946" s="14"/>
      <c r="S4946" s="14">
        <v>1</v>
      </c>
    </row>
    <row r="4947" spans="17:19" ht="20.25" hidden="1" customHeight="1">
      <c r="Q4947" s="18"/>
      <c r="R4947" s="14"/>
      <c r="S4947" s="14">
        <v>1</v>
      </c>
    </row>
    <row r="4948" spans="17:19" ht="20.25" hidden="1" customHeight="1">
      <c r="Q4948" s="18"/>
      <c r="R4948" s="14"/>
      <c r="S4948" s="14">
        <v>1</v>
      </c>
    </row>
    <row r="4949" spans="17:19" ht="20.25" hidden="1" customHeight="1">
      <c r="Q4949" s="18"/>
      <c r="R4949" s="14"/>
      <c r="S4949" s="14">
        <v>1</v>
      </c>
    </row>
    <row r="4950" spans="17:19" ht="20.25" hidden="1" customHeight="1">
      <c r="Q4950" s="18"/>
      <c r="R4950" s="14"/>
      <c r="S4950" s="14">
        <v>1</v>
      </c>
    </row>
    <row r="4951" spans="17:19" ht="20.25" hidden="1" customHeight="1">
      <c r="Q4951" s="18"/>
      <c r="R4951" s="14"/>
      <c r="S4951" s="14">
        <v>1</v>
      </c>
    </row>
    <row r="4952" spans="17:19" ht="20.25" hidden="1" customHeight="1">
      <c r="Q4952" s="18"/>
      <c r="R4952" s="14"/>
      <c r="S4952" s="14">
        <v>1</v>
      </c>
    </row>
    <row r="4953" spans="17:19" ht="20.25" hidden="1" customHeight="1">
      <c r="Q4953" s="18"/>
      <c r="R4953" s="14"/>
      <c r="S4953" s="14">
        <v>1</v>
      </c>
    </row>
    <row r="4954" spans="17:19" ht="20.25" hidden="1" customHeight="1">
      <c r="Q4954" s="18"/>
      <c r="R4954" s="14"/>
      <c r="S4954" s="14">
        <v>1</v>
      </c>
    </row>
    <row r="4955" spans="17:19" ht="20.25" hidden="1" customHeight="1">
      <c r="Q4955" s="18"/>
      <c r="R4955" s="14"/>
      <c r="S4955" s="14">
        <v>1</v>
      </c>
    </row>
    <row r="4956" spans="17:19" ht="20.25" hidden="1" customHeight="1">
      <c r="Q4956" s="18"/>
      <c r="R4956" s="14"/>
      <c r="S4956" s="14">
        <v>1</v>
      </c>
    </row>
    <row r="4957" spans="17:19" ht="20.25" hidden="1" customHeight="1">
      <c r="Q4957" s="18"/>
      <c r="R4957" s="14"/>
      <c r="S4957" s="14">
        <v>1</v>
      </c>
    </row>
    <row r="4958" spans="17:19" ht="20.25" hidden="1" customHeight="1">
      <c r="Q4958" s="18"/>
      <c r="R4958" s="14"/>
      <c r="S4958" s="14">
        <v>1</v>
      </c>
    </row>
    <row r="4959" spans="17:19" ht="20.25" hidden="1" customHeight="1">
      <c r="Q4959" s="18"/>
      <c r="R4959" s="14"/>
      <c r="S4959" s="14">
        <v>1</v>
      </c>
    </row>
    <row r="4960" spans="17:19" ht="20.25" hidden="1" customHeight="1">
      <c r="Q4960" s="18"/>
      <c r="R4960" s="14"/>
      <c r="S4960" s="14">
        <v>1</v>
      </c>
    </row>
    <row r="4961" spans="17:19" ht="20.25" hidden="1" customHeight="1">
      <c r="Q4961" s="18"/>
      <c r="R4961" s="14"/>
      <c r="S4961" s="14">
        <v>1</v>
      </c>
    </row>
    <row r="4962" spans="17:19" ht="20.25" hidden="1" customHeight="1">
      <c r="Q4962" s="18"/>
      <c r="R4962" s="14"/>
      <c r="S4962" s="14">
        <v>1</v>
      </c>
    </row>
    <row r="4963" spans="17:19" ht="20.25" hidden="1" customHeight="1">
      <c r="Q4963" s="18"/>
      <c r="R4963" s="14"/>
      <c r="S4963" s="14">
        <v>1</v>
      </c>
    </row>
    <row r="4964" spans="17:19" ht="20.25" hidden="1" customHeight="1">
      <c r="Q4964" s="18"/>
      <c r="R4964" s="14"/>
      <c r="S4964" s="14">
        <v>1</v>
      </c>
    </row>
    <row r="4965" spans="17:19" ht="20.25" hidden="1" customHeight="1">
      <c r="Q4965" s="18"/>
      <c r="R4965" s="14"/>
      <c r="S4965" s="14">
        <v>1</v>
      </c>
    </row>
    <row r="4966" spans="17:19" ht="20.25" hidden="1" customHeight="1">
      <c r="Q4966" s="18"/>
      <c r="R4966" s="14"/>
      <c r="S4966" s="14">
        <v>1</v>
      </c>
    </row>
    <row r="4967" spans="17:19" ht="20.25" hidden="1" customHeight="1">
      <c r="Q4967" s="18"/>
      <c r="R4967" s="14"/>
      <c r="S4967" s="14">
        <v>1</v>
      </c>
    </row>
    <row r="4968" spans="17:19" ht="20.25" hidden="1" customHeight="1">
      <c r="Q4968" s="18"/>
      <c r="R4968" s="14"/>
      <c r="S4968" s="14">
        <v>1</v>
      </c>
    </row>
    <row r="4969" spans="17:19" ht="20.25" hidden="1" customHeight="1">
      <c r="Q4969" s="18"/>
      <c r="R4969" s="14"/>
      <c r="S4969" s="14">
        <v>1</v>
      </c>
    </row>
    <row r="4970" spans="17:19" ht="20.25" hidden="1" customHeight="1">
      <c r="Q4970" s="18"/>
      <c r="R4970" s="14"/>
      <c r="S4970" s="14">
        <v>1</v>
      </c>
    </row>
    <row r="4971" spans="17:19" ht="20.25" hidden="1" customHeight="1">
      <c r="Q4971" s="18"/>
      <c r="R4971" s="14"/>
      <c r="S4971" s="14">
        <v>1</v>
      </c>
    </row>
    <row r="4972" spans="17:19" ht="20.25" hidden="1" customHeight="1">
      <c r="Q4972" s="18"/>
      <c r="R4972" s="14"/>
      <c r="S4972" s="14">
        <v>1</v>
      </c>
    </row>
    <row r="4973" spans="17:19" ht="20.25" hidden="1" customHeight="1">
      <c r="Q4973" s="18"/>
      <c r="R4973" s="14"/>
      <c r="S4973" s="14">
        <v>1</v>
      </c>
    </row>
    <row r="4974" spans="17:19" ht="20.25" hidden="1" customHeight="1">
      <c r="Q4974" s="18"/>
      <c r="R4974" s="14"/>
      <c r="S4974" s="14">
        <v>1</v>
      </c>
    </row>
    <row r="4975" spans="17:19" ht="20.25" hidden="1" customHeight="1">
      <c r="Q4975" s="18"/>
      <c r="R4975" s="14"/>
      <c r="S4975" s="14">
        <v>1</v>
      </c>
    </row>
    <row r="4976" spans="17:19" ht="20.25" hidden="1" customHeight="1">
      <c r="Q4976" s="18"/>
      <c r="R4976" s="14"/>
      <c r="S4976" s="14">
        <v>1</v>
      </c>
    </row>
    <row r="4977" spans="17:19" ht="20.25" hidden="1" customHeight="1">
      <c r="Q4977" s="18"/>
      <c r="R4977" s="14"/>
      <c r="S4977" s="14">
        <v>1</v>
      </c>
    </row>
    <row r="4978" spans="17:19" ht="20.25" hidden="1" customHeight="1">
      <c r="Q4978" s="18"/>
      <c r="R4978" s="14"/>
      <c r="S4978" s="14">
        <v>1</v>
      </c>
    </row>
    <row r="4979" spans="17:19" ht="20.25" hidden="1" customHeight="1">
      <c r="Q4979" s="18"/>
      <c r="R4979" s="14"/>
      <c r="S4979" s="14">
        <v>1</v>
      </c>
    </row>
    <row r="4980" spans="17:19" ht="20.25" hidden="1" customHeight="1">
      <c r="Q4980" s="18"/>
      <c r="R4980" s="14"/>
      <c r="S4980" s="14">
        <v>1</v>
      </c>
    </row>
    <row r="4981" spans="17:19" ht="20.25" hidden="1" customHeight="1">
      <c r="Q4981" s="18"/>
      <c r="R4981" s="14"/>
      <c r="S4981" s="14">
        <v>1</v>
      </c>
    </row>
    <row r="4982" spans="17:19" ht="20.25" hidden="1" customHeight="1">
      <c r="Q4982" s="18"/>
      <c r="R4982" s="14"/>
      <c r="S4982" s="14">
        <v>1</v>
      </c>
    </row>
    <row r="4983" spans="17:19" ht="20.25" hidden="1" customHeight="1">
      <c r="Q4983" s="18"/>
      <c r="R4983" s="14"/>
      <c r="S4983" s="14">
        <v>1</v>
      </c>
    </row>
    <row r="4984" spans="17:19" ht="20.25" hidden="1" customHeight="1">
      <c r="Q4984" s="18"/>
      <c r="R4984" s="14"/>
      <c r="S4984" s="14">
        <v>1</v>
      </c>
    </row>
    <row r="4985" spans="17:19" ht="20.25" hidden="1" customHeight="1">
      <c r="Q4985" s="18"/>
      <c r="R4985" s="14"/>
      <c r="S4985" s="14">
        <v>1</v>
      </c>
    </row>
    <row r="4986" spans="17:19" ht="20.25" hidden="1" customHeight="1">
      <c r="Q4986" s="18"/>
      <c r="R4986" s="14"/>
      <c r="S4986" s="14">
        <v>1</v>
      </c>
    </row>
    <row r="4987" spans="17:19" ht="20.25" hidden="1" customHeight="1">
      <c r="Q4987" s="18"/>
      <c r="R4987" s="14"/>
      <c r="S4987" s="14">
        <v>1</v>
      </c>
    </row>
    <row r="4988" spans="17:19" ht="20.25" hidden="1" customHeight="1">
      <c r="Q4988" s="18"/>
      <c r="R4988" s="14"/>
      <c r="S4988" s="14">
        <v>1</v>
      </c>
    </row>
    <row r="4989" spans="17:19" ht="20.25" hidden="1" customHeight="1">
      <c r="Q4989" s="18"/>
      <c r="R4989" s="14"/>
      <c r="S4989" s="14">
        <v>1</v>
      </c>
    </row>
    <row r="4990" spans="17:19" ht="20.25" hidden="1" customHeight="1">
      <c r="Q4990" s="18"/>
      <c r="R4990" s="14"/>
      <c r="S4990" s="14">
        <v>1</v>
      </c>
    </row>
    <row r="4991" spans="17:19" ht="20.25" hidden="1" customHeight="1">
      <c r="Q4991" s="18"/>
      <c r="R4991" s="14"/>
      <c r="S4991" s="14">
        <v>1</v>
      </c>
    </row>
    <row r="4992" spans="17:19" ht="20.25" hidden="1" customHeight="1">
      <c r="Q4992" s="18"/>
      <c r="R4992" s="14"/>
      <c r="S4992" s="14">
        <v>1</v>
      </c>
    </row>
    <row r="4993" spans="17:19" ht="20.25" hidden="1" customHeight="1">
      <c r="Q4993" s="18"/>
      <c r="R4993" s="14"/>
      <c r="S4993" s="14">
        <v>1</v>
      </c>
    </row>
    <row r="4994" spans="17:19" ht="20.25" hidden="1" customHeight="1">
      <c r="Q4994" s="18"/>
      <c r="R4994" s="14"/>
      <c r="S4994" s="14">
        <v>1</v>
      </c>
    </row>
    <row r="4995" spans="17:19" ht="20.25" hidden="1" customHeight="1">
      <c r="Q4995" s="18"/>
      <c r="R4995" s="14"/>
      <c r="S4995" s="14">
        <v>1</v>
      </c>
    </row>
    <row r="4996" spans="17:19" ht="20.25" hidden="1" customHeight="1">
      <c r="Q4996" s="18"/>
      <c r="R4996" s="14"/>
      <c r="S4996" s="14">
        <v>1</v>
      </c>
    </row>
    <row r="4997" spans="17:19" ht="20.25" hidden="1" customHeight="1">
      <c r="Q4997" s="18"/>
      <c r="R4997" s="14"/>
      <c r="S4997" s="14">
        <v>1</v>
      </c>
    </row>
    <row r="4998" spans="17:19" ht="20.25" hidden="1" customHeight="1">
      <c r="Q4998" s="18"/>
      <c r="R4998" s="14"/>
      <c r="S4998" s="14">
        <v>1</v>
      </c>
    </row>
    <row r="4999" spans="17:19" ht="20.25" hidden="1" customHeight="1">
      <c r="Q4999" s="18"/>
      <c r="R4999" s="14"/>
      <c r="S4999" s="14">
        <v>1</v>
      </c>
    </row>
    <row r="5000" spans="17:19" ht="20.25" hidden="1" customHeight="1">
      <c r="Q5000" s="18"/>
      <c r="R5000" s="14"/>
      <c r="S5000" s="14">
        <v>1</v>
      </c>
    </row>
    <row r="5001" spans="17:19" ht="20.25" hidden="1" customHeight="1">
      <c r="Q5001" s="18"/>
      <c r="R5001" s="14"/>
      <c r="S5001" s="14">
        <v>1</v>
      </c>
    </row>
    <row r="5002" spans="17:19" ht="20.25" hidden="1" customHeight="1">
      <c r="Q5002" s="18"/>
      <c r="R5002" s="14"/>
      <c r="S5002" s="14">
        <v>1</v>
      </c>
    </row>
    <row r="5003" spans="17:19" ht="20.25" hidden="1" customHeight="1">
      <c r="Q5003" s="18"/>
      <c r="R5003" s="14"/>
      <c r="S5003" s="14">
        <v>1</v>
      </c>
    </row>
    <row r="5004" spans="17:19" ht="20.25" hidden="1" customHeight="1">
      <c r="Q5004" s="18"/>
      <c r="R5004" s="14"/>
      <c r="S5004" s="14">
        <v>1</v>
      </c>
    </row>
    <row r="5005" spans="17:19" ht="20.25" hidden="1" customHeight="1">
      <c r="Q5005" s="18"/>
      <c r="R5005" s="14"/>
      <c r="S5005" s="14">
        <v>1</v>
      </c>
    </row>
    <row r="5006" spans="17:19" ht="20.25" hidden="1" customHeight="1">
      <c r="Q5006" s="18"/>
      <c r="R5006" s="14"/>
      <c r="S5006" s="14">
        <v>1</v>
      </c>
    </row>
    <row r="5007" spans="17:19" ht="20.25" hidden="1" customHeight="1">
      <c r="Q5007" s="18"/>
      <c r="R5007" s="14"/>
      <c r="S5007" s="14">
        <v>1</v>
      </c>
    </row>
    <row r="5008" spans="17:19" ht="20.25" hidden="1" customHeight="1">
      <c r="Q5008" s="18"/>
      <c r="R5008" s="14"/>
      <c r="S5008" s="14">
        <v>1</v>
      </c>
    </row>
    <row r="5009" spans="17:19" ht="20.25" hidden="1" customHeight="1">
      <c r="Q5009" s="18"/>
      <c r="R5009" s="14"/>
      <c r="S5009" s="14">
        <v>1</v>
      </c>
    </row>
    <row r="5010" spans="17:19" ht="20.25" hidden="1" customHeight="1">
      <c r="Q5010" s="18"/>
      <c r="R5010" s="14"/>
      <c r="S5010" s="14">
        <v>1</v>
      </c>
    </row>
    <row r="5011" spans="17:19" ht="20.25" hidden="1" customHeight="1">
      <c r="Q5011" s="18"/>
      <c r="R5011" s="14"/>
      <c r="S5011" s="14">
        <v>1</v>
      </c>
    </row>
    <row r="5012" spans="17:19" ht="20.25" hidden="1" customHeight="1">
      <c r="Q5012" s="18"/>
      <c r="R5012" s="14"/>
      <c r="S5012" s="14">
        <v>1</v>
      </c>
    </row>
    <row r="5013" spans="17:19" ht="20.25" hidden="1" customHeight="1">
      <c r="Q5013" s="18"/>
      <c r="R5013" s="14"/>
      <c r="S5013" s="14">
        <v>1</v>
      </c>
    </row>
    <row r="5014" spans="17:19" ht="20.25" hidden="1" customHeight="1">
      <c r="Q5014" s="18"/>
      <c r="R5014" s="14"/>
      <c r="S5014" s="14">
        <v>1</v>
      </c>
    </row>
    <row r="5015" spans="17:19" ht="20.25" hidden="1" customHeight="1">
      <c r="Q5015" s="18"/>
      <c r="R5015" s="14"/>
      <c r="S5015" s="14">
        <v>1</v>
      </c>
    </row>
    <row r="5016" spans="17:19" ht="20.25" hidden="1" customHeight="1">
      <c r="Q5016" s="18"/>
      <c r="R5016" s="14"/>
      <c r="S5016" s="14">
        <v>1</v>
      </c>
    </row>
    <row r="5017" spans="17:19" ht="20.25" hidden="1" customHeight="1">
      <c r="Q5017" s="18"/>
      <c r="R5017" s="14"/>
      <c r="S5017" s="14">
        <v>1</v>
      </c>
    </row>
    <row r="5018" spans="17:19" ht="20.25" hidden="1" customHeight="1">
      <c r="Q5018" s="18"/>
      <c r="R5018" s="14"/>
      <c r="S5018" s="14">
        <v>1</v>
      </c>
    </row>
    <row r="5019" spans="17:19" ht="20.25" hidden="1" customHeight="1">
      <c r="Q5019" s="18"/>
      <c r="R5019" s="14"/>
      <c r="S5019" s="14">
        <v>1</v>
      </c>
    </row>
    <row r="5020" spans="17:19" ht="20.25" hidden="1" customHeight="1">
      <c r="Q5020" s="18"/>
      <c r="R5020" s="14"/>
      <c r="S5020" s="14">
        <v>1</v>
      </c>
    </row>
    <row r="5021" spans="17:19" ht="20.25" hidden="1" customHeight="1">
      <c r="Q5021" s="18"/>
      <c r="R5021" s="14"/>
      <c r="S5021" s="14">
        <v>1</v>
      </c>
    </row>
    <row r="5022" spans="17:19" ht="20.25" hidden="1" customHeight="1">
      <c r="Q5022" s="18"/>
      <c r="R5022" s="14"/>
      <c r="S5022" s="14">
        <v>1</v>
      </c>
    </row>
    <row r="5023" spans="17:19" ht="20.25" hidden="1" customHeight="1">
      <c r="Q5023" s="18"/>
      <c r="R5023" s="14"/>
      <c r="S5023" s="14">
        <v>1</v>
      </c>
    </row>
    <row r="5024" spans="17:19" ht="20.25" hidden="1" customHeight="1">
      <c r="Q5024" s="18"/>
      <c r="R5024" s="14"/>
      <c r="S5024" s="14">
        <v>1</v>
      </c>
    </row>
    <row r="5025" spans="17:19" ht="20.25" hidden="1" customHeight="1">
      <c r="Q5025" s="18"/>
      <c r="R5025" s="14"/>
      <c r="S5025" s="14">
        <v>1</v>
      </c>
    </row>
    <row r="5026" spans="17:19" ht="20.25" hidden="1" customHeight="1">
      <c r="Q5026" s="18"/>
      <c r="R5026" s="14"/>
      <c r="S5026" s="14">
        <v>1</v>
      </c>
    </row>
    <row r="5027" spans="17:19" ht="20.25" hidden="1" customHeight="1">
      <c r="Q5027" s="18"/>
      <c r="R5027" s="14"/>
      <c r="S5027" s="14">
        <v>1</v>
      </c>
    </row>
    <row r="5028" spans="17:19" ht="20.25" hidden="1" customHeight="1">
      <c r="Q5028" s="18"/>
      <c r="R5028" s="14"/>
      <c r="S5028" s="14">
        <v>1</v>
      </c>
    </row>
    <row r="5029" spans="17:19" ht="20.25" hidden="1" customHeight="1">
      <c r="Q5029" s="18"/>
      <c r="R5029" s="14"/>
      <c r="S5029" s="14">
        <v>1</v>
      </c>
    </row>
    <row r="5030" spans="17:19" ht="20.25" hidden="1" customHeight="1">
      <c r="Q5030" s="18"/>
      <c r="R5030" s="14"/>
      <c r="S5030" s="14">
        <v>1</v>
      </c>
    </row>
    <row r="5031" spans="17:19" ht="20.25" hidden="1" customHeight="1">
      <c r="Q5031" s="18"/>
      <c r="R5031" s="14"/>
      <c r="S5031" s="14">
        <v>1</v>
      </c>
    </row>
    <row r="5032" spans="17:19" ht="20.25" hidden="1" customHeight="1">
      <c r="Q5032" s="18"/>
      <c r="R5032" s="14"/>
      <c r="S5032" s="14">
        <v>1</v>
      </c>
    </row>
    <row r="5033" spans="17:19" ht="20.25" hidden="1" customHeight="1">
      <c r="Q5033" s="18"/>
      <c r="R5033" s="14"/>
      <c r="S5033" s="14">
        <v>1</v>
      </c>
    </row>
    <row r="5034" spans="17:19" ht="20.25" hidden="1" customHeight="1">
      <c r="Q5034" s="18"/>
      <c r="R5034" s="14"/>
      <c r="S5034" s="14">
        <v>1</v>
      </c>
    </row>
    <row r="5035" spans="17:19" ht="20.25" hidden="1" customHeight="1">
      <c r="Q5035" s="18"/>
      <c r="R5035" s="14"/>
      <c r="S5035" s="14">
        <v>1</v>
      </c>
    </row>
    <row r="5036" spans="17:19" ht="20.25" hidden="1" customHeight="1">
      <c r="Q5036" s="18"/>
      <c r="R5036" s="14"/>
      <c r="S5036" s="14">
        <v>1</v>
      </c>
    </row>
    <row r="5037" spans="17:19" ht="20.25" hidden="1" customHeight="1">
      <c r="Q5037" s="18"/>
      <c r="R5037" s="14"/>
      <c r="S5037" s="14">
        <v>1</v>
      </c>
    </row>
    <row r="5038" spans="17:19" ht="20.25" hidden="1" customHeight="1">
      <c r="Q5038" s="18"/>
      <c r="R5038" s="14"/>
      <c r="S5038" s="14">
        <v>1</v>
      </c>
    </row>
    <row r="5039" spans="17:19" ht="20.25" hidden="1" customHeight="1">
      <c r="Q5039" s="18"/>
      <c r="R5039" s="14"/>
      <c r="S5039" s="14">
        <v>1</v>
      </c>
    </row>
    <row r="5040" spans="17:19" ht="20.25" hidden="1" customHeight="1">
      <c r="Q5040" s="18"/>
      <c r="R5040" s="14"/>
      <c r="S5040" s="14">
        <v>1</v>
      </c>
    </row>
    <row r="5041" spans="17:19" ht="20.25" hidden="1" customHeight="1">
      <c r="Q5041" s="18"/>
      <c r="R5041" s="14"/>
      <c r="S5041" s="14">
        <v>1</v>
      </c>
    </row>
    <row r="5042" spans="17:19" ht="20.25" hidden="1" customHeight="1">
      <c r="Q5042" s="18"/>
      <c r="R5042" s="14"/>
      <c r="S5042" s="14">
        <v>1</v>
      </c>
    </row>
    <row r="5043" spans="17:19" ht="20.25" hidden="1" customHeight="1">
      <c r="Q5043" s="18"/>
      <c r="R5043" s="14"/>
      <c r="S5043" s="14">
        <v>1</v>
      </c>
    </row>
    <row r="5044" spans="17:19" ht="20.25" hidden="1" customHeight="1">
      <c r="Q5044" s="18"/>
      <c r="R5044" s="14"/>
      <c r="S5044" s="14">
        <v>1</v>
      </c>
    </row>
    <row r="5045" spans="17:19" ht="20.25" hidden="1" customHeight="1">
      <c r="Q5045" s="18"/>
      <c r="R5045" s="14"/>
      <c r="S5045" s="14">
        <v>1</v>
      </c>
    </row>
    <row r="5046" spans="17:19" ht="20.25" hidden="1" customHeight="1">
      <c r="Q5046" s="18"/>
      <c r="R5046" s="14"/>
      <c r="S5046" s="14">
        <v>1</v>
      </c>
    </row>
    <row r="5047" spans="17:19" ht="20.25" hidden="1" customHeight="1">
      <c r="Q5047" s="18"/>
      <c r="R5047" s="14"/>
      <c r="S5047" s="14">
        <v>1</v>
      </c>
    </row>
    <row r="5048" spans="17:19" ht="20.25" hidden="1" customHeight="1">
      <c r="Q5048" s="18"/>
      <c r="R5048" s="14"/>
      <c r="S5048" s="14">
        <v>1</v>
      </c>
    </row>
    <row r="5049" spans="17:19" ht="20.25" hidden="1" customHeight="1">
      <c r="Q5049" s="18"/>
      <c r="R5049" s="14"/>
      <c r="S5049" s="14">
        <v>1</v>
      </c>
    </row>
    <row r="5050" spans="17:19" ht="20.25" hidden="1" customHeight="1">
      <c r="Q5050" s="18"/>
      <c r="R5050" s="14"/>
      <c r="S5050" s="14">
        <v>1</v>
      </c>
    </row>
    <row r="5051" spans="17:19" ht="20.25" hidden="1" customHeight="1">
      <c r="Q5051" s="18"/>
      <c r="R5051" s="14"/>
      <c r="S5051" s="14">
        <v>1</v>
      </c>
    </row>
    <row r="5052" spans="17:19" ht="20.25" hidden="1" customHeight="1">
      <c r="Q5052" s="18"/>
      <c r="R5052" s="14"/>
      <c r="S5052" s="14">
        <v>1</v>
      </c>
    </row>
    <row r="5053" spans="17:19" ht="20.25" hidden="1" customHeight="1">
      <c r="Q5053" s="18"/>
      <c r="R5053" s="14"/>
      <c r="S5053" s="14">
        <v>1</v>
      </c>
    </row>
    <row r="5054" spans="17:19" ht="20.25" hidden="1" customHeight="1">
      <c r="Q5054" s="18"/>
      <c r="R5054" s="14"/>
      <c r="S5054" s="14">
        <v>1</v>
      </c>
    </row>
    <row r="5055" spans="17:19" ht="20.25" hidden="1" customHeight="1">
      <c r="Q5055" s="18"/>
      <c r="R5055" s="14"/>
      <c r="S5055" s="14">
        <v>1</v>
      </c>
    </row>
    <row r="5056" spans="17:19" ht="20.25" hidden="1" customHeight="1">
      <c r="Q5056" s="18"/>
      <c r="R5056" s="14"/>
      <c r="S5056" s="14">
        <v>1</v>
      </c>
    </row>
    <row r="5057" spans="17:19" ht="20.25" hidden="1" customHeight="1">
      <c r="Q5057" s="18"/>
      <c r="R5057" s="14"/>
      <c r="S5057" s="14">
        <v>1</v>
      </c>
    </row>
    <row r="5058" spans="17:19" ht="20.25" hidden="1" customHeight="1">
      <c r="Q5058" s="18"/>
      <c r="R5058" s="14"/>
      <c r="S5058" s="14">
        <v>1</v>
      </c>
    </row>
    <row r="5059" spans="17:19" ht="20.25" hidden="1" customHeight="1">
      <c r="Q5059" s="18"/>
      <c r="R5059" s="14"/>
      <c r="S5059" s="14">
        <v>1</v>
      </c>
    </row>
    <row r="5060" spans="17:19" ht="20.25" hidden="1" customHeight="1">
      <c r="Q5060" s="18"/>
      <c r="R5060" s="14"/>
      <c r="S5060" s="14">
        <v>1</v>
      </c>
    </row>
    <row r="5061" spans="17:19" ht="20.25" hidden="1" customHeight="1">
      <c r="Q5061" s="18"/>
      <c r="R5061" s="14"/>
      <c r="S5061" s="14">
        <v>1</v>
      </c>
    </row>
    <row r="5062" spans="17:19" ht="20.25" hidden="1" customHeight="1">
      <c r="Q5062" s="18"/>
      <c r="R5062" s="14"/>
      <c r="S5062" s="14">
        <v>1</v>
      </c>
    </row>
    <row r="5063" spans="17:19" ht="20.25" hidden="1" customHeight="1">
      <c r="Q5063" s="18"/>
      <c r="R5063" s="14"/>
      <c r="S5063" s="14">
        <v>1</v>
      </c>
    </row>
    <row r="5064" spans="17:19" ht="20.25" hidden="1" customHeight="1">
      <c r="Q5064" s="18"/>
      <c r="R5064" s="14"/>
      <c r="S5064" s="14">
        <v>1</v>
      </c>
    </row>
    <row r="5065" spans="17:19" ht="20.25" hidden="1" customHeight="1">
      <c r="Q5065" s="18"/>
      <c r="R5065" s="14"/>
      <c r="S5065" s="14">
        <v>1</v>
      </c>
    </row>
    <row r="5066" spans="17:19" ht="20.25" hidden="1" customHeight="1">
      <c r="Q5066" s="18"/>
      <c r="R5066" s="14"/>
      <c r="S5066" s="14">
        <v>1</v>
      </c>
    </row>
    <row r="5067" spans="17:19" ht="20.25" hidden="1" customHeight="1">
      <c r="Q5067" s="18"/>
      <c r="R5067" s="14"/>
      <c r="S5067" s="14">
        <v>1</v>
      </c>
    </row>
    <row r="5068" spans="17:19" ht="20.25" hidden="1" customHeight="1">
      <c r="Q5068" s="18"/>
      <c r="R5068" s="14"/>
      <c r="S5068" s="14">
        <v>1</v>
      </c>
    </row>
    <row r="5069" spans="17:19" ht="20.25" hidden="1" customHeight="1">
      <c r="Q5069" s="18"/>
      <c r="R5069" s="14"/>
      <c r="S5069" s="14">
        <v>1</v>
      </c>
    </row>
    <row r="5070" spans="17:19" ht="20.25" hidden="1" customHeight="1">
      <c r="Q5070" s="18"/>
      <c r="R5070" s="14"/>
      <c r="S5070" s="14">
        <v>1</v>
      </c>
    </row>
    <row r="5071" spans="17:19" ht="20.25" hidden="1" customHeight="1">
      <c r="Q5071" s="18"/>
      <c r="R5071" s="14"/>
      <c r="S5071" s="14">
        <v>1</v>
      </c>
    </row>
    <row r="5072" spans="17:19" ht="20.25" hidden="1" customHeight="1">
      <c r="Q5072" s="18"/>
      <c r="R5072" s="14"/>
      <c r="S5072" s="14">
        <v>1</v>
      </c>
    </row>
    <row r="5073" spans="17:19" ht="20.25" hidden="1" customHeight="1">
      <c r="Q5073" s="18"/>
      <c r="R5073" s="14"/>
      <c r="S5073" s="14">
        <v>1</v>
      </c>
    </row>
    <row r="5074" spans="17:19" ht="20.25" hidden="1" customHeight="1">
      <c r="Q5074" s="18"/>
      <c r="R5074" s="14"/>
      <c r="S5074" s="14">
        <v>1</v>
      </c>
    </row>
    <row r="5075" spans="17:19" ht="20.25" hidden="1" customHeight="1">
      <c r="Q5075" s="18"/>
      <c r="R5075" s="14"/>
      <c r="S5075" s="14">
        <v>1</v>
      </c>
    </row>
    <row r="5076" spans="17:19" ht="20.25" hidden="1" customHeight="1">
      <c r="Q5076" s="18"/>
      <c r="R5076" s="14"/>
      <c r="S5076" s="14">
        <v>1</v>
      </c>
    </row>
    <row r="5077" spans="17:19" ht="20.25" hidden="1" customHeight="1">
      <c r="Q5077" s="18"/>
      <c r="R5077" s="14"/>
      <c r="S5077" s="14">
        <v>1</v>
      </c>
    </row>
    <row r="5078" spans="17:19" ht="20.25" hidden="1" customHeight="1">
      <c r="Q5078" s="18"/>
      <c r="R5078" s="14"/>
      <c r="S5078" s="14">
        <v>1</v>
      </c>
    </row>
    <row r="5079" spans="17:19" ht="20.25" hidden="1" customHeight="1">
      <c r="Q5079" s="18"/>
      <c r="R5079" s="14"/>
      <c r="S5079" s="14">
        <v>1</v>
      </c>
    </row>
    <row r="5080" spans="17:19" ht="20.25" hidden="1" customHeight="1">
      <c r="Q5080" s="18"/>
      <c r="R5080" s="14"/>
      <c r="S5080" s="14">
        <v>1</v>
      </c>
    </row>
    <row r="5081" spans="17:19" ht="20.25" hidden="1" customHeight="1">
      <c r="Q5081" s="18"/>
      <c r="R5081" s="14"/>
      <c r="S5081" s="14">
        <v>1</v>
      </c>
    </row>
    <row r="5082" spans="17:19" ht="20.25" hidden="1" customHeight="1">
      <c r="Q5082" s="18"/>
      <c r="R5082" s="14"/>
      <c r="S5082" s="14">
        <v>1</v>
      </c>
    </row>
    <row r="5083" spans="17:19" ht="20.25" hidden="1" customHeight="1">
      <c r="Q5083" s="18"/>
      <c r="R5083" s="14"/>
      <c r="S5083" s="14">
        <v>1</v>
      </c>
    </row>
    <row r="5084" spans="17:19" ht="20.25" hidden="1" customHeight="1">
      <c r="Q5084" s="18"/>
      <c r="R5084" s="14"/>
      <c r="S5084" s="14">
        <v>1</v>
      </c>
    </row>
    <row r="5085" spans="17:19" ht="20.25" hidden="1" customHeight="1">
      <c r="Q5085" s="18"/>
      <c r="R5085" s="14"/>
      <c r="S5085" s="14">
        <v>1</v>
      </c>
    </row>
    <row r="5086" spans="17:19" ht="20.25" hidden="1" customHeight="1">
      <c r="Q5086" s="18"/>
      <c r="R5086" s="14"/>
      <c r="S5086" s="14">
        <v>1</v>
      </c>
    </row>
    <row r="5087" spans="17:19" ht="20.25" hidden="1" customHeight="1">
      <c r="Q5087" s="18"/>
      <c r="R5087" s="14"/>
      <c r="S5087" s="14">
        <v>1</v>
      </c>
    </row>
    <row r="5088" spans="17:19" ht="20.25" hidden="1" customHeight="1">
      <c r="Q5088" s="18"/>
      <c r="R5088" s="14"/>
      <c r="S5088" s="14">
        <v>1</v>
      </c>
    </row>
    <row r="5089" spans="17:19" ht="20.25" hidden="1" customHeight="1">
      <c r="Q5089" s="18"/>
      <c r="R5089" s="14"/>
      <c r="S5089" s="14">
        <v>1</v>
      </c>
    </row>
    <row r="5090" spans="17:19" ht="20.25" hidden="1" customHeight="1">
      <c r="Q5090" s="18"/>
      <c r="R5090" s="14"/>
      <c r="S5090" s="14">
        <v>1</v>
      </c>
    </row>
    <row r="5091" spans="17:19" ht="20.25" hidden="1" customHeight="1">
      <c r="Q5091" s="18"/>
      <c r="R5091" s="14"/>
      <c r="S5091" s="14">
        <v>1</v>
      </c>
    </row>
    <row r="5092" spans="17:19" ht="20.25" hidden="1" customHeight="1">
      <c r="Q5092" s="18"/>
      <c r="R5092" s="14"/>
      <c r="S5092" s="14">
        <v>1</v>
      </c>
    </row>
    <row r="5093" spans="17:19" ht="20.25" hidden="1" customHeight="1">
      <c r="Q5093" s="18"/>
      <c r="R5093" s="14"/>
      <c r="S5093" s="14">
        <v>1</v>
      </c>
    </row>
    <row r="5094" spans="17:19" ht="20.25" hidden="1" customHeight="1">
      <c r="Q5094" s="18"/>
      <c r="R5094" s="14"/>
      <c r="S5094" s="14">
        <v>1</v>
      </c>
    </row>
    <row r="5095" spans="17:19" ht="20.25" hidden="1" customHeight="1">
      <c r="Q5095" s="18"/>
      <c r="R5095" s="14"/>
      <c r="S5095" s="14">
        <v>1</v>
      </c>
    </row>
    <row r="5096" spans="17:19" ht="20.25" hidden="1" customHeight="1">
      <c r="Q5096" s="18"/>
      <c r="R5096" s="14"/>
      <c r="S5096" s="14">
        <v>1</v>
      </c>
    </row>
    <row r="5097" spans="17:19" ht="20.25" hidden="1" customHeight="1">
      <c r="Q5097" s="18"/>
      <c r="R5097" s="14"/>
      <c r="S5097" s="14">
        <v>1</v>
      </c>
    </row>
    <row r="5098" spans="17:19" ht="20.25" hidden="1" customHeight="1">
      <c r="Q5098" s="18"/>
      <c r="R5098" s="14"/>
      <c r="S5098" s="14">
        <v>1</v>
      </c>
    </row>
    <row r="5099" spans="17:19" ht="20.25" hidden="1" customHeight="1">
      <c r="Q5099" s="18"/>
      <c r="R5099" s="14"/>
      <c r="S5099" s="14">
        <v>1</v>
      </c>
    </row>
    <row r="5100" spans="17:19" ht="20.25" hidden="1" customHeight="1">
      <c r="Q5100" s="18"/>
      <c r="R5100" s="14"/>
      <c r="S5100" s="14">
        <v>1</v>
      </c>
    </row>
    <row r="5101" spans="17:19" ht="20.25" hidden="1" customHeight="1">
      <c r="Q5101" s="18"/>
      <c r="R5101" s="14"/>
      <c r="S5101" s="14">
        <v>1</v>
      </c>
    </row>
    <row r="5102" spans="17:19" ht="20.25" hidden="1" customHeight="1">
      <c r="Q5102" s="18"/>
      <c r="R5102" s="14"/>
      <c r="S5102" s="14">
        <v>1</v>
      </c>
    </row>
    <row r="5103" spans="17:19" ht="20.25" hidden="1" customHeight="1">
      <c r="Q5103" s="18"/>
      <c r="R5103" s="14"/>
      <c r="S5103" s="14">
        <v>1</v>
      </c>
    </row>
    <row r="5104" spans="17:19" ht="20.25" hidden="1" customHeight="1">
      <c r="Q5104" s="18"/>
      <c r="R5104" s="14"/>
      <c r="S5104" s="14">
        <v>1</v>
      </c>
    </row>
    <row r="5105" spans="17:19" ht="20.25" hidden="1" customHeight="1">
      <c r="Q5105" s="18"/>
      <c r="R5105" s="14"/>
      <c r="S5105" s="14">
        <v>1</v>
      </c>
    </row>
    <row r="5106" spans="17:19" ht="20.25" hidden="1" customHeight="1">
      <c r="Q5106" s="18"/>
      <c r="R5106" s="14"/>
      <c r="S5106" s="14">
        <v>1</v>
      </c>
    </row>
    <row r="5107" spans="17:19" ht="20.25" hidden="1" customHeight="1">
      <c r="Q5107" s="18"/>
      <c r="R5107" s="14"/>
      <c r="S5107" s="14">
        <v>1</v>
      </c>
    </row>
    <row r="5108" spans="17:19" ht="20.25" hidden="1" customHeight="1">
      <c r="Q5108" s="18"/>
      <c r="R5108" s="14"/>
      <c r="S5108" s="14">
        <v>1</v>
      </c>
    </row>
    <row r="5109" spans="17:19" ht="20.25" hidden="1" customHeight="1">
      <c r="Q5109" s="18"/>
      <c r="R5109" s="14"/>
      <c r="S5109" s="14">
        <v>1</v>
      </c>
    </row>
    <row r="5110" spans="17:19" ht="20.25" hidden="1" customHeight="1">
      <c r="Q5110" s="18"/>
      <c r="R5110" s="14"/>
      <c r="S5110" s="14">
        <v>1</v>
      </c>
    </row>
    <row r="5111" spans="17:19" ht="20.25" hidden="1" customHeight="1">
      <c r="Q5111" s="18"/>
      <c r="R5111" s="14"/>
      <c r="S5111" s="14">
        <v>1</v>
      </c>
    </row>
    <row r="5112" spans="17:19" ht="20.25" hidden="1" customHeight="1">
      <c r="Q5112" s="18"/>
      <c r="R5112" s="14"/>
      <c r="S5112" s="14">
        <v>1</v>
      </c>
    </row>
    <row r="5113" spans="17:19" ht="20.25" hidden="1" customHeight="1">
      <c r="Q5113" s="18"/>
      <c r="R5113" s="14"/>
      <c r="S5113" s="14">
        <v>1</v>
      </c>
    </row>
    <row r="5114" spans="17:19" ht="20.25" hidden="1" customHeight="1">
      <c r="Q5114" s="18"/>
      <c r="R5114" s="14"/>
      <c r="S5114" s="14">
        <v>1</v>
      </c>
    </row>
    <row r="5115" spans="17:19" ht="20.25" hidden="1" customHeight="1">
      <c r="Q5115" s="18"/>
      <c r="R5115" s="14"/>
      <c r="S5115" s="14">
        <v>1</v>
      </c>
    </row>
    <row r="5116" spans="17:19" ht="20.25" hidden="1" customHeight="1">
      <c r="Q5116" s="18"/>
      <c r="R5116" s="14"/>
      <c r="S5116" s="14">
        <v>1</v>
      </c>
    </row>
    <row r="5117" spans="17:19" ht="20.25" hidden="1" customHeight="1">
      <c r="Q5117" s="18"/>
      <c r="R5117" s="14"/>
      <c r="S5117" s="14">
        <v>1</v>
      </c>
    </row>
    <row r="5118" spans="17:19" ht="20.25" hidden="1" customHeight="1">
      <c r="Q5118" s="18"/>
      <c r="R5118" s="14"/>
      <c r="S5118" s="14">
        <v>1</v>
      </c>
    </row>
    <row r="5119" spans="17:19" ht="20.25" hidden="1" customHeight="1">
      <c r="Q5119" s="18"/>
      <c r="R5119" s="14"/>
      <c r="S5119" s="14">
        <v>1</v>
      </c>
    </row>
    <row r="5120" spans="17:19" ht="20.25" hidden="1" customHeight="1">
      <c r="Q5120" s="18"/>
      <c r="R5120" s="14"/>
      <c r="S5120" s="14">
        <v>1</v>
      </c>
    </row>
    <row r="5121" spans="17:19" ht="20.25" hidden="1" customHeight="1">
      <c r="Q5121" s="18"/>
      <c r="R5121" s="14"/>
      <c r="S5121" s="14">
        <v>1</v>
      </c>
    </row>
    <row r="5122" spans="17:19" ht="20.25" hidden="1" customHeight="1">
      <c r="Q5122" s="18"/>
      <c r="R5122" s="14"/>
      <c r="S5122" s="14">
        <v>1</v>
      </c>
    </row>
    <row r="5123" spans="17:19" ht="20.25" hidden="1" customHeight="1">
      <c r="Q5123" s="18"/>
      <c r="R5123" s="14"/>
      <c r="S5123" s="14">
        <v>1</v>
      </c>
    </row>
    <row r="5124" spans="17:19" ht="20.25" hidden="1" customHeight="1">
      <c r="Q5124" s="18"/>
      <c r="R5124" s="14"/>
      <c r="S5124" s="14">
        <v>1</v>
      </c>
    </row>
    <row r="5125" spans="17:19" ht="20.25" hidden="1" customHeight="1">
      <c r="Q5125" s="18"/>
      <c r="R5125" s="14"/>
      <c r="S5125" s="14">
        <v>1</v>
      </c>
    </row>
    <row r="5126" spans="17:19" ht="20.25" hidden="1" customHeight="1">
      <c r="Q5126" s="18"/>
      <c r="R5126" s="14"/>
      <c r="S5126" s="14">
        <v>1</v>
      </c>
    </row>
    <row r="5127" spans="17:19" ht="20.25" hidden="1" customHeight="1">
      <c r="Q5127" s="18"/>
      <c r="R5127" s="14"/>
      <c r="S5127" s="14">
        <v>1</v>
      </c>
    </row>
    <row r="5128" spans="17:19" ht="20.25" hidden="1" customHeight="1">
      <c r="Q5128" s="18"/>
      <c r="R5128" s="14"/>
      <c r="S5128" s="14">
        <v>1</v>
      </c>
    </row>
    <row r="5129" spans="17:19" ht="20.25" hidden="1" customHeight="1">
      <c r="Q5129" s="18"/>
      <c r="R5129" s="14"/>
      <c r="S5129" s="14">
        <v>1</v>
      </c>
    </row>
    <row r="5130" spans="17:19" ht="20.25" hidden="1" customHeight="1">
      <c r="Q5130" s="18"/>
      <c r="R5130" s="14"/>
      <c r="S5130" s="14">
        <v>1</v>
      </c>
    </row>
    <row r="5131" spans="17:19" ht="20.25" hidden="1" customHeight="1">
      <c r="Q5131" s="18"/>
      <c r="R5131" s="14"/>
      <c r="S5131" s="14">
        <v>1</v>
      </c>
    </row>
    <row r="5132" spans="17:19" ht="20.25" hidden="1" customHeight="1">
      <c r="Q5132" s="18"/>
      <c r="R5132" s="14"/>
      <c r="S5132" s="14">
        <v>1</v>
      </c>
    </row>
    <row r="5133" spans="17:19" ht="20.25" hidden="1" customHeight="1">
      <c r="Q5133" s="18"/>
      <c r="R5133" s="14"/>
      <c r="S5133" s="14">
        <v>1</v>
      </c>
    </row>
    <row r="5134" spans="17:19" ht="20.25" hidden="1" customHeight="1">
      <c r="Q5134" s="18"/>
      <c r="R5134" s="14"/>
      <c r="S5134" s="14">
        <v>1</v>
      </c>
    </row>
    <row r="5135" spans="17:19" ht="20.25" hidden="1" customHeight="1">
      <c r="Q5135" s="18"/>
      <c r="R5135" s="14"/>
      <c r="S5135" s="14">
        <v>1</v>
      </c>
    </row>
    <row r="5136" spans="17:19" ht="20.25" hidden="1" customHeight="1">
      <c r="Q5136" s="18"/>
      <c r="R5136" s="14"/>
      <c r="S5136" s="14">
        <v>1</v>
      </c>
    </row>
    <row r="5137" spans="17:19" ht="20.25" hidden="1" customHeight="1">
      <c r="Q5137" s="18"/>
      <c r="R5137" s="14"/>
      <c r="S5137" s="14">
        <v>1</v>
      </c>
    </row>
    <row r="5138" spans="17:19" ht="20.25" hidden="1" customHeight="1">
      <c r="Q5138" s="18"/>
      <c r="R5138" s="14"/>
      <c r="S5138" s="14">
        <v>1</v>
      </c>
    </row>
    <row r="5139" spans="17:19" ht="20.25" hidden="1" customHeight="1">
      <c r="Q5139" s="18"/>
      <c r="R5139" s="14"/>
      <c r="S5139" s="14">
        <v>1</v>
      </c>
    </row>
    <row r="5140" spans="17:19" ht="20.25" hidden="1" customHeight="1">
      <c r="Q5140" s="18"/>
      <c r="R5140" s="14"/>
      <c r="S5140" s="14">
        <v>1</v>
      </c>
    </row>
    <row r="5141" spans="17:19" ht="20.25" hidden="1" customHeight="1">
      <c r="Q5141" s="18"/>
      <c r="R5141" s="14"/>
      <c r="S5141" s="14">
        <v>1</v>
      </c>
    </row>
    <row r="5142" spans="17:19" ht="20.25" hidden="1" customHeight="1">
      <c r="Q5142" s="18"/>
      <c r="R5142" s="14"/>
      <c r="S5142" s="14">
        <v>1</v>
      </c>
    </row>
    <row r="5143" spans="17:19" ht="20.25" hidden="1" customHeight="1">
      <c r="Q5143" s="18"/>
      <c r="R5143" s="14"/>
      <c r="S5143" s="14">
        <v>1</v>
      </c>
    </row>
    <row r="5144" spans="17:19" ht="20.25" hidden="1" customHeight="1">
      <c r="Q5144" s="18"/>
      <c r="R5144" s="14"/>
      <c r="S5144" s="14">
        <v>1</v>
      </c>
    </row>
    <row r="5145" spans="17:19" ht="20.25" hidden="1" customHeight="1">
      <c r="Q5145" s="18"/>
      <c r="R5145" s="14"/>
      <c r="S5145" s="14">
        <v>1</v>
      </c>
    </row>
    <row r="5146" spans="17:19" ht="20.25" hidden="1" customHeight="1">
      <c r="Q5146" s="18"/>
      <c r="R5146" s="14"/>
      <c r="S5146" s="14">
        <v>1</v>
      </c>
    </row>
    <row r="5147" spans="17:19" ht="20.25" hidden="1" customHeight="1">
      <c r="Q5147" s="18"/>
      <c r="R5147" s="14"/>
      <c r="S5147" s="14">
        <v>1</v>
      </c>
    </row>
    <row r="5148" spans="17:19" ht="20.25" hidden="1" customHeight="1">
      <c r="Q5148" s="18"/>
      <c r="R5148" s="14"/>
      <c r="S5148" s="14">
        <v>1</v>
      </c>
    </row>
    <row r="5149" spans="17:19" ht="20.25" hidden="1" customHeight="1">
      <c r="Q5149" s="18"/>
      <c r="R5149" s="14"/>
      <c r="S5149" s="14">
        <v>1</v>
      </c>
    </row>
    <row r="5150" spans="17:19" ht="20.25" hidden="1" customHeight="1">
      <c r="Q5150" s="18"/>
      <c r="R5150" s="14"/>
      <c r="S5150" s="14">
        <v>1</v>
      </c>
    </row>
    <row r="5151" spans="17:19" ht="20.25" hidden="1" customHeight="1">
      <c r="Q5151" s="18"/>
      <c r="R5151" s="14"/>
      <c r="S5151" s="14">
        <v>1</v>
      </c>
    </row>
    <row r="5152" spans="17:19" ht="20.25" hidden="1" customHeight="1">
      <c r="Q5152" s="18"/>
      <c r="R5152" s="14"/>
      <c r="S5152" s="14">
        <v>1</v>
      </c>
    </row>
    <row r="5153" spans="17:19" ht="20.25" hidden="1" customHeight="1">
      <c r="Q5153" s="18"/>
      <c r="R5153" s="14"/>
      <c r="S5153" s="14">
        <v>1</v>
      </c>
    </row>
    <row r="5154" spans="17:19" ht="20.25" hidden="1" customHeight="1">
      <c r="Q5154" s="18"/>
      <c r="R5154" s="14"/>
      <c r="S5154" s="14">
        <v>1</v>
      </c>
    </row>
    <row r="5155" spans="17:19" ht="20.25" hidden="1" customHeight="1">
      <c r="Q5155" s="18"/>
      <c r="R5155" s="14"/>
      <c r="S5155" s="14">
        <v>1</v>
      </c>
    </row>
    <row r="5156" spans="17:19" ht="20.25" hidden="1" customHeight="1">
      <c r="Q5156" s="18"/>
      <c r="R5156" s="14"/>
      <c r="S5156" s="14">
        <v>1</v>
      </c>
    </row>
    <row r="5157" spans="17:19" ht="20.25" hidden="1" customHeight="1">
      <c r="Q5157" s="18"/>
      <c r="R5157" s="14"/>
      <c r="S5157" s="14">
        <v>1</v>
      </c>
    </row>
    <row r="5158" spans="17:19" ht="20.25" hidden="1" customHeight="1">
      <c r="Q5158" s="18"/>
      <c r="R5158" s="14"/>
      <c r="S5158" s="14">
        <v>1</v>
      </c>
    </row>
    <row r="5159" spans="17:19" ht="20.25" hidden="1" customHeight="1">
      <c r="Q5159" s="18"/>
      <c r="R5159" s="14"/>
      <c r="S5159" s="14">
        <v>1</v>
      </c>
    </row>
    <row r="5160" spans="17:19" ht="20.25" hidden="1" customHeight="1">
      <c r="Q5160" s="18"/>
      <c r="R5160" s="14"/>
      <c r="S5160" s="14">
        <v>1</v>
      </c>
    </row>
    <row r="5161" spans="17:19" ht="20.25" hidden="1" customHeight="1">
      <c r="Q5161" s="18"/>
      <c r="R5161" s="14"/>
      <c r="S5161" s="14">
        <v>1</v>
      </c>
    </row>
    <row r="5162" spans="17:19" ht="20.25" hidden="1" customHeight="1">
      <c r="Q5162" s="18"/>
      <c r="R5162" s="14"/>
      <c r="S5162" s="14">
        <v>1</v>
      </c>
    </row>
    <row r="5163" spans="17:19" ht="20.25" hidden="1" customHeight="1">
      <c r="Q5163" s="18"/>
      <c r="R5163" s="14"/>
      <c r="S5163" s="14">
        <v>1</v>
      </c>
    </row>
    <row r="5164" spans="17:19" ht="20.25" hidden="1" customHeight="1">
      <c r="Q5164" s="18"/>
      <c r="R5164" s="14"/>
      <c r="S5164" s="14">
        <v>1</v>
      </c>
    </row>
    <row r="5165" spans="17:19" ht="20.25" hidden="1" customHeight="1">
      <c r="Q5165" s="18"/>
      <c r="R5165" s="14"/>
      <c r="S5165" s="14">
        <v>1</v>
      </c>
    </row>
    <row r="5166" spans="17:19" ht="20.25" hidden="1" customHeight="1">
      <c r="Q5166" s="18"/>
      <c r="R5166" s="14"/>
      <c r="S5166" s="14">
        <v>1</v>
      </c>
    </row>
    <row r="5167" spans="17:19" ht="20.25" hidden="1" customHeight="1">
      <c r="Q5167" s="18"/>
      <c r="R5167" s="14"/>
      <c r="S5167" s="14">
        <v>1</v>
      </c>
    </row>
    <row r="5168" spans="17:19" ht="20.25" hidden="1" customHeight="1">
      <c r="Q5168" s="18"/>
      <c r="R5168" s="14"/>
      <c r="S5168" s="14">
        <v>1</v>
      </c>
    </row>
    <row r="5169" spans="17:19" ht="20.25" hidden="1" customHeight="1">
      <c r="Q5169" s="18"/>
      <c r="R5169" s="14"/>
      <c r="S5169" s="14">
        <v>1</v>
      </c>
    </row>
    <row r="5170" spans="17:19" ht="20.25" hidden="1" customHeight="1">
      <c r="Q5170" s="18"/>
      <c r="R5170" s="14"/>
      <c r="S5170" s="14">
        <v>1</v>
      </c>
    </row>
    <row r="5171" spans="17:19" ht="20.25" hidden="1" customHeight="1">
      <c r="Q5171" s="18"/>
      <c r="R5171" s="14"/>
      <c r="S5171" s="14">
        <v>1</v>
      </c>
    </row>
    <row r="5172" spans="17:19" ht="20.25" hidden="1" customHeight="1">
      <c r="Q5172" s="18"/>
      <c r="R5172" s="14"/>
      <c r="S5172" s="14">
        <v>1</v>
      </c>
    </row>
    <row r="5173" spans="17:19" ht="20.25" hidden="1" customHeight="1">
      <c r="Q5173" s="18"/>
      <c r="R5173" s="14"/>
      <c r="S5173" s="14">
        <v>1</v>
      </c>
    </row>
    <row r="5174" spans="17:19" ht="20.25" hidden="1" customHeight="1">
      <c r="Q5174" s="18"/>
      <c r="R5174" s="14"/>
      <c r="S5174" s="14">
        <v>1</v>
      </c>
    </row>
    <row r="5175" spans="17:19" ht="20.25" hidden="1" customHeight="1">
      <c r="Q5175" s="18"/>
      <c r="R5175" s="14"/>
      <c r="S5175" s="14">
        <v>1</v>
      </c>
    </row>
    <row r="5176" spans="17:19" ht="20.25" hidden="1" customHeight="1">
      <c r="Q5176" s="18"/>
      <c r="R5176" s="14"/>
      <c r="S5176" s="14">
        <v>1</v>
      </c>
    </row>
    <row r="5177" spans="17:19" ht="20.25" hidden="1" customHeight="1">
      <c r="Q5177" s="18"/>
      <c r="R5177" s="14"/>
      <c r="S5177" s="14">
        <v>1</v>
      </c>
    </row>
    <row r="5178" spans="17:19" ht="20.25" hidden="1" customHeight="1">
      <c r="Q5178" s="18"/>
      <c r="R5178" s="14"/>
      <c r="S5178" s="14">
        <v>1</v>
      </c>
    </row>
    <row r="5179" spans="17:19" ht="20.25" hidden="1" customHeight="1">
      <c r="Q5179" s="18"/>
      <c r="R5179" s="14"/>
      <c r="S5179" s="14">
        <v>1</v>
      </c>
    </row>
    <row r="5180" spans="17:19" ht="20.25" hidden="1" customHeight="1">
      <c r="Q5180" s="18"/>
      <c r="R5180" s="14"/>
      <c r="S5180" s="14">
        <v>1</v>
      </c>
    </row>
    <row r="5181" spans="17:19" ht="20.25" hidden="1" customHeight="1">
      <c r="Q5181" s="18"/>
      <c r="R5181" s="14"/>
      <c r="S5181" s="14">
        <v>1</v>
      </c>
    </row>
    <row r="5182" spans="17:19" ht="20.25" hidden="1" customHeight="1">
      <c r="Q5182" s="18"/>
      <c r="R5182" s="14"/>
      <c r="S5182" s="14">
        <v>1</v>
      </c>
    </row>
    <row r="5183" spans="17:19" ht="20.25" hidden="1" customHeight="1">
      <c r="Q5183" s="18"/>
      <c r="R5183" s="14"/>
      <c r="S5183" s="14">
        <v>1</v>
      </c>
    </row>
    <row r="5184" spans="17:19" ht="20.25" hidden="1" customHeight="1">
      <c r="Q5184" s="18"/>
      <c r="R5184" s="14"/>
      <c r="S5184" s="14">
        <v>1</v>
      </c>
    </row>
    <row r="5185" spans="17:19" ht="20.25" hidden="1" customHeight="1">
      <c r="Q5185" s="18"/>
      <c r="R5185" s="14"/>
      <c r="S5185" s="14">
        <v>1</v>
      </c>
    </row>
    <row r="5186" spans="17:19" ht="20.25" hidden="1" customHeight="1">
      <c r="Q5186" s="18"/>
      <c r="R5186" s="14"/>
      <c r="S5186" s="14">
        <v>1</v>
      </c>
    </row>
    <row r="5187" spans="17:19" ht="20.25" hidden="1" customHeight="1">
      <c r="Q5187" s="18"/>
      <c r="R5187" s="14"/>
      <c r="S5187" s="14">
        <v>1</v>
      </c>
    </row>
    <row r="5188" spans="17:19" ht="20.25" hidden="1" customHeight="1">
      <c r="Q5188" s="18"/>
      <c r="R5188" s="14"/>
      <c r="S5188" s="14">
        <v>1</v>
      </c>
    </row>
    <row r="5189" spans="17:19" ht="20.25" hidden="1" customHeight="1">
      <c r="Q5189" s="18"/>
      <c r="R5189" s="14"/>
      <c r="S5189" s="14">
        <v>1</v>
      </c>
    </row>
    <row r="5190" spans="17:19" ht="20.25" hidden="1" customHeight="1">
      <c r="Q5190" s="18"/>
      <c r="R5190" s="14"/>
      <c r="S5190" s="14">
        <v>1</v>
      </c>
    </row>
    <row r="5191" spans="17:19" ht="20.25" hidden="1" customHeight="1">
      <c r="Q5191" s="18"/>
      <c r="R5191" s="14"/>
      <c r="S5191" s="14">
        <v>1</v>
      </c>
    </row>
    <row r="5192" spans="17:19" ht="20.25" hidden="1" customHeight="1">
      <c r="Q5192" s="18"/>
      <c r="R5192" s="14"/>
      <c r="S5192" s="14">
        <v>1</v>
      </c>
    </row>
    <row r="5193" spans="17:19" ht="20.25" hidden="1" customHeight="1">
      <c r="Q5193" s="18"/>
      <c r="R5193" s="14"/>
      <c r="S5193" s="14">
        <v>1</v>
      </c>
    </row>
    <row r="5194" spans="17:19" ht="20.25" hidden="1" customHeight="1">
      <c r="Q5194" s="18"/>
      <c r="R5194" s="14"/>
      <c r="S5194" s="14">
        <v>1</v>
      </c>
    </row>
    <row r="5195" spans="17:19" ht="20.25" hidden="1" customHeight="1">
      <c r="Q5195" s="18"/>
      <c r="R5195" s="14"/>
      <c r="S5195" s="14">
        <v>1</v>
      </c>
    </row>
    <row r="5196" spans="17:19" ht="20.25" hidden="1" customHeight="1">
      <c r="Q5196" s="18"/>
      <c r="R5196" s="14"/>
      <c r="S5196" s="14">
        <v>1</v>
      </c>
    </row>
    <row r="5197" spans="17:19" ht="20.25" hidden="1" customHeight="1">
      <c r="Q5197" s="18"/>
      <c r="R5197" s="14"/>
      <c r="S5197" s="14">
        <v>1</v>
      </c>
    </row>
    <row r="5198" spans="17:19" ht="20.25" hidden="1" customHeight="1">
      <c r="Q5198" s="18"/>
      <c r="R5198" s="14"/>
      <c r="S5198" s="14">
        <v>1</v>
      </c>
    </row>
    <row r="5199" spans="17:19" ht="20.25" hidden="1" customHeight="1">
      <c r="Q5199" s="18"/>
      <c r="R5199" s="14"/>
      <c r="S5199" s="14">
        <v>1</v>
      </c>
    </row>
    <row r="5200" spans="17:19" ht="20.25" hidden="1" customHeight="1">
      <c r="Q5200" s="18"/>
      <c r="R5200" s="14"/>
      <c r="S5200" s="14">
        <v>1</v>
      </c>
    </row>
    <row r="5201" spans="17:19" ht="20.25" hidden="1" customHeight="1">
      <c r="Q5201" s="18"/>
      <c r="R5201" s="14"/>
      <c r="S5201" s="14">
        <v>1</v>
      </c>
    </row>
    <row r="5202" spans="17:19" ht="20.25" hidden="1" customHeight="1">
      <c r="Q5202" s="18"/>
      <c r="R5202" s="14"/>
      <c r="S5202" s="14">
        <v>1</v>
      </c>
    </row>
    <row r="5203" spans="17:19" ht="20.25" hidden="1" customHeight="1">
      <c r="Q5203" s="18"/>
      <c r="R5203" s="14"/>
      <c r="S5203" s="14">
        <v>1</v>
      </c>
    </row>
    <row r="5204" spans="17:19" ht="20.25" hidden="1" customHeight="1">
      <c r="Q5204" s="18"/>
      <c r="R5204" s="14"/>
      <c r="S5204" s="14">
        <v>1</v>
      </c>
    </row>
    <row r="5205" spans="17:19" ht="20.25" hidden="1" customHeight="1">
      <c r="Q5205" s="18"/>
      <c r="R5205" s="14"/>
      <c r="S5205" s="14">
        <v>1</v>
      </c>
    </row>
    <row r="5206" spans="17:19" ht="20.25" hidden="1" customHeight="1">
      <c r="Q5206" s="18"/>
      <c r="R5206" s="14"/>
      <c r="S5206" s="14">
        <v>1</v>
      </c>
    </row>
    <row r="5207" spans="17:19" ht="20.25" hidden="1" customHeight="1">
      <c r="Q5207" s="18"/>
      <c r="R5207" s="14"/>
      <c r="S5207" s="14">
        <v>1</v>
      </c>
    </row>
    <row r="5208" spans="17:19" ht="20.25" hidden="1" customHeight="1">
      <c r="Q5208" s="18"/>
      <c r="R5208" s="14"/>
      <c r="S5208" s="14">
        <v>1</v>
      </c>
    </row>
    <row r="5209" spans="17:19" ht="20.25" hidden="1" customHeight="1">
      <c r="Q5209" s="18"/>
      <c r="R5209" s="14"/>
      <c r="S5209" s="14">
        <v>1</v>
      </c>
    </row>
    <row r="5210" spans="17:19" ht="20.25" hidden="1" customHeight="1">
      <c r="Q5210" s="18"/>
      <c r="R5210" s="14"/>
      <c r="S5210" s="14">
        <v>1</v>
      </c>
    </row>
    <row r="5211" spans="17:19" ht="20.25" hidden="1" customHeight="1">
      <c r="Q5211" s="18"/>
      <c r="R5211" s="14"/>
      <c r="S5211" s="14">
        <v>1</v>
      </c>
    </row>
    <row r="5212" spans="17:19" ht="20.25" hidden="1" customHeight="1">
      <c r="Q5212" s="18"/>
      <c r="R5212" s="14"/>
      <c r="S5212" s="14">
        <v>1</v>
      </c>
    </row>
    <row r="5213" spans="17:19" ht="20.25" hidden="1" customHeight="1">
      <c r="Q5213" s="18"/>
      <c r="R5213" s="14"/>
      <c r="S5213" s="14">
        <v>1</v>
      </c>
    </row>
    <row r="5214" spans="17:19" ht="20.25" hidden="1" customHeight="1">
      <c r="Q5214" s="18"/>
      <c r="R5214" s="14"/>
      <c r="S5214" s="14">
        <v>1</v>
      </c>
    </row>
    <row r="5215" spans="17:19" ht="20.25" hidden="1" customHeight="1">
      <c r="Q5215" s="18"/>
      <c r="R5215" s="14"/>
      <c r="S5215" s="14">
        <v>1</v>
      </c>
    </row>
    <row r="5216" spans="17:19" ht="20.25" hidden="1" customHeight="1">
      <c r="Q5216" s="18"/>
      <c r="R5216" s="14"/>
      <c r="S5216" s="14">
        <v>1</v>
      </c>
    </row>
    <row r="5217" spans="17:19" ht="20.25" hidden="1" customHeight="1">
      <c r="Q5217" s="18"/>
      <c r="R5217" s="14"/>
      <c r="S5217" s="14">
        <v>1</v>
      </c>
    </row>
    <row r="5218" spans="17:19" ht="20.25" hidden="1" customHeight="1">
      <c r="Q5218" s="18"/>
      <c r="R5218" s="14"/>
      <c r="S5218" s="14">
        <v>1</v>
      </c>
    </row>
    <row r="5219" spans="17:19" ht="20.25" hidden="1" customHeight="1">
      <c r="Q5219" s="18"/>
      <c r="R5219" s="14"/>
      <c r="S5219" s="14">
        <v>1</v>
      </c>
    </row>
    <row r="5220" spans="17:19" ht="20.25" hidden="1" customHeight="1">
      <c r="Q5220" s="18"/>
      <c r="R5220" s="14"/>
      <c r="S5220" s="14">
        <v>1</v>
      </c>
    </row>
    <row r="5221" spans="17:19" ht="20.25" hidden="1" customHeight="1">
      <c r="Q5221" s="18"/>
      <c r="R5221" s="14"/>
      <c r="S5221" s="14">
        <v>1</v>
      </c>
    </row>
    <row r="5222" spans="17:19" ht="20.25" hidden="1" customHeight="1">
      <c r="Q5222" s="18"/>
      <c r="R5222" s="14"/>
      <c r="S5222" s="14">
        <v>1</v>
      </c>
    </row>
    <row r="5223" spans="17:19" ht="20.25" hidden="1" customHeight="1">
      <c r="Q5223" s="18"/>
      <c r="R5223" s="14"/>
      <c r="S5223" s="14">
        <v>1</v>
      </c>
    </row>
    <row r="5224" spans="17:19" ht="20.25" hidden="1" customHeight="1">
      <c r="Q5224" s="18"/>
      <c r="R5224" s="14"/>
      <c r="S5224" s="14">
        <v>1</v>
      </c>
    </row>
    <row r="5225" spans="17:19" ht="20.25" hidden="1" customHeight="1">
      <c r="Q5225" s="18"/>
      <c r="R5225" s="14"/>
      <c r="S5225" s="14">
        <v>1</v>
      </c>
    </row>
    <row r="5226" spans="17:19" ht="20.25" hidden="1" customHeight="1">
      <c r="Q5226" s="18"/>
      <c r="R5226" s="14"/>
      <c r="S5226" s="14">
        <v>1</v>
      </c>
    </row>
    <row r="5227" spans="17:19" ht="20.25" hidden="1" customHeight="1">
      <c r="Q5227" s="18"/>
      <c r="R5227" s="14"/>
      <c r="S5227" s="14">
        <v>1</v>
      </c>
    </row>
    <row r="5228" spans="17:19" ht="20.25" hidden="1" customHeight="1">
      <c r="Q5228" s="18"/>
      <c r="R5228" s="14"/>
      <c r="S5228" s="14">
        <v>1</v>
      </c>
    </row>
    <row r="5229" spans="17:19" ht="20.25" hidden="1" customHeight="1">
      <c r="Q5229" s="18"/>
      <c r="R5229" s="14"/>
      <c r="S5229" s="14">
        <v>1</v>
      </c>
    </row>
    <row r="5230" spans="17:19" ht="20.25" hidden="1" customHeight="1">
      <c r="Q5230" s="18"/>
      <c r="R5230" s="14"/>
      <c r="S5230" s="14">
        <v>1</v>
      </c>
    </row>
    <row r="5231" spans="17:19" ht="20.25" hidden="1" customHeight="1">
      <c r="Q5231" s="18"/>
      <c r="R5231" s="14"/>
      <c r="S5231" s="14">
        <v>1</v>
      </c>
    </row>
    <row r="5232" spans="17:19" ht="20.25" hidden="1" customHeight="1">
      <c r="Q5232" s="18"/>
      <c r="R5232" s="14"/>
      <c r="S5232" s="14">
        <v>1</v>
      </c>
    </row>
    <row r="5233" spans="17:19" ht="20.25" hidden="1" customHeight="1">
      <c r="Q5233" s="18"/>
      <c r="R5233" s="14"/>
      <c r="S5233" s="14">
        <v>1</v>
      </c>
    </row>
    <row r="5234" spans="17:19" ht="20.25" hidden="1" customHeight="1">
      <c r="Q5234" s="18"/>
      <c r="R5234" s="14"/>
      <c r="S5234" s="14">
        <v>1</v>
      </c>
    </row>
    <row r="5235" spans="17:19" ht="20.25" hidden="1" customHeight="1">
      <c r="Q5235" s="18"/>
      <c r="R5235" s="14"/>
      <c r="S5235" s="14">
        <v>1</v>
      </c>
    </row>
    <row r="5236" spans="17:19" ht="20.25" hidden="1" customHeight="1">
      <c r="Q5236" s="18"/>
      <c r="R5236" s="14"/>
      <c r="S5236" s="14">
        <v>1</v>
      </c>
    </row>
    <row r="5237" spans="17:19" ht="20.25" hidden="1" customHeight="1">
      <c r="Q5237" s="18"/>
      <c r="R5237" s="14"/>
      <c r="S5237" s="14">
        <v>1</v>
      </c>
    </row>
    <row r="5238" spans="17:19" ht="20.25" hidden="1" customHeight="1">
      <c r="Q5238" s="18"/>
      <c r="R5238" s="14"/>
      <c r="S5238" s="14">
        <v>1</v>
      </c>
    </row>
    <row r="5239" spans="17:19" ht="20.25" hidden="1" customHeight="1">
      <c r="Q5239" s="18"/>
      <c r="R5239" s="14"/>
      <c r="S5239" s="14">
        <v>1</v>
      </c>
    </row>
    <row r="5240" spans="17:19" ht="20.25" hidden="1" customHeight="1">
      <c r="Q5240" s="18"/>
      <c r="R5240" s="14"/>
      <c r="S5240" s="14">
        <v>1</v>
      </c>
    </row>
    <row r="5241" spans="17:19" ht="20.25" hidden="1" customHeight="1">
      <c r="Q5241" s="18"/>
      <c r="R5241" s="14"/>
      <c r="S5241" s="14">
        <v>1</v>
      </c>
    </row>
    <row r="5242" spans="17:19" ht="20.25" hidden="1" customHeight="1">
      <c r="Q5242" s="18"/>
      <c r="R5242" s="14"/>
      <c r="S5242" s="14">
        <v>1</v>
      </c>
    </row>
    <row r="5243" spans="17:19" ht="20.25" hidden="1" customHeight="1">
      <c r="Q5243" s="18"/>
      <c r="R5243" s="14"/>
      <c r="S5243" s="14">
        <v>1</v>
      </c>
    </row>
    <row r="5244" spans="17:19" ht="20.25" hidden="1" customHeight="1">
      <c r="Q5244" s="18"/>
      <c r="R5244" s="14"/>
      <c r="S5244" s="14">
        <v>1</v>
      </c>
    </row>
    <row r="5245" spans="17:19" ht="20.25" hidden="1" customHeight="1">
      <c r="Q5245" s="18"/>
      <c r="R5245" s="14"/>
      <c r="S5245" s="14">
        <v>1</v>
      </c>
    </row>
    <row r="5246" spans="17:19" ht="20.25" hidden="1" customHeight="1">
      <c r="Q5246" s="18"/>
      <c r="R5246" s="14"/>
      <c r="S5246" s="14">
        <v>1</v>
      </c>
    </row>
    <row r="5247" spans="17:19" ht="20.25" hidden="1" customHeight="1">
      <c r="Q5247" s="18"/>
      <c r="R5247" s="14"/>
      <c r="S5247" s="14">
        <v>1</v>
      </c>
    </row>
    <row r="5248" spans="17:19" ht="20.25" hidden="1" customHeight="1">
      <c r="Q5248" s="18"/>
      <c r="R5248" s="14"/>
      <c r="S5248" s="14">
        <v>1</v>
      </c>
    </row>
    <row r="5249" spans="17:19" ht="20.25" hidden="1" customHeight="1">
      <c r="Q5249" s="18"/>
      <c r="R5249" s="14"/>
      <c r="S5249" s="14">
        <v>1</v>
      </c>
    </row>
    <row r="5250" spans="17:19" ht="20.25" hidden="1" customHeight="1">
      <c r="Q5250" s="18"/>
      <c r="R5250" s="14"/>
      <c r="S5250" s="14">
        <v>1</v>
      </c>
    </row>
    <row r="5251" spans="17:19" ht="20.25" hidden="1" customHeight="1">
      <c r="Q5251" s="18"/>
      <c r="R5251" s="14"/>
      <c r="S5251" s="14">
        <v>1</v>
      </c>
    </row>
    <row r="5252" spans="17:19" ht="20.25" hidden="1" customHeight="1">
      <c r="Q5252" s="18"/>
      <c r="R5252" s="14"/>
      <c r="S5252" s="14">
        <v>1</v>
      </c>
    </row>
    <row r="5253" spans="17:19" ht="20.25" hidden="1" customHeight="1">
      <c r="Q5253" s="18"/>
      <c r="R5253" s="14"/>
      <c r="S5253" s="14">
        <v>1</v>
      </c>
    </row>
    <row r="5254" spans="17:19" ht="20.25" hidden="1" customHeight="1">
      <c r="Q5254" s="18"/>
      <c r="R5254" s="14"/>
      <c r="S5254" s="14">
        <v>1</v>
      </c>
    </row>
    <row r="5255" spans="17:19" ht="20.25" hidden="1" customHeight="1">
      <c r="Q5255" s="18"/>
      <c r="R5255" s="14"/>
      <c r="S5255" s="14">
        <v>1</v>
      </c>
    </row>
    <row r="5256" spans="17:19" ht="20.25" hidden="1" customHeight="1">
      <c r="Q5256" s="18"/>
      <c r="R5256" s="14"/>
      <c r="S5256" s="14">
        <v>1</v>
      </c>
    </row>
    <row r="5257" spans="17:19" ht="20.25" hidden="1" customHeight="1">
      <c r="Q5257" s="18"/>
      <c r="R5257" s="14"/>
      <c r="S5257" s="14">
        <v>1</v>
      </c>
    </row>
    <row r="5258" spans="17:19" ht="20.25" hidden="1" customHeight="1">
      <c r="Q5258" s="18"/>
      <c r="R5258" s="14"/>
      <c r="S5258" s="14">
        <v>1</v>
      </c>
    </row>
    <row r="5259" spans="17:19" ht="20.25" hidden="1" customHeight="1">
      <c r="Q5259" s="18"/>
      <c r="R5259" s="14"/>
      <c r="S5259" s="14">
        <v>1</v>
      </c>
    </row>
    <row r="5260" spans="17:19" ht="20.25" hidden="1" customHeight="1">
      <c r="Q5260" s="18"/>
      <c r="R5260" s="14"/>
      <c r="S5260" s="14">
        <v>1</v>
      </c>
    </row>
    <row r="5261" spans="17:19" ht="20.25" hidden="1" customHeight="1">
      <c r="Q5261" s="18"/>
      <c r="R5261" s="14"/>
      <c r="S5261" s="14">
        <v>1</v>
      </c>
    </row>
    <row r="5262" spans="17:19" ht="20.25" hidden="1" customHeight="1">
      <c r="Q5262" s="18"/>
      <c r="R5262" s="14"/>
      <c r="S5262" s="14">
        <v>1</v>
      </c>
    </row>
    <row r="5263" spans="17:19" ht="20.25" hidden="1" customHeight="1">
      <c r="Q5263" s="18"/>
      <c r="R5263" s="14"/>
      <c r="S5263" s="14">
        <v>1</v>
      </c>
    </row>
    <row r="5264" spans="17:19" ht="20.25" hidden="1" customHeight="1">
      <c r="Q5264" s="18"/>
      <c r="R5264" s="14"/>
      <c r="S5264" s="14">
        <v>1</v>
      </c>
    </row>
    <row r="5265" spans="17:19" ht="20.25" hidden="1" customHeight="1">
      <c r="Q5265" s="18"/>
      <c r="R5265" s="14"/>
      <c r="S5265" s="14">
        <v>1</v>
      </c>
    </row>
    <row r="5266" spans="17:19" ht="20.25" hidden="1" customHeight="1">
      <c r="Q5266" s="18"/>
      <c r="R5266" s="14"/>
      <c r="S5266" s="14">
        <v>1</v>
      </c>
    </row>
    <row r="5267" spans="17:19" ht="20.25" hidden="1" customHeight="1">
      <c r="Q5267" s="18"/>
      <c r="R5267" s="14"/>
      <c r="S5267" s="14">
        <v>1</v>
      </c>
    </row>
    <row r="5268" spans="17:19" ht="20.25" hidden="1" customHeight="1">
      <c r="Q5268" s="18"/>
      <c r="R5268" s="14"/>
      <c r="S5268" s="14">
        <v>1</v>
      </c>
    </row>
    <row r="5269" spans="17:19" ht="20.25" hidden="1" customHeight="1">
      <c r="Q5269" s="18"/>
      <c r="R5269" s="14"/>
      <c r="S5269" s="14">
        <v>1</v>
      </c>
    </row>
    <row r="5270" spans="17:19" ht="20.25" hidden="1" customHeight="1">
      <c r="Q5270" s="18"/>
      <c r="R5270" s="14"/>
      <c r="S5270" s="14">
        <v>1</v>
      </c>
    </row>
    <row r="5271" spans="17:19" ht="20.25" hidden="1" customHeight="1">
      <c r="Q5271" s="18"/>
      <c r="R5271" s="14"/>
      <c r="S5271" s="14">
        <v>1</v>
      </c>
    </row>
    <row r="5272" spans="17:19" ht="20.25" hidden="1" customHeight="1">
      <c r="Q5272" s="18"/>
      <c r="R5272" s="14"/>
      <c r="S5272" s="14">
        <v>1</v>
      </c>
    </row>
    <row r="5273" spans="17:19" ht="20.25" hidden="1" customHeight="1">
      <c r="Q5273" s="18"/>
      <c r="R5273" s="14"/>
      <c r="S5273" s="14">
        <v>1</v>
      </c>
    </row>
    <row r="5274" spans="17:19" ht="20.25" hidden="1" customHeight="1">
      <c r="Q5274" s="18"/>
      <c r="R5274" s="14"/>
      <c r="S5274" s="14">
        <v>1</v>
      </c>
    </row>
    <row r="5275" spans="17:19" ht="20.25" hidden="1" customHeight="1">
      <c r="Q5275" s="18"/>
      <c r="R5275" s="14"/>
      <c r="S5275" s="14">
        <v>1</v>
      </c>
    </row>
    <row r="5276" spans="17:19" ht="20.25" hidden="1" customHeight="1">
      <c r="Q5276" s="18"/>
      <c r="R5276" s="14"/>
      <c r="S5276" s="14">
        <v>1</v>
      </c>
    </row>
    <row r="5277" spans="17:19" ht="20.25" hidden="1" customHeight="1">
      <c r="Q5277" s="18"/>
      <c r="R5277" s="14"/>
      <c r="S5277" s="14">
        <v>1</v>
      </c>
    </row>
    <row r="5278" spans="17:19" ht="20.25" hidden="1" customHeight="1">
      <c r="Q5278" s="18"/>
      <c r="R5278" s="14"/>
      <c r="S5278" s="14">
        <v>1</v>
      </c>
    </row>
    <row r="5279" spans="17:19" ht="20.25" hidden="1" customHeight="1">
      <c r="Q5279" s="18"/>
      <c r="R5279" s="14"/>
      <c r="S5279" s="14">
        <v>1</v>
      </c>
    </row>
    <row r="5280" spans="17:19" ht="20.25" hidden="1" customHeight="1">
      <c r="Q5280" s="18"/>
      <c r="R5280" s="14"/>
      <c r="S5280" s="14">
        <v>1</v>
      </c>
    </row>
    <row r="5281" spans="17:19" ht="20.25" hidden="1" customHeight="1">
      <c r="Q5281" s="18"/>
      <c r="R5281" s="14"/>
      <c r="S5281" s="14">
        <v>1</v>
      </c>
    </row>
    <row r="5282" spans="17:19" ht="20.25" hidden="1" customHeight="1">
      <c r="Q5282" s="18"/>
      <c r="R5282" s="14"/>
      <c r="S5282" s="14">
        <v>1</v>
      </c>
    </row>
    <row r="5283" spans="17:19" ht="20.25" hidden="1" customHeight="1">
      <c r="Q5283" s="18"/>
      <c r="R5283" s="14"/>
      <c r="S5283" s="14">
        <v>1</v>
      </c>
    </row>
    <row r="5284" spans="17:19" ht="20.25" hidden="1" customHeight="1">
      <c r="Q5284" s="18"/>
      <c r="R5284" s="14"/>
      <c r="S5284" s="14">
        <v>1</v>
      </c>
    </row>
    <row r="5285" spans="17:19" ht="20.25" hidden="1" customHeight="1">
      <c r="Q5285" s="18"/>
      <c r="R5285" s="14"/>
      <c r="S5285" s="14">
        <v>1</v>
      </c>
    </row>
    <row r="5286" spans="17:19" ht="20.25" hidden="1" customHeight="1">
      <c r="Q5286" s="18"/>
      <c r="R5286" s="14"/>
      <c r="S5286" s="14">
        <v>1</v>
      </c>
    </row>
    <row r="5287" spans="17:19" ht="20.25" hidden="1" customHeight="1">
      <c r="Q5287" s="18"/>
      <c r="R5287" s="14"/>
      <c r="S5287" s="14">
        <v>1</v>
      </c>
    </row>
    <row r="5288" spans="17:19" ht="20.25" hidden="1" customHeight="1">
      <c r="Q5288" s="18"/>
      <c r="R5288" s="14"/>
      <c r="S5288" s="14">
        <v>1</v>
      </c>
    </row>
    <row r="5289" spans="17:19" ht="20.25" hidden="1" customHeight="1">
      <c r="Q5289" s="18"/>
      <c r="R5289" s="14"/>
      <c r="S5289" s="14">
        <v>1</v>
      </c>
    </row>
    <row r="5290" spans="17:19" ht="20.25" hidden="1" customHeight="1">
      <c r="Q5290" s="18"/>
      <c r="R5290" s="14"/>
      <c r="S5290" s="14">
        <v>1</v>
      </c>
    </row>
    <row r="5291" spans="17:19" ht="20.25" hidden="1" customHeight="1">
      <c r="Q5291" s="18"/>
      <c r="R5291" s="14"/>
      <c r="S5291" s="14">
        <v>1</v>
      </c>
    </row>
    <row r="5292" spans="17:19" ht="20.25" hidden="1" customHeight="1">
      <c r="Q5292" s="18"/>
      <c r="R5292" s="14"/>
      <c r="S5292" s="14">
        <v>1</v>
      </c>
    </row>
    <row r="5293" spans="17:19" ht="20.25" hidden="1" customHeight="1">
      <c r="Q5293" s="18"/>
      <c r="R5293" s="14"/>
      <c r="S5293" s="14">
        <v>1</v>
      </c>
    </row>
    <row r="5294" spans="17:19" ht="20.25" hidden="1" customHeight="1">
      <c r="Q5294" s="18"/>
      <c r="R5294" s="14"/>
      <c r="S5294" s="14">
        <v>1</v>
      </c>
    </row>
    <row r="5295" spans="17:19" ht="20.25" hidden="1" customHeight="1">
      <c r="Q5295" s="18"/>
      <c r="R5295" s="14"/>
      <c r="S5295" s="14">
        <v>1</v>
      </c>
    </row>
    <row r="5296" spans="17:19" ht="20.25" hidden="1" customHeight="1">
      <c r="Q5296" s="18"/>
      <c r="R5296" s="14"/>
      <c r="S5296" s="14">
        <v>1</v>
      </c>
    </row>
    <row r="5297" spans="17:19" ht="20.25" hidden="1" customHeight="1">
      <c r="Q5297" s="18"/>
      <c r="R5297" s="14"/>
      <c r="S5297" s="14">
        <v>1</v>
      </c>
    </row>
    <row r="5298" spans="17:19" ht="20.25" hidden="1" customHeight="1">
      <c r="Q5298" s="18"/>
      <c r="R5298" s="14"/>
      <c r="S5298" s="14">
        <v>1</v>
      </c>
    </row>
    <row r="5299" spans="17:19" ht="20.25" hidden="1" customHeight="1">
      <c r="Q5299" s="18"/>
      <c r="R5299" s="14"/>
      <c r="S5299" s="14">
        <v>1</v>
      </c>
    </row>
    <row r="5300" spans="17:19" ht="20.25" hidden="1" customHeight="1">
      <c r="Q5300" s="18"/>
      <c r="R5300" s="14"/>
      <c r="S5300" s="14">
        <v>1</v>
      </c>
    </row>
    <row r="5301" spans="17:19" ht="20.25" hidden="1" customHeight="1">
      <c r="Q5301" s="18"/>
      <c r="R5301" s="14"/>
      <c r="S5301" s="14">
        <v>1</v>
      </c>
    </row>
    <row r="5302" spans="17:19" ht="20.25" hidden="1" customHeight="1">
      <c r="Q5302" s="18"/>
      <c r="R5302" s="14"/>
      <c r="S5302" s="14">
        <v>1</v>
      </c>
    </row>
    <row r="5303" spans="17:19" ht="20.25" hidden="1" customHeight="1">
      <c r="Q5303" s="18"/>
      <c r="R5303" s="14"/>
      <c r="S5303" s="14">
        <v>1</v>
      </c>
    </row>
    <row r="5304" spans="17:19" ht="20.25" hidden="1" customHeight="1">
      <c r="Q5304" s="18"/>
      <c r="R5304" s="14"/>
      <c r="S5304" s="14">
        <v>1</v>
      </c>
    </row>
    <row r="5305" spans="17:19" ht="20.25" hidden="1" customHeight="1">
      <c r="Q5305" s="18"/>
      <c r="R5305" s="14"/>
      <c r="S5305" s="14">
        <v>1</v>
      </c>
    </row>
    <row r="5306" spans="17:19" ht="20.25" hidden="1" customHeight="1">
      <c r="Q5306" s="18"/>
      <c r="R5306" s="14"/>
      <c r="S5306" s="14">
        <v>1</v>
      </c>
    </row>
    <row r="5307" spans="17:19" ht="20.25" hidden="1" customHeight="1">
      <c r="Q5307" s="18"/>
      <c r="R5307" s="14"/>
      <c r="S5307" s="14">
        <v>1</v>
      </c>
    </row>
    <row r="5308" spans="17:19" ht="20.25" hidden="1" customHeight="1">
      <c r="Q5308" s="18"/>
      <c r="R5308" s="14"/>
      <c r="S5308" s="14">
        <v>1</v>
      </c>
    </row>
    <row r="5309" spans="17:19" ht="20.25" hidden="1" customHeight="1">
      <c r="Q5309" s="18"/>
      <c r="R5309" s="14"/>
      <c r="S5309" s="14">
        <v>1</v>
      </c>
    </row>
    <row r="5310" spans="17:19" ht="20.25" hidden="1" customHeight="1">
      <c r="Q5310" s="18"/>
      <c r="R5310" s="14"/>
      <c r="S5310" s="14">
        <v>1</v>
      </c>
    </row>
    <row r="5311" spans="17:19" ht="20.25" hidden="1" customHeight="1">
      <c r="Q5311" s="18"/>
      <c r="R5311" s="14"/>
      <c r="S5311" s="14">
        <v>1</v>
      </c>
    </row>
    <row r="5312" spans="17:19" ht="20.25" hidden="1" customHeight="1">
      <c r="Q5312" s="18"/>
      <c r="R5312" s="14"/>
      <c r="S5312" s="14">
        <v>1</v>
      </c>
    </row>
    <row r="5313" spans="17:19" ht="20.25" hidden="1" customHeight="1">
      <c r="Q5313" s="18"/>
      <c r="R5313" s="14"/>
      <c r="S5313" s="14">
        <v>1</v>
      </c>
    </row>
    <row r="5314" spans="17:19" ht="20.25" hidden="1" customHeight="1">
      <c r="Q5314" s="18"/>
      <c r="R5314" s="14"/>
      <c r="S5314" s="14">
        <v>1</v>
      </c>
    </row>
    <row r="5315" spans="17:19" ht="20.25" hidden="1" customHeight="1">
      <c r="Q5315" s="18"/>
      <c r="R5315" s="14"/>
      <c r="S5315" s="14">
        <v>1</v>
      </c>
    </row>
    <row r="5316" spans="17:19" ht="20.25" hidden="1" customHeight="1">
      <c r="Q5316" s="18"/>
      <c r="R5316" s="14"/>
      <c r="S5316" s="14">
        <v>1</v>
      </c>
    </row>
    <row r="5317" spans="17:19" ht="20.25" hidden="1" customHeight="1">
      <c r="Q5317" s="18"/>
      <c r="R5317" s="14"/>
      <c r="S5317" s="14">
        <v>1</v>
      </c>
    </row>
    <row r="5318" spans="17:19" ht="20.25" hidden="1" customHeight="1">
      <c r="Q5318" s="18"/>
      <c r="R5318" s="14"/>
      <c r="S5318" s="14">
        <v>1</v>
      </c>
    </row>
    <row r="5319" spans="17:19" ht="20.25" hidden="1" customHeight="1">
      <c r="Q5319" s="18"/>
      <c r="R5319" s="14"/>
      <c r="S5319" s="14">
        <v>1</v>
      </c>
    </row>
    <row r="5320" spans="17:19" ht="20.25" hidden="1" customHeight="1">
      <c r="Q5320" s="18"/>
      <c r="R5320" s="14"/>
      <c r="S5320" s="14">
        <v>1</v>
      </c>
    </row>
    <row r="5321" spans="17:19" ht="20.25" hidden="1" customHeight="1">
      <c r="Q5321" s="18"/>
      <c r="R5321" s="14"/>
      <c r="S5321" s="14">
        <v>1</v>
      </c>
    </row>
    <row r="5322" spans="17:19" ht="20.25" hidden="1" customHeight="1">
      <c r="Q5322" s="18"/>
      <c r="R5322" s="14"/>
      <c r="S5322" s="14">
        <v>1</v>
      </c>
    </row>
    <row r="5323" spans="17:19" ht="20.25" hidden="1" customHeight="1">
      <c r="Q5323" s="18"/>
      <c r="R5323" s="14"/>
      <c r="S5323" s="14">
        <v>1</v>
      </c>
    </row>
    <row r="5324" spans="17:19" ht="20.25" hidden="1" customHeight="1">
      <c r="Q5324" s="18"/>
      <c r="R5324" s="14"/>
      <c r="S5324" s="14">
        <v>1</v>
      </c>
    </row>
    <row r="5325" spans="17:19" ht="20.25" hidden="1" customHeight="1">
      <c r="Q5325" s="18"/>
      <c r="R5325" s="14"/>
      <c r="S5325" s="14">
        <v>1</v>
      </c>
    </row>
    <row r="5326" spans="17:19" ht="20.25" hidden="1" customHeight="1">
      <c r="Q5326" s="18"/>
      <c r="R5326" s="14"/>
      <c r="S5326" s="14">
        <v>1</v>
      </c>
    </row>
    <row r="5327" spans="17:19" ht="20.25" hidden="1" customHeight="1">
      <c r="Q5327" s="18"/>
      <c r="R5327" s="14"/>
      <c r="S5327" s="14">
        <v>1</v>
      </c>
    </row>
    <row r="5328" spans="17:19" ht="20.25" hidden="1" customHeight="1">
      <c r="Q5328" s="18"/>
      <c r="R5328" s="14"/>
      <c r="S5328" s="14">
        <v>1</v>
      </c>
    </row>
    <row r="5329" spans="17:19" ht="20.25" hidden="1" customHeight="1">
      <c r="Q5329" s="18"/>
      <c r="R5329" s="14"/>
      <c r="S5329" s="14">
        <v>1</v>
      </c>
    </row>
    <row r="5330" spans="17:19" ht="20.25" hidden="1" customHeight="1">
      <c r="Q5330" s="18"/>
      <c r="R5330" s="14"/>
      <c r="S5330" s="14">
        <v>1</v>
      </c>
    </row>
    <row r="5331" spans="17:19" ht="20.25" hidden="1" customHeight="1">
      <c r="Q5331" s="18"/>
      <c r="R5331" s="14"/>
      <c r="S5331" s="14">
        <v>1</v>
      </c>
    </row>
    <row r="5332" spans="17:19" ht="20.25" hidden="1" customHeight="1">
      <c r="Q5332" s="18"/>
      <c r="R5332" s="14"/>
      <c r="S5332" s="14">
        <v>1</v>
      </c>
    </row>
    <row r="5333" spans="17:19" ht="20.25" hidden="1" customHeight="1">
      <c r="Q5333" s="18"/>
      <c r="R5333" s="14"/>
      <c r="S5333" s="14">
        <v>1</v>
      </c>
    </row>
    <row r="5334" spans="17:19" ht="20.25" hidden="1" customHeight="1">
      <c r="Q5334" s="18"/>
      <c r="R5334" s="14"/>
      <c r="S5334" s="14">
        <v>1</v>
      </c>
    </row>
    <row r="5335" spans="17:19" ht="20.25" hidden="1" customHeight="1">
      <c r="Q5335" s="18"/>
      <c r="R5335" s="14"/>
      <c r="S5335" s="14">
        <v>1</v>
      </c>
    </row>
    <row r="5336" spans="17:19" ht="20.25" hidden="1" customHeight="1">
      <c r="Q5336" s="18"/>
      <c r="R5336" s="14"/>
      <c r="S5336" s="14">
        <v>1</v>
      </c>
    </row>
    <row r="5337" spans="17:19" ht="20.25" hidden="1" customHeight="1">
      <c r="Q5337" s="18"/>
      <c r="R5337" s="14"/>
      <c r="S5337" s="14">
        <v>1</v>
      </c>
    </row>
    <row r="5338" spans="17:19" ht="20.25" hidden="1" customHeight="1">
      <c r="Q5338" s="18"/>
      <c r="R5338" s="14"/>
      <c r="S5338" s="14">
        <v>1</v>
      </c>
    </row>
    <row r="5339" spans="17:19" ht="20.25" hidden="1" customHeight="1">
      <c r="Q5339" s="18"/>
      <c r="R5339" s="14"/>
      <c r="S5339" s="14">
        <v>1</v>
      </c>
    </row>
    <row r="5340" spans="17:19" ht="20.25" hidden="1" customHeight="1">
      <c r="Q5340" s="18"/>
      <c r="R5340" s="14"/>
      <c r="S5340" s="14">
        <v>1</v>
      </c>
    </row>
    <row r="5341" spans="17:19" ht="20.25" hidden="1" customHeight="1">
      <c r="Q5341" s="18"/>
      <c r="R5341" s="14"/>
      <c r="S5341" s="14">
        <v>1</v>
      </c>
    </row>
    <row r="5342" spans="17:19" ht="20.25" hidden="1" customHeight="1">
      <c r="Q5342" s="18"/>
      <c r="R5342" s="14"/>
      <c r="S5342" s="14">
        <v>1</v>
      </c>
    </row>
    <row r="5343" spans="17:19" ht="20.25" hidden="1" customHeight="1">
      <c r="Q5343" s="18"/>
      <c r="R5343" s="14"/>
      <c r="S5343" s="14">
        <v>1</v>
      </c>
    </row>
    <row r="5344" spans="17:19" ht="20.25" hidden="1" customHeight="1">
      <c r="Q5344" s="18"/>
      <c r="R5344" s="14"/>
      <c r="S5344" s="14">
        <v>1</v>
      </c>
    </row>
    <row r="5345" spans="17:19" ht="20.25" hidden="1" customHeight="1">
      <c r="Q5345" s="18"/>
      <c r="R5345" s="14"/>
      <c r="S5345" s="14">
        <v>1</v>
      </c>
    </row>
    <row r="5346" spans="17:19" ht="20.25" hidden="1" customHeight="1">
      <c r="Q5346" s="18"/>
      <c r="R5346" s="14"/>
      <c r="S5346" s="14">
        <v>1</v>
      </c>
    </row>
    <row r="5347" spans="17:19" ht="20.25" hidden="1" customHeight="1">
      <c r="Q5347" s="18"/>
      <c r="R5347" s="14"/>
      <c r="S5347" s="14">
        <v>1</v>
      </c>
    </row>
    <row r="5348" spans="17:19" ht="20.25" hidden="1" customHeight="1">
      <c r="Q5348" s="18"/>
      <c r="R5348" s="14"/>
      <c r="S5348" s="14">
        <v>1</v>
      </c>
    </row>
    <row r="5349" spans="17:19" ht="20.25" hidden="1" customHeight="1">
      <c r="Q5349" s="18"/>
      <c r="R5349" s="14"/>
      <c r="S5349" s="14">
        <v>1</v>
      </c>
    </row>
    <row r="5350" spans="17:19" ht="20.25" hidden="1" customHeight="1">
      <c r="Q5350" s="18"/>
      <c r="R5350" s="14"/>
      <c r="S5350" s="14">
        <v>1</v>
      </c>
    </row>
    <row r="5351" spans="17:19" ht="20.25" hidden="1" customHeight="1">
      <c r="Q5351" s="18"/>
      <c r="R5351" s="14"/>
      <c r="S5351" s="14">
        <v>1</v>
      </c>
    </row>
    <row r="5352" spans="17:19" ht="20.25" hidden="1" customHeight="1">
      <c r="Q5352" s="18"/>
      <c r="R5352" s="14"/>
      <c r="S5352" s="14">
        <v>1</v>
      </c>
    </row>
    <row r="5353" spans="17:19" ht="20.25" hidden="1" customHeight="1">
      <c r="Q5353" s="18"/>
      <c r="R5353" s="14"/>
      <c r="S5353" s="14">
        <v>1</v>
      </c>
    </row>
    <row r="5354" spans="17:19" ht="20.25" hidden="1" customHeight="1">
      <c r="Q5354" s="18"/>
      <c r="R5354" s="14"/>
      <c r="S5354" s="14">
        <v>1</v>
      </c>
    </row>
    <row r="5355" spans="17:19" ht="20.25" hidden="1" customHeight="1">
      <c r="Q5355" s="18"/>
      <c r="R5355" s="14"/>
      <c r="S5355" s="14">
        <v>1</v>
      </c>
    </row>
    <row r="5356" spans="17:19" ht="20.25" hidden="1" customHeight="1">
      <c r="Q5356" s="18"/>
      <c r="R5356" s="14"/>
      <c r="S5356" s="14">
        <v>1</v>
      </c>
    </row>
    <row r="5357" spans="17:19" ht="20.25" hidden="1" customHeight="1">
      <c r="Q5357" s="18"/>
      <c r="R5357" s="14"/>
      <c r="S5357" s="14">
        <v>1</v>
      </c>
    </row>
    <row r="5358" spans="17:19" ht="20.25" hidden="1" customHeight="1">
      <c r="Q5358" s="18"/>
      <c r="R5358" s="14"/>
      <c r="S5358" s="14">
        <v>1</v>
      </c>
    </row>
    <row r="5359" spans="17:19" ht="20.25" hidden="1" customHeight="1">
      <c r="Q5359" s="18"/>
      <c r="R5359" s="14"/>
      <c r="S5359" s="14">
        <v>1</v>
      </c>
    </row>
    <row r="5360" spans="17:19" ht="20.25" hidden="1" customHeight="1">
      <c r="Q5360" s="18"/>
      <c r="R5360" s="14"/>
      <c r="S5360" s="14">
        <v>1</v>
      </c>
    </row>
    <row r="5361" spans="17:19" ht="20.25" hidden="1" customHeight="1">
      <c r="Q5361" s="18"/>
      <c r="R5361" s="14"/>
      <c r="S5361" s="14">
        <v>1</v>
      </c>
    </row>
    <row r="5362" spans="17:19" ht="20.25" hidden="1" customHeight="1">
      <c r="Q5362" s="18"/>
      <c r="R5362" s="14"/>
      <c r="S5362" s="14">
        <v>1</v>
      </c>
    </row>
    <row r="5363" spans="17:19" ht="20.25" hidden="1" customHeight="1">
      <c r="Q5363" s="18"/>
      <c r="R5363" s="14"/>
      <c r="S5363" s="14">
        <v>1</v>
      </c>
    </row>
    <row r="5364" spans="17:19" ht="20.25" hidden="1" customHeight="1">
      <c r="Q5364" s="18"/>
      <c r="R5364" s="14"/>
      <c r="S5364" s="14">
        <v>1</v>
      </c>
    </row>
    <row r="5365" spans="17:19" ht="20.25" hidden="1" customHeight="1">
      <c r="Q5365" s="18"/>
      <c r="R5365" s="14"/>
      <c r="S5365" s="14">
        <v>1</v>
      </c>
    </row>
    <row r="5366" spans="17:19" ht="20.25" hidden="1" customHeight="1">
      <c r="Q5366" s="18"/>
      <c r="R5366" s="14"/>
      <c r="S5366" s="14">
        <v>1</v>
      </c>
    </row>
    <row r="5367" spans="17:19" ht="20.25" hidden="1" customHeight="1">
      <c r="Q5367" s="18"/>
      <c r="R5367" s="14"/>
      <c r="S5367" s="14">
        <v>1</v>
      </c>
    </row>
    <row r="5368" spans="17:19" ht="20.25" hidden="1" customHeight="1">
      <c r="Q5368" s="18"/>
      <c r="R5368" s="14"/>
      <c r="S5368" s="14">
        <v>1</v>
      </c>
    </row>
    <row r="5369" spans="17:19" ht="20.25" hidden="1" customHeight="1">
      <c r="Q5369" s="18"/>
      <c r="R5369" s="14"/>
      <c r="S5369" s="14">
        <v>1</v>
      </c>
    </row>
    <row r="5370" spans="17:19" ht="20.25" hidden="1" customHeight="1">
      <c r="Q5370" s="18"/>
      <c r="R5370" s="14"/>
      <c r="S5370" s="14">
        <v>1</v>
      </c>
    </row>
    <row r="5371" spans="17:19" ht="20.25" hidden="1" customHeight="1">
      <c r="Q5371" s="18"/>
      <c r="R5371" s="14"/>
      <c r="S5371" s="14">
        <v>1</v>
      </c>
    </row>
    <row r="5372" spans="17:19" ht="20.25" hidden="1" customHeight="1">
      <c r="Q5372" s="18"/>
      <c r="R5372" s="14"/>
      <c r="S5372" s="14">
        <v>1</v>
      </c>
    </row>
    <row r="5373" spans="17:19" ht="20.25" hidden="1" customHeight="1">
      <c r="Q5373" s="18"/>
      <c r="R5373" s="14"/>
      <c r="S5373" s="14">
        <v>1</v>
      </c>
    </row>
    <row r="5374" spans="17:19" ht="20.25" hidden="1" customHeight="1">
      <c r="Q5374" s="18"/>
      <c r="R5374" s="14"/>
      <c r="S5374" s="14">
        <v>1</v>
      </c>
    </row>
    <row r="5375" spans="17:19" ht="20.25" hidden="1" customHeight="1">
      <c r="Q5375" s="18"/>
      <c r="R5375" s="14"/>
      <c r="S5375" s="14">
        <v>1</v>
      </c>
    </row>
    <row r="5376" spans="17:19" ht="20.25" hidden="1" customHeight="1">
      <c r="Q5376" s="18"/>
      <c r="R5376" s="14"/>
      <c r="S5376" s="14">
        <v>1</v>
      </c>
    </row>
    <row r="5377" spans="17:19" ht="20.25" hidden="1" customHeight="1">
      <c r="Q5377" s="18"/>
      <c r="R5377" s="14"/>
      <c r="S5377" s="14">
        <v>1</v>
      </c>
    </row>
    <row r="5378" spans="17:19" ht="20.25" hidden="1" customHeight="1">
      <c r="Q5378" s="18"/>
      <c r="R5378" s="14"/>
      <c r="S5378" s="14">
        <v>1</v>
      </c>
    </row>
    <row r="5379" spans="17:19" ht="20.25" hidden="1" customHeight="1">
      <c r="Q5379" s="18"/>
      <c r="R5379" s="14"/>
      <c r="S5379" s="14">
        <v>1</v>
      </c>
    </row>
    <row r="5380" spans="17:19" ht="20.25" hidden="1" customHeight="1">
      <c r="Q5380" s="18"/>
      <c r="R5380" s="14"/>
      <c r="S5380" s="14">
        <v>1</v>
      </c>
    </row>
    <row r="5381" spans="17:19" ht="20.25" hidden="1" customHeight="1">
      <c r="Q5381" s="18"/>
      <c r="R5381" s="14"/>
      <c r="S5381" s="14">
        <v>1</v>
      </c>
    </row>
    <row r="5382" spans="17:19" ht="20.25" hidden="1" customHeight="1">
      <c r="Q5382" s="18"/>
      <c r="R5382" s="14"/>
      <c r="S5382" s="14">
        <v>1</v>
      </c>
    </row>
    <row r="5383" spans="17:19" ht="20.25" hidden="1" customHeight="1">
      <c r="Q5383" s="18"/>
      <c r="R5383" s="14"/>
      <c r="S5383" s="14">
        <v>1</v>
      </c>
    </row>
    <row r="5384" spans="17:19" ht="20.25" hidden="1" customHeight="1">
      <c r="Q5384" s="18"/>
      <c r="R5384" s="14"/>
      <c r="S5384" s="14">
        <v>1</v>
      </c>
    </row>
    <row r="5385" spans="17:19" ht="20.25" hidden="1" customHeight="1">
      <c r="Q5385" s="18"/>
      <c r="R5385" s="14"/>
      <c r="S5385" s="14">
        <v>1</v>
      </c>
    </row>
    <row r="5386" spans="17:19" ht="20.25" hidden="1" customHeight="1">
      <c r="Q5386" s="18"/>
      <c r="R5386" s="14"/>
      <c r="S5386" s="14">
        <v>1</v>
      </c>
    </row>
    <row r="5387" spans="17:19" ht="20.25" hidden="1" customHeight="1">
      <c r="Q5387" s="18"/>
      <c r="R5387" s="14"/>
      <c r="S5387" s="14">
        <v>1</v>
      </c>
    </row>
    <row r="5388" spans="17:19" ht="20.25" hidden="1" customHeight="1">
      <c r="Q5388" s="18"/>
      <c r="R5388" s="14"/>
      <c r="S5388" s="14">
        <v>1</v>
      </c>
    </row>
    <row r="5389" spans="17:19" ht="20.25" hidden="1" customHeight="1">
      <c r="Q5389" s="18"/>
      <c r="R5389" s="14"/>
      <c r="S5389" s="14">
        <v>1</v>
      </c>
    </row>
    <row r="5390" spans="17:19" ht="20.25" hidden="1" customHeight="1">
      <c r="Q5390" s="18"/>
      <c r="R5390" s="14"/>
      <c r="S5390" s="14">
        <v>1</v>
      </c>
    </row>
    <row r="5391" spans="17:19" ht="20.25" hidden="1" customHeight="1">
      <c r="Q5391" s="18"/>
      <c r="R5391" s="14"/>
      <c r="S5391" s="14">
        <v>1</v>
      </c>
    </row>
    <row r="5392" spans="17:19" ht="20.25" hidden="1" customHeight="1">
      <c r="Q5392" s="18"/>
      <c r="R5392" s="14"/>
      <c r="S5392" s="14">
        <v>1</v>
      </c>
    </row>
    <row r="5393" spans="17:19" ht="20.25" hidden="1" customHeight="1">
      <c r="Q5393" s="18"/>
      <c r="R5393" s="14"/>
      <c r="S5393" s="14">
        <v>1</v>
      </c>
    </row>
    <row r="5394" spans="17:19" ht="20.25" hidden="1" customHeight="1">
      <c r="Q5394" s="18"/>
      <c r="R5394" s="14"/>
      <c r="S5394" s="14">
        <v>1</v>
      </c>
    </row>
    <row r="5395" spans="17:19" ht="20.25" hidden="1" customHeight="1">
      <c r="Q5395" s="18"/>
      <c r="R5395" s="14"/>
      <c r="S5395" s="14">
        <v>1</v>
      </c>
    </row>
    <row r="5396" spans="17:19" ht="20.25" hidden="1" customHeight="1">
      <c r="Q5396" s="18"/>
      <c r="R5396" s="14"/>
      <c r="S5396" s="14">
        <v>1</v>
      </c>
    </row>
    <row r="5397" spans="17:19" ht="20.25" hidden="1" customHeight="1">
      <c r="Q5397" s="18"/>
      <c r="R5397" s="14"/>
      <c r="S5397" s="14">
        <v>1</v>
      </c>
    </row>
    <row r="5398" spans="17:19" ht="20.25" hidden="1" customHeight="1">
      <c r="Q5398" s="18"/>
      <c r="R5398" s="14"/>
      <c r="S5398" s="14">
        <v>1</v>
      </c>
    </row>
    <row r="5399" spans="17:19" ht="20.25" hidden="1" customHeight="1">
      <c r="Q5399" s="18"/>
      <c r="R5399" s="14"/>
      <c r="S5399" s="14">
        <v>1</v>
      </c>
    </row>
    <row r="5400" spans="17:19" ht="20.25" hidden="1" customHeight="1">
      <c r="Q5400" s="18"/>
      <c r="R5400" s="14"/>
      <c r="S5400" s="14">
        <v>1</v>
      </c>
    </row>
    <row r="5401" spans="17:19" ht="20.25" hidden="1" customHeight="1">
      <c r="Q5401" s="18"/>
      <c r="R5401" s="14"/>
      <c r="S5401" s="14">
        <v>1</v>
      </c>
    </row>
    <row r="5402" spans="17:19" ht="20.25" hidden="1" customHeight="1">
      <c r="Q5402" s="18"/>
      <c r="R5402" s="14"/>
      <c r="S5402" s="14">
        <v>1</v>
      </c>
    </row>
    <row r="5403" spans="17:19" ht="20.25" hidden="1" customHeight="1">
      <c r="Q5403" s="18"/>
      <c r="R5403" s="14"/>
      <c r="S5403" s="14">
        <v>1</v>
      </c>
    </row>
    <row r="5404" spans="17:19" ht="20.25" hidden="1" customHeight="1">
      <c r="Q5404" s="18"/>
      <c r="R5404" s="14"/>
      <c r="S5404" s="14">
        <v>1</v>
      </c>
    </row>
    <row r="5405" spans="17:19" ht="20.25" hidden="1" customHeight="1">
      <c r="Q5405" s="18"/>
      <c r="R5405" s="14"/>
      <c r="S5405" s="14">
        <v>1</v>
      </c>
    </row>
    <row r="5406" spans="17:19" ht="20.25" hidden="1" customHeight="1">
      <c r="Q5406" s="18"/>
      <c r="R5406" s="14"/>
      <c r="S5406" s="14">
        <v>1</v>
      </c>
    </row>
    <row r="5407" spans="17:19" ht="20.25" hidden="1" customHeight="1">
      <c r="Q5407" s="18"/>
      <c r="R5407" s="14"/>
      <c r="S5407" s="14">
        <v>1</v>
      </c>
    </row>
    <row r="5408" spans="17:19" ht="20.25" hidden="1" customHeight="1">
      <c r="Q5408" s="18"/>
      <c r="R5408" s="14"/>
      <c r="S5408" s="14">
        <v>1</v>
      </c>
    </row>
    <row r="5409" spans="17:19" ht="20.25" hidden="1" customHeight="1">
      <c r="Q5409" s="18"/>
      <c r="R5409" s="14"/>
      <c r="S5409" s="14">
        <v>1</v>
      </c>
    </row>
    <row r="5410" spans="17:19" ht="20.25" hidden="1" customHeight="1">
      <c r="Q5410" s="18"/>
      <c r="R5410" s="14"/>
      <c r="S5410" s="14">
        <v>1</v>
      </c>
    </row>
    <row r="5411" spans="17:19" ht="20.25" hidden="1" customHeight="1">
      <c r="Q5411" s="18"/>
      <c r="R5411" s="14"/>
      <c r="S5411" s="14">
        <v>1</v>
      </c>
    </row>
    <row r="5412" spans="17:19" ht="20.25" hidden="1" customHeight="1">
      <c r="Q5412" s="18"/>
      <c r="R5412" s="14"/>
      <c r="S5412" s="14">
        <v>1</v>
      </c>
    </row>
    <row r="5413" spans="17:19" ht="20.25" hidden="1" customHeight="1">
      <c r="Q5413" s="18"/>
      <c r="R5413" s="14"/>
      <c r="S5413" s="14">
        <v>1</v>
      </c>
    </row>
    <row r="5414" spans="17:19" ht="20.25" hidden="1" customHeight="1">
      <c r="Q5414" s="18"/>
      <c r="R5414" s="14"/>
      <c r="S5414" s="14">
        <v>1</v>
      </c>
    </row>
    <row r="5415" spans="17:19" ht="20.25" hidden="1" customHeight="1">
      <c r="Q5415" s="18"/>
      <c r="R5415" s="14"/>
      <c r="S5415" s="14">
        <v>1</v>
      </c>
    </row>
    <row r="5416" spans="17:19" ht="20.25" hidden="1" customHeight="1">
      <c r="Q5416" s="18"/>
      <c r="R5416" s="14"/>
      <c r="S5416" s="14">
        <v>1</v>
      </c>
    </row>
    <row r="5417" spans="17:19" ht="20.25" hidden="1" customHeight="1">
      <c r="Q5417" s="18"/>
      <c r="R5417" s="14"/>
      <c r="S5417" s="14">
        <v>1</v>
      </c>
    </row>
    <row r="5418" spans="17:19" ht="20.25" hidden="1" customHeight="1">
      <c r="Q5418" s="18"/>
      <c r="R5418" s="14"/>
      <c r="S5418" s="14">
        <v>1</v>
      </c>
    </row>
    <row r="5419" spans="17:19" ht="20.25" hidden="1" customHeight="1">
      <c r="Q5419" s="18"/>
      <c r="R5419" s="14"/>
      <c r="S5419" s="14">
        <v>1</v>
      </c>
    </row>
    <row r="5420" spans="17:19" ht="20.25" hidden="1" customHeight="1">
      <c r="Q5420" s="18"/>
      <c r="R5420" s="14"/>
      <c r="S5420" s="14">
        <v>1</v>
      </c>
    </row>
    <row r="5421" spans="17:19" ht="20.25" hidden="1" customHeight="1">
      <c r="Q5421" s="18"/>
      <c r="R5421" s="14"/>
      <c r="S5421" s="14">
        <v>1</v>
      </c>
    </row>
    <row r="5422" spans="17:19" ht="20.25" hidden="1" customHeight="1">
      <c r="Q5422" s="18"/>
      <c r="R5422" s="14"/>
      <c r="S5422" s="14">
        <v>1</v>
      </c>
    </row>
    <row r="5423" spans="17:19" ht="20.25" hidden="1" customHeight="1">
      <c r="Q5423" s="18"/>
      <c r="R5423" s="14"/>
      <c r="S5423" s="14">
        <v>1</v>
      </c>
    </row>
    <row r="5424" spans="17:19" ht="20.25" hidden="1" customHeight="1">
      <c r="Q5424" s="18"/>
      <c r="R5424" s="14"/>
      <c r="S5424" s="14">
        <v>1</v>
      </c>
    </row>
    <row r="5425" spans="17:19" ht="20.25" hidden="1" customHeight="1">
      <c r="Q5425" s="18"/>
      <c r="R5425" s="14"/>
      <c r="S5425" s="14">
        <v>1</v>
      </c>
    </row>
    <row r="5426" spans="17:19" ht="20.25" hidden="1" customHeight="1">
      <c r="Q5426" s="18"/>
      <c r="R5426" s="14"/>
      <c r="S5426" s="14">
        <v>1</v>
      </c>
    </row>
    <row r="5427" spans="17:19" ht="20.25" hidden="1" customHeight="1">
      <c r="Q5427" s="18"/>
      <c r="R5427" s="14"/>
      <c r="S5427" s="14">
        <v>1</v>
      </c>
    </row>
    <row r="5428" spans="17:19" ht="20.25" hidden="1" customHeight="1">
      <c r="Q5428" s="18"/>
      <c r="R5428" s="14"/>
      <c r="S5428" s="14">
        <v>1</v>
      </c>
    </row>
    <row r="5429" spans="17:19" ht="20.25" hidden="1" customHeight="1">
      <c r="Q5429" s="18"/>
      <c r="R5429" s="14"/>
      <c r="S5429" s="14">
        <v>1</v>
      </c>
    </row>
    <row r="5430" spans="17:19" ht="20.25" hidden="1" customHeight="1">
      <c r="Q5430" s="18"/>
      <c r="R5430" s="14"/>
      <c r="S5430" s="14">
        <v>1</v>
      </c>
    </row>
    <row r="5431" spans="17:19" ht="20.25" hidden="1" customHeight="1">
      <c r="Q5431" s="18"/>
      <c r="R5431" s="14"/>
      <c r="S5431" s="14">
        <v>1</v>
      </c>
    </row>
    <row r="5432" spans="17:19" ht="20.25" hidden="1" customHeight="1">
      <c r="Q5432" s="18"/>
      <c r="R5432" s="14"/>
      <c r="S5432" s="14">
        <v>1</v>
      </c>
    </row>
    <row r="5433" spans="17:19" ht="20.25" hidden="1" customHeight="1">
      <c r="Q5433" s="18"/>
      <c r="R5433" s="14"/>
      <c r="S5433" s="14">
        <v>1</v>
      </c>
    </row>
    <row r="5434" spans="17:19" ht="20.25" hidden="1" customHeight="1">
      <c r="Q5434" s="18"/>
      <c r="R5434" s="14"/>
      <c r="S5434" s="14">
        <v>1</v>
      </c>
    </row>
    <row r="5435" spans="17:19" ht="20.25" hidden="1" customHeight="1">
      <c r="Q5435" s="18"/>
      <c r="R5435" s="14"/>
      <c r="S5435" s="14">
        <v>1</v>
      </c>
    </row>
    <row r="5436" spans="17:19" ht="20.25" hidden="1" customHeight="1">
      <c r="Q5436" s="18"/>
      <c r="R5436" s="14"/>
      <c r="S5436" s="14">
        <v>1</v>
      </c>
    </row>
    <row r="5437" spans="17:19" ht="20.25" hidden="1" customHeight="1">
      <c r="Q5437" s="18"/>
      <c r="R5437" s="14"/>
      <c r="S5437" s="14">
        <v>1</v>
      </c>
    </row>
    <row r="5438" spans="17:19" ht="20.25" hidden="1" customHeight="1">
      <c r="Q5438" s="18"/>
      <c r="R5438" s="14"/>
      <c r="S5438" s="14">
        <v>1</v>
      </c>
    </row>
    <row r="5439" spans="17:19" ht="20.25" hidden="1" customHeight="1">
      <c r="Q5439" s="18"/>
      <c r="R5439" s="14"/>
      <c r="S5439" s="14">
        <v>1</v>
      </c>
    </row>
    <row r="5440" spans="17:19" ht="20.25" hidden="1" customHeight="1">
      <c r="Q5440" s="18"/>
      <c r="R5440" s="14"/>
      <c r="S5440" s="14">
        <v>1</v>
      </c>
    </row>
    <row r="5441" spans="17:19" ht="20.25" hidden="1" customHeight="1">
      <c r="Q5441" s="18"/>
      <c r="R5441" s="14"/>
      <c r="S5441" s="14">
        <v>1</v>
      </c>
    </row>
    <row r="5442" spans="17:19" ht="20.25" hidden="1" customHeight="1">
      <c r="Q5442" s="18"/>
      <c r="R5442" s="14"/>
      <c r="S5442" s="14">
        <v>1</v>
      </c>
    </row>
    <row r="5443" spans="17:19" ht="20.25" hidden="1" customHeight="1">
      <c r="Q5443" s="18"/>
      <c r="R5443" s="14"/>
      <c r="S5443" s="14">
        <v>1</v>
      </c>
    </row>
    <row r="5444" spans="17:19" ht="20.25" hidden="1" customHeight="1">
      <c r="Q5444" s="18"/>
      <c r="R5444" s="14"/>
      <c r="S5444" s="14">
        <v>1</v>
      </c>
    </row>
    <row r="5445" spans="17:19" ht="20.25" hidden="1" customHeight="1">
      <c r="Q5445" s="18"/>
      <c r="R5445" s="14"/>
      <c r="S5445" s="14">
        <v>1</v>
      </c>
    </row>
    <row r="5446" spans="17:19" ht="20.25" hidden="1" customHeight="1">
      <c r="Q5446" s="18"/>
      <c r="R5446" s="14"/>
      <c r="S5446" s="14">
        <v>1</v>
      </c>
    </row>
    <row r="5447" spans="17:19" ht="20.25" hidden="1" customHeight="1">
      <c r="Q5447" s="18"/>
      <c r="R5447" s="14"/>
      <c r="S5447" s="14">
        <v>1</v>
      </c>
    </row>
    <row r="5448" spans="17:19" ht="20.25" hidden="1" customHeight="1">
      <c r="Q5448" s="18"/>
      <c r="R5448" s="14"/>
      <c r="S5448" s="14">
        <v>1</v>
      </c>
    </row>
    <row r="5449" spans="17:19" ht="20.25" hidden="1" customHeight="1">
      <c r="Q5449" s="18"/>
      <c r="R5449" s="14"/>
      <c r="S5449" s="14">
        <v>1</v>
      </c>
    </row>
    <row r="5450" spans="17:19" ht="20.25" hidden="1" customHeight="1">
      <c r="Q5450" s="18"/>
      <c r="R5450" s="14"/>
      <c r="S5450" s="14">
        <v>1</v>
      </c>
    </row>
    <row r="5451" spans="17:19" ht="20.25" hidden="1" customHeight="1">
      <c r="Q5451" s="18"/>
      <c r="R5451" s="14"/>
      <c r="S5451" s="14">
        <v>1</v>
      </c>
    </row>
    <row r="5452" spans="17:19" ht="20.25" hidden="1" customHeight="1">
      <c r="Q5452" s="18"/>
      <c r="R5452" s="14"/>
      <c r="S5452" s="14">
        <v>1</v>
      </c>
    </row>
    <row r="5453" spans="17:19" ht="20.25" hidden="1" customHeight="1">
      <c r="Q5453" s="18"/>
      <c r="R5453" s="14"/>
      <c r="S5453" s="14">
        <v>1</v>
      </c>
    </row>
    <row r="5454" spans="17:19" ht="20.25" hidden="1" customHeight="1">
      <c r="Q5454" s="18"/>
      <c r="R5454" s="14"/>
      <c r="S5454" s="14">
        <v>1</v>
      </c>
    </row>
    <row r="5455" spans="17:19" ht="20.25" hidden="1" customHeight="1">
      <c r="Q5455" s="18"/>
      <c r="R5455" s="14"/>
      <c r="S5455" s="14">
        <v>1</v>
      </c>
    </row>
    <row r="5456" spans="17:19" ht="20.25" hidden="1" customHeight="1">
      <c r="Q5456" s="18"/>
      <c r="R5456" s="14"/>
      <c r="S5456" s="14">
        <v>1</v>
      </c>
    </row>
    <row r="5457" spans="17:19" ht="20.25" hidden="1" customHeight="1">
      <c r="Q5457" s="18"/>
      <c r="R5457" s="14"/>
      <c r="S5457" s="14">
        <v>1</v>
      </c>
    </row>
    <row r="5458" spans="17:19" ht="20.25" hidden="1" customHeight="1">
      <c r="Q5458" s="18"/>
      <c r="R5458" s="14"/>
      <c r="S5458" s="14">
        <v>1</v>
      </c>
    </row>
    <row r="5459" spans="17:19" ht="20.25" hidden="1" customHeight="1">
      <c r="Q5459" s="18"/>
      <c r="R5459" s="14"/>
      <c r="S5459" s="14">
        <v>1</v>
      </c>
    </row>
    <row r="5460" spans="17:19" ht="20.25" hidden="1" customHeight="1">
      <c r="Q5460" s="18"/>
      <c r="R5460" s="14"/>
      <c r="S5460" s="14">
        <v>1</v>
      </c>
    </row>
    <row r="5461" spans="17:19" ht="20.25" hidden="1" customHeight="1">
      <c r="Q5461" s="18"/>
      <c r="R5461" s="14"/>
      <c r="S5461" s="14">
        <v>1</v>
      </c>
    </row>
    <row r="5462" spans="17:19" ht="20.25" hidden="1" customHeight="1">
      <c r="Q5462" s="18"/>
      <c r="R5462" s="14"/>
      <c r="S5462" s="14">
        <v>1</v>
      </c>
    </row>
    <row r="5463" spans="17:19" ht="20.25" hidden="1" customHeight="1">
      <c r="Q5463" s="18"/>
      <c r="R5463" s="14"/>
      <c r="S5463" s="14">
        <v>1</v>
      </c>
    </row>
    <row r="5464" spans="17:19" ht="20.25" hidden="1" customHeight="1">
      <c r="Q5464" s="18"/>
      <c r="R5464" s="14"/>
      <c r="S5464" s="14">
        <v>1</v>
      </c>
    </row>
    <row r="5465" spans="17:19" ht="20.25" hidden="1" customHeight="1">
      <c r="Q5465" s="18"/>
      <c r="R5465" s="14"/>
      <c r="S5465" s="14">
        <v>1</v>
      </c>
    </row>
    <row r="5466" spans="17:19" ht="20.25" hidden="1" customHeight="1">
      <c r="Q5466" s="18"/>
      <c r="R5466" s="14"/>
      <c r="S5466" s="14">
        <v>1</v>
      </c>
    </row>
    <row r="5467" spans="17:19" ht="20.25" hidden="1" customHeight="1">
      <c r="Q5467" s="18"/>
      <c r="R5467" s="14"/>
      <c r="S5467" s="14">
        <v>1</v>
      </c>
    </row>
    <row r="5468" spans="17:19" ht="20.25" hidden="1" customHeight="1">
      <c r="Q5468" s="18"/>
      <c r="R5468" s="14"/>
      <c r="S5468" s="14">
        <v>1</v>
      </c>
    </row>
    <row r="5469" spans="17:19" ht="20.25" hidden="1" customHeight="1">
      <c r="Q5469" s="18"/>
      <c r="R5469" s="14"/>
      <c r="S5469" s="14">
        <v>1</v>
      </c>
    </row>
    <row r="5470" spans="17:19" ht="20.25" hidden="1" customHeight="1">
      <c r="Q5470" s="18"/>
      <c r="R5470" s="14"/>
      <c r="S5470" s="14">
        <v>1</v>
      </c>
    </row>
    <row r="5471" spans="17:19" ht="20.25" hidden="1" customHeight="1">
      <c r="Q5471" s="18"/>
      <c r="R5471" s="14"/>
      <c r="S5471" s="14">
        <v>1</v>
      </c>
    </row>
    <row r="5472" spans="17:19" ht="20.25" hidden="1" customHeight="1">
      <c r="Q5472" s="18"/>
      <c r="R5472" s="14"/>
      <c r="S5472" s="14">
        <v>1</v>
      </c>
    </row>
    <row r="5473" spans="17:19" ht="20.25" hidden="1" customHeight="1">
      <c r="Q5473" s="18"/>
      <c r="R5473" s="14"/>
      <c r="S5473" s="14">
        <v>1</v>
      </c>
    </row>
    <row r="5474" spans="17:19" ht="20.25" hidden="1" customHeight="1">
      <c r="Q5474" s="18"/>
      <c r="R5474" s="14"/>
      <c r="S5474" s="14">
        <v>1</v>
      </c>
    </row>
    <row r="5475" spans="17:19" ht="20.25" hidden="1" customHeight="1">
      <c r="Q5475" s="18"/>
      <c r="R5475" s="14"/>
      <c r="S5475" s="14">
        <v>1</v>
      </c>
    </row>
    <row r="5476" spans="17:19" ht="20.25" hidden="1" customHeight="1">
      <c r="Q5476" s="18"/>
      <c r="R5476" s="14"/>
      <c r="S5476" s="14">
        <v>1</v>
      </c>
    </row>
    <row r="5477" spans="17:19" ht="20.25" hidden="1" customHeight="1">
      <c r="Q5477" s="18"/>
      <c r="R5477" s="14"/>
      <c r="S5477" s="14">
        <v>1</v>
      </c>
    </row>
    <row r="5478" spans="17:19" ht="20.25" hidden="1" customHeight="1">
      <c r="Q5478" s="18"/>
      <c r="R5478" s="14"/>
      <c r="S5478" s="14">
        <v>1</v>
      </c>
    </row>
    <row r="5479" spans="17:19" ht="20.25" hidden="1" customHeight="1">
      <c r="Q5479" s="18"/>
      <c r="R5479" s="14"/>
      <c r="S5479" s="14">
        <v>1</v>
      </c>
    </row>
    <row r="5480" spans="17:19" ht="20.25" hidden="1" customHeight="1">
      <c r="Q5480" s="18"/>
      <c r="R5480" s="14"/>
      <c r="S5480" s="14">
        <v>1</v>
      </c>
    </row>
    <row r="5481" spans="17:19" ht="20.25" hidden="1" customHeight="1">
      <c r="Q5481" s="18"/>
      <c r="R5481" s="14"/>
      <c r="S5481" s="14">
        <v>1</v>
      </c>
    </row>
    <row r="5482" spans="17:19" ht="20.25" hidden="1" customHeight="1">
      <c r="Q5482" s="18"/>
      <c r="R5482" s="14"/>
      <c r="S5482" s="14">
        <v>1</v>
      </c>
    </row>
    <row r="5483" spans="17:19" ht="20.25" hidden="1" customHeight="1">
      <c r="Q5483" s="18"/>
      <c r="R5483" s="14"/>
      <c r="S5483" s="14">
        <v>1</v>
      </c>
    </row>
    <row r="5484" spans="17:19" ht="20.25" hidden="1" customHeight="1">
      <c r="Q5484" s="18"/>
      <c r="R5484" s="14"/>
      <c r="S5484" s="14">
        <v>1</v>
      </c>
    </row>
    <row r="5485" spans="17:19" ht="20.25" hidden="1" customHeight="1">
      <c r="Q5485" s="18"/>
      <c r="R5485" s="14"/>
      <c r="S5485" s="14">
        <v>1</v>
      </c>
    </row>
    <row r="5486" spans="17:19" ht="20.25" hidden="1" customHeight="1">
      <c r="Q5486" s="18"/>
      <c r="R5486" s="14"/>
      <c r="S5486" s="14">
        <v>1</v>
      </c>
    </row>
    <row r="5487" spans="17:19" ht="20.25" hidden="1" customHeight="1">
      <c r="Q5487" s="18"/>
      <c r="R5487" s="14"/>
      <c r="S5487" s="14">
        <v>1</v>
      </c>
    </row>
    <row r="5488" spans="17:19" ht="20.25" hidden="1" customHeight="1">
      <c r="Q5488" s="18"/>
      <c r="R5488" s="14"/>
      <c r="S5488" s="14">
        <v>1</v>
      </c>
    </row>
    <row r="5489" spans="17:19" ht="20.25" hidden="1" customHeight="1">
      <c r="Q5489" s="18"/>
      <c r="R5489" s="14"/>
      <c r="S5489" s="14">
        <v>1</v>
      </c>
    </row>
    <row r="5490" spans="17:19" ht="20.25" hidden="1" customHeight="1">
      <c r="Q5490" s="18"/>
      <c r="R5490" s="14"/>
      <c r="S5490" s="14">
        <v>1</v>
      </c>
    </row>
    <row r="5491" spans="17:19" ht="20.25" hidden="1" customHeight="1">
      <c r="Q5491" s="18"/>
      <c r="R5491" s="14"/>
      <c r="S5491" s="14">
        <v>1</v>
      </c>
    </row>
    <row r="5492" spans="17:19" ht="20.25" hidden="1" customHeight="1">
      <c r="Q5492" s="18"/>
      <c r="R5492" s="14"/>
      <c r="S5492" s="14">
        <v>1</v>
      </c>
    </row>
    <row r="5493" spans="17:19" ht="20.25" hidden="1" customHeight="1">
      <c r="Q5493" s="18"/>
      <c r="R5493" s="14"/>
      <c r="S5493" s="14">
        <v>1</v>
      </c>
    </row>
    <row r="5494" spans="17:19" ht="20.25" hidden="1" customHeight="1">
      <c r="Q5494" s="18"/>
      <c r="R5494" s="14"/>
      <c r="S5494" s="14">
        <v>1</v>
      </c>
    </row>
    <row r="5495" spans="17:19" ht="20.25" hidden="1" customHeight="1">
      <c r="Q5495" s="18"/>
      <c r="R5495" s="14"/>
      <c r="S5495" s="14">
        <v>1</v>
      </c>
    </row>
    <row r="5496" spans="17:19" ht="20.25" hidden="1" customHeight="1">
      <c r="Q5496" s="18"/>
      <c r="R5496" s="14"/>
      <c r="S5496" s="14">
        <v>1</v>
      </c>
    </row>
    <row r="5497" spans="17:19" ht="20.25" hidden="1" customHeight="1">
      <c r="Q5497" s="18"/>
      <c r="R5497" s="14"/>
      <c r="S5497" s="14">
        <v>1</v>
      </c>
    </row>
    <row r="5498" spans="17:19" ht="20.25" hidden="1" customHeight="1">
      <c r="Q5498" s="18"/>
      <c r="R5498" s="14"/>
      <c r="S5498" s="14">
        <v>1</v>
      </c>
    </row>
    <row r="5499" spans="17:19" ht="20.25" hidden="1" customHeight="1">
      <c r="Q5499" s="18"/>
      <c r="R5499" s="14"/>
      <c r="S5499" s="14">
        <v>1</v>
      </c>
    </row>
    <row r="5500" spans="17:19" ht="20.25" hidden="1" customHeight="1">
      <c r="Q5500" s="18"/>
      <c r="R5500" s="14"/>
      <c r="S5500" s="14">
        <v>1</v>
      </c>
    </row>
    <row r="5501" spans="17:19" ht="20.25" hidden="1" customHeight="1">
      <c r="Q5501" s="18"/>
      <c r="R5501" s="14"/>
      <c r="S5501" s="14">
        <v>1</v>
      </c>
    </row>
    <row r="5502" spans="17:19" ht="20.25" hidden="1" customHeight="1">
      <c r="Q5502" s="18"/>
      <c r="R5502" s="14"/>
      <c r="S5502" s="14">
        <v>1</v>
      </c>
    </row>
    <row r="5503" spans="17:19" ht="20.25" hidden="1" customHeight="1">
      <c r="Q5503" s="18"/>
      <c r="R5503" s="14"/>
      <c r="S5503" s="14">
        <v>1</v>
      </c>
    </row>
    <row r="5504" spans="17:19" ht="20.25" hidden="1" customHeight="1">
      <c r="Q5504" s="18"/>
      <c r="R5504" s="14"/>
      <c r="S5504" s="14">
        <v>1</v>
      </c>
    </row>
    <row r="5505" spans="17:19" ht="20.25" hidden="1" customHeight="1">
      <c r="Q5505" s="18"/>
      <c r="R5505" s="14"/>
      <c r="S5505" s="14">
        <v>1</v>
      </c>
    </row>
    <row r="5506" spans="17:19" ht="20.25" hidden="1" customHeight="1">
      <c r="Q5506" s="18"/>
      <c r="R5506" s="14"/>
      <c r="S5506" s="14">
        <v>1</v>
      </c>
    </row>
    <row r="5507" spans="17:19" ht="20.25" hidden="1" customHeight="1">
      <c r="Q5507" s="18"/>
      <c r="R5507" s="14"/>
      <c r="S5507" s="14">
        <v>1</v>
      </c>
    </row>
    <row r="5508" spans="17:19" ht="20.25" hidden="1" customHeight="1">
      <c r="Q5508" s="18"/>
      <c r="R5508" s="14"/>
      <c r="S5508" s="14">
        <v>1</v>
      </c>
    </row>
    <row r="5509" spans="17:19" ht="20.25" hidden="1" customHeight="1">
      <c r="Q5509" s="18"/>
      <c r="R5509" s="14"/>
      <c r="S5509" s="14">
        <v>1</v>
      </c>
    </row>
    <row r="5510" spans="17:19" ht="20.25" hidden="1" customHeight="1">
      <c r="Q5510" s="18"/>
      <c r="R5510" s="14"/>
      <c r="S5510" s="14">
        <v>1</v>
      </c>
    </row>
    <row r="5511" spans="17:19" ht="20.25" hidden="1" customHeight="1">
      <c r="Q5511" s="18"/>
      <c r="R5511" s="14"/>
      <c r="S5511" s="14">
        <v>1</v>
      </c>
    </row>
    <row r="5512" spans="17:19" ht="20.25" hidden="1" customHeight="1">
      <c r="Q5512" s="18"/>
      <c r="R5512" s="14"/>
      <c r="S5512" s="14">
        <v>1</v>
      </c>
    </row>
    <row r="5513" spans="17:19" ht="20.25" hidden="1" customHeight="1">
      <c r="Q5513" s="18"/>
      <c r="R5513" s="14"/>
      <c r="S5513" s="14">
        <v>1</v>
      </c>
    </row>
    <row r="5514" spans="17:19" ht="20.25" hidden="1" customHeight="1">
      <c r="Q5514" s="18"/>
      <c r="R5514" s="14"/>
      <c r="S5514" s="14">
        <v>1</v>
      </c>
    </row>
    <row r="5515" spans="17:19" ht="20.25" hidden="1" customHeight="1">
      <c r="Q5515" s="18"/>
      <c r="R5515" s="14"/>
      <c r="S5515" s="14">
        <v>1</v>
      </c>
    </row>
    <row r="5516" spans="17:19" ht="20.25" hidden="1" customHeight="1">
      <c r="Q5516" s="18"/>
      <c r="R5516" s="14"/>
      <c r="S5516" s="14">
        <v>1</v>
      </c>
    </row>
    <row r="5517" spans="17:19" ht="20.25" hidden="1" customHeight="1">
      <c r="Q5517" s="18"/>
      <c r="R5517" s="14"/>
      <c r="S5517" s="14">
        <v>1</v>
      </c>
    </row>
    <row r="5518" spans="17:19" ht="20.25" hidden="1" customHeight="1">
      <c r="Q5518" s="18"/>
      <c r="R5518" s="14"/>
      <c r="S5518" s="14">
        <v>1</v>
      </c>
    </row>
    <row r="5519" spans="17:19" ht="20.25" hidden="1" customHeight="1">
      <c r="Q5519" s="18"/>
      <c r="R5519" s="14"/>
      <c r="S5519" s="14">
        <v>1</v>
      </c>
    </row>
    <row r="5520" spans="17:19" ht="20.25" hidden="1" customHeight="1">
      <c r="Q5520" s="18"/>
      <c r="R5520" s="14"/>
      <c r="S5520" s="14">
        <v>1</v>
      </c>
    </row>
    <row r="5521" spans="17:19" ht="20.25" hidden="1" customHeight="1">
      <c r="Q5521" s="18"/>
      <c r="R5521" s="14"/>
      <c r="S5521" s="14">
        <v>1</v>
      </c>
    </row>
    <row r="5522" spans="17:19" ht="20.25" hidden="1" customHeight="1">
      <c r="Q5522" s="18"/>
      <c r="R5522" s="14"/>
      <c r="S5522" s="14">
        <v>1</v>
      </c>
    </row>
    <row r="5523" spans="17:19" ht="20.25" hidden="1" customHeight="1">
      <c r="Q5523" s="18"/>
      <c r="R5523" s="14"/>
      <c r="S5523" s="14">
        <v>1</v>
      </c>
    </row>
    <row r="5524" spans="17:19" ht="20.25" hidden="1" customHeight="1">
      <c r="Q5524" s="18"/>
      <c r="R5524" s="14"/>
      <c r="S5524" s="14">
        <v>1</v>
      </c>
    </row>
    <row r="5525" spans="17:19" ht="20.25" hidden="1" customHeight="1">
      <c r="Q5525" s="18"/>
      <c r="R5525" s="14"/>
      <c r="S5525" s="14">
        <v>1</v>
      </c>
    </row>
    <row r="5526" spans="17:19" ht="20.25" hidden="1" customHeight="1">
      <c r="Q5526" s="18"/>
      <c r="R5526" s="14"/>
      <c r="S5526" s="14">
        <v>1</v>
      </c>
    </row>
    <row r="5527" spans="17:19" ht="20.25" hidden="1" customHeight="1">
      <c r="Q5527" s="18"/>
      <c r="R5527" s="14"/>
      <c r="S5527" s="14">
        <v>1</v>
      </c>
    </row>
    <row r="5528" spans="17:19" ht="20.25" hidden="1" customHeight="1">
      <c r="Q5528" s="18"/>
      <c r="R5528" s="14"/>
      <c r="S5528" s="14">
        <v>1</v>
      </c>
    </row>
    <row r="5529" spans="17:19" ht="20.25" hidden="1" customHeight="1">
      <c r="Q5529" s="18"/>
      <c r="R5529" s="14"/>
      <c r="S5529" s="14">
        <v>1</v>
      </c>
    </row>
    <row r="5530" spans="17:19" ht="20.25" hidden="1" customHeight="1">
      <c r="Q5530" s="18"/>
      <c r="R5530" s="14"/>
      <c r="S5530" s="14">
        <v>1</v>
      </c>
    </row>
    <row r="5531" spans="17:19" ht="20.25" hidden="1" customHeight="1">
      <c r="Q5531" s="18"/>
      <c r="R5531" s="14"/>
      <c r="S5531" s="14">
        <v>1</v>
      </c>
    </row>
    <row r="5532" spans="17:19" ht="20.25" hidden="1" customHeight="1">
      <c r="Q5532" s="18"/>
      <c r="R5532" s="14"/>
      <c r="S5532" s="14">
        <v>1</v>
      </c>
    </row>
    <row r="5533" spans="17:19" ht="20.25" hidden="1" customHeight="1">
      <c r="Q5533" s="18"/>
      <c r="R5533" s="14"/>
      <c r="S5533" s="14">
        <v>1</v>
      </c>
    </row>
    <row r="5534" spans="17:19" ht="20.25" hidden="1" customHeight="1">
      <c r="Q5534" s="18"/>
      <c r="R5534" s="14"/>
      <c r="S5534" s="14">
        <v>1</v>
      </c>
    </row>
    <row r="5535" spans="17:19" ht="20.25" hidden="1" customHeight="1">
      <c r="Q5535" s="18"/>
      <c r="R5535" s="14"/>
      <c r="S5535" s="14">
        <v>1</v>
      </c>
    </row>
    <row r="5536" spans="17:19" ht="20.25" hidden="1" customHeight="1">
      <c r="Q5536" s="18"/>
      <c r="R5536" s="14"/>
      <c r="S5536" s="14">
        <v>1</v>
      </c>
    </row>
    <row r="5537" spans="17:19" ht="20.25" hidden="1" customHeight="1">
      <c r="Q5537" s="18"/>
      <c r="R5537" s="14"/>
      <c r="S5537" s="14">
        <v>1</v>
      </c>
    </row>
    <row r="5538" spans="17:19" ht="20.25" hidden="1" customHeight="1">
      <c r="Q5538" s="18"/>
      <c r="R5538" s="14"/>
      <c r="S5538" s="14">
        <v>1</v>
      </c>
    </row>
    <row r="5539" spans="17:19" ht="20.25" hidden="1" customHeight="1">
      <c r="Q5539" s="18"/>
      <c r="R5539" s="14"/>
      <c r="S5539" s="14">
        <v>1</v>
      </c>
    </row>
    <row r="5540" spans="17:19" ht="20.25" hidden="1" customHeight="1">
      <c r="Q5540" s="18"/>
      <c r="R5540" s="14"/>
      <c r="S5540" s="14">
        <v>1</v>
      </c>
    </row>
    <row r="5541" spans="17:19" ht="20.25" hidden="1" customHeight="1">
      <c r="Q5541" s="18"/>
      <c r="R5541" s="14"/>
      <c r="S5541" s="14">
        <v>1</v>
      </c>
    </row>
    <row r="5542" spans="17:19" ht="20.25" hidden="1" customHeight="1">
      <c r="Q5542" s="18"/>
      <c r="R5542" s="14"/>
      <c r="S5542" s="14">
        <v>1</v>
      </c>
    </row>
    <row r="5543" spans="17:19" ht="20.25" hidden="1" customHeight="1">
      <c r="Q5543" s="18"/>
      <c r="R5543" s="14"/>
      <c r="S5543" s="14">
        <v>1</v>
      </c>
    </row>
    <row r="5544" spans="17:19" ht="20.25" hidden="1" customHeight="1">
      <c r="Q5544" s="18"/>
      <c r="R5544" s="14"/>
      <c r="S5544" s="14">
        <v>1</v>
      </c>
    </row>
    <row r="5545" spans="17:19" ht="20.25" hidden="1" customHeight="1">
      <c r="Q5545" s="18"/>
      <c r="R5545" s="14"/>
      <c r="S5545" s="14">
        <v>1</v>
      </c>
    </row>
    <row r="5546" spans="17:19" ht="20.25" hidden="1" customHeight="1">
      <c r="Q5546" s="18"/>
      <c r="R5546" s="14"/>
      <c r="S5546" s="14">
        <v>1</v>
      </c>
    </row>
    <row r="5547" spans="17:19" ht="20.25" hidden="1" customHeight="1">
      <c r="Q5547" s="18"/>
      <c r="R5547" s="14"/>
      <c r="S5547" s="14">
        <v>1</v>
      </c>
    </row>
    <row r="5548" spans="17:19" ht="20.25" hidden="1" customHeight="1">
      <c r="Q5548" s="18"/>
      <c r="R5548" s="14"/>
      <c r="S5548" s="14">
        <v>1</v>
      </c>
    </row>
    <row r="5549" spans="17:19" ht="20.25" hidden="1" customHeight="1">
      <c r="Q5549" s="18"/>
      <c r="R5549" s="14"/>
      <c r="S5549" s="14">
        <v>1</v>
      </c>
    </row>
    <row r="5550" spans="17:19" ht="20.25" hidden="1" customHeight="1">
      <c r="Q5550" s="18"/>
      <c r="R5550" s="14"/>
      <c r="S5550" s="14">
        <v>1</v>
      </c>
    </row>
    <row r="5551" spans="17:19" ht="20.25" hidden="1" customHeight="1">
      <c r="Q5551" s="18"/>
      <c r="R5551" s="14"/>
      <c r="S5551" s="14">
        <v>1</v>
      </c>
    </row>
    <row r="5552" spans="17:19" ht="20.25" hidden="1" customHeight="1">
      <c r="Q5552" s="18"/>
      <c r="R5552" s="14"/>
      <c r="S5552" s="14">
        <v>1</v>
      </c>
    </row>
    <row r="5553" spans="17:19" ht="20.25" hidden="1" customHeight="1">
      <c r="Q5553" s="18"/>
      <c r="R5553" s="14"/>
      <c r="S5553" s="14">
        <v>1</v>
      </c>
    </row>
    <row r="5554" spans="17:19" ht="20.25" hidden="1" customHeight="1">
      <c r="Q5554" s="18"/>
      <c r="R5554" s="14"/>
      <c r="S5554" s="14">
        <v>1</v>
      </c>
    </row>
    <row r="5555" spans="17:19" ht="20.25" hidden="1" customHeight="1">
      <c r="Q5555" s="18"/>
      <c r="R5555" s="14"/>
      <c r="S5555" s="14">
        <v>1</v>
      </c>
    </row>
    <row r="5556" spans="17:19" ht="20.25" hidden="1" customHeight="1">
      <c r="Q5556" s="18"/>
      <c r="R5556" s="14"/>
      <c r="S5556" s="14">
        <v>1</v>
      </c>
    </row>
    <row r="5557" spans="17:19" ht="20.25" hidden="1" customHeight="1">
      <c r="Q5557" s="18"/>
      <c r="R5557" s="14"/>
      <c r="S5557" s="14">
        <v>1</v>
      </c>
    </row>
    <row r="5558" spans="17:19" ht="20.25" hidden="1" customHeight="1">
      <c r="Q5558" s="18"/>
      <c r="R5558" s="14"/>
      <c r="S5558" s="14">
        <v>1</v>
      </c>
    </row>
    <row r="5559" spans="17:19" ht="20.25" hidden="1" customHeight="1">
      <c r="Q5559" s="18"/>
      <c r="R5559" s="14"/>
      <c r="S5559" s="14">
        <v>1</v>
      </c>
    </row>
    <row r="5560" spans="17:19" ht="20.25" hidden="1" customHeight="1">
      <c r="Q5560" s="18"/>
      <c r="R5560" s="14"/>
      <c r="S5560" s="14">
        <v>1</v>
      </c>
    </row>
    <row r="5561" spans="17:19" ht="20.25" hidden="1" customHeight="1">
      <c r="Q5561" s="18"/>
      <c r="R5561" s="14"/>
      <c r="S5561" s="14">
        <v>1</v>
      </c>
    </row>
    <row r="5562" spans="17:19" ht="20.25" hidden="1" customHeight="1">
      <c r="Q5562" s="18"/>
      <c r="R5562" s="14"/>
      <c r="S5562" s="14">
        <v>1</v>
      </c>
    </row>
    <row r="5563" spans="17:19" ht="20.25" hidden="1" customHeight="1">
      <c r="Q5563" s="18"/>
      <c r="R5563" s="14"/>
      <c r="S5563" s="14">
        <v>1</v>
      </c>
    </row>
    <row r="5564" spans="17:19" ht="20.25" hidden="1" customHeight="1">
      <c r="Q5564" s="18"/>
      <c r="R5564" s="14"/>
      <c r="S5564" s="14">
        <v>1</v>
      </c>
    </row>
    <row r="5565" spans="17:19" ht="20.25" hidden="1" customHeight="1">
      <c r="Q5565" s="18"/>
      <c r="R5565" s="14"/>
      <c r="S5565" s="14">
        <v>1</v>
      </c>
    </row>
    <row r="5566" spans="17:19" ht="20.25" hidden="1" customHeight="1">
      <c r="Q5566" s="18"/>
      <c r="R5566" s="14"/>
      <c r="S5566" s="14">
        <v>1</v>
      </c>
    </row>
    <row r="5567" spans="17:19" ht="20.25" hidden="1" customHeight="1">
      <c r="Q5567" s="18"/>
      <c r="R5567" s="14"/>
      <c r="S5567" s="14">
        <v>1</v>
      </c>
    </row>
    <row r="5568" spans="17:19" ht="20.25" hidden="1" customHeight="1">
      <c r="Q5568" s="18"/>
      <c r="R5568" s="14"/>
      <c r="S5568" s="14">
        <v>1</v>
      </c>
    </row>
    <row r="5569" spans="17:19" ht="20.25" hidden="1" customHeight="1">
      <c r="Q5569" s="18"/>
      <c r="R5569" s="14"/>
      <c r="S5569" s="14">
        <v>1</v>
      </c>
    </row>
    <row r="5570" spans="17:19" ht="20.25" hidden="1" customHeight="1">
      <c r="Q5570" s="18"/>
      <c r="R5570" s="14"/>
      <c r="S5570" s="14">
        <v>1</v>
      </c>
    </row>
    <row r="5571" spans="17:19" ht="20.25" hidden="1" customHeight="1">
      <c r="Q5571" s="18"/>
      <c r="R5571" s="14"/>
      <c r="S5571" s="14">
        <v>1</v>
      </c>
    </row>
    <row r="5572" spans="17:19" ht="20.25" hidden="1" customHeight="1">
      <c r="Q5572" s="18"/>
      <c r="R5572" s="14"/>
      <c r="S5572" s="14">
        <v>1</v>
      </c>
    </row>
    <row r="5573" spans="17:19" ht="20.25" hidden="1" customHeight="1">
      <c r="Q5573" s="18"/>
      <c r="R5573" s="14"/>
      <c r="S5573" s="14">
        <v>1</v>
      </c>
    </row>
    <row r="5574" spans="17:19" ht="20.25" hidden="1" customHeight="1">
      <c r="Q5574" s="18"/>
      <c r="R5574" s="14"/>
      <c r="S5574" s="14">
        <v>1</v>
      </c>
    </row>
    <row r="5575" spans="17:19" ht="20.25" hidden="1" customHeight="1">
      <c r="Q5575" s="18"/>
      <c r="R5575" s="14"/>
      <c r="S5575" s="14">
        <v>1</v>
      </c>
    </row>
    <row r="5576" spans="17:19" ht="20.25" hidden="1" customHeight="1">
      <c r="Q5576" s="18"/>
      <c r="R5576" s="14"/>
      <c r="S5576" s="14">
        <v>1</v>
      </c>
    </row>
    <row r="5577" spans="17:19" ht="20.25" hidden="1" customHeight="1">
      <c r="Q5577" s="18"/>
      <c r="R5577" s="14"/>
      <c r="S5577" s="14">
        <v>1</v>
      </c>
    </row>
    <row r="5578" spans="17:19" ht="20.25" hidden="1" customHeight="1">
      <c r="Q5578" s="18"/>
      <c r="R5578" s="14"/>
      <c r="S5578" s="14">
        <v>1</v>
      </c>
    </row>
    <row r="5579" spans="17:19" ht="20.25" hidden="1" customHeight="1">
      <c r="Q5579" s="18"/>
      <c r="R5579" s="14"/>
      <c r="S5579" s="14">
        <v>1</v>
      </c>
    </row>
    <row r="5580" spans="17:19" ht="20.25" hidden="1" customHeight="1">
      <c r="Q5580" s="18"/>
      <c r="R5580" s="14"/>
      <c r="S5580" s="14">
        <v>1</v>
      </c>
    </row>
    <row r="5581" spans="17:19" ht="20.25" hidden="1" customHeight="1">
      <c r="Q5581" s="18"/>
      <c r="R5581" s="14"/>
      <c r="S5581" s="14">
        <v>1</v>
      </c>
    </row>
    <row r="5582" spans="17:19" ht="20.25" hidden="1" customHeight="1">
      <c r="Q5582" s="18"/>
      <c r="R5582" s="14"/>
      <c r="S5582" s="14">
        <v>1</v>
      </c>
    </row>
    <row r="5583" spans="17:19" ht="20.25" hidden="1" customHeight="1">
      <c r="Q5583" s="18"/>
      <c r="R5583" s="14"/>
      <c r="S5583" s="14">
        <v>1</v>
      </c>
    </row>
    <row r="5584" spans="17:19" ht="20.25" hidden="1" customHeight="1">
      <c r="Q5584" s="18"/>
      <c r="R5584" s="14"/>
      <c r="S5584" s="14">
        <v>1</v>
      </c>
    </row>
    <row r="5585" spans="17:19" ht="20.25" hidden="1" customHeight="1">
      <c r="Q5585" s="18"/>
      <c r="R5585" s="14"/>
      <c r="S5585" s="14">
        <v>1</v>
      </c>
    </row>
    <row r="5586" spans="17:19" ht="20.25" hidden="1" customHeight="1">
      <c r="Q5586" s="18"/>
      <c r="R5586" s="14"/>
      <c r="S5586" s="14">
        <v>1</v>
      </c>
    </row>
    <row r="5587" spans="17:19" ht="20.25" hidden="1" customHeight="1">
      <c r="Q5587" s="18"/>
      <c r="R5587" s="14"/>
      <c r="S5587" s="14">
        <v>1</v>
      </c>
    </row>
    <row r="5588" spans="17:19" ht="20.25" hidden="1" customHeight="1">
      <c r="Q5588" s="18"/>
      <c r="R5588" s="14"/>
      <c r="S5588" s="14">
        <v>1</v>
      </c>
    </row>
    <row r="5589" spans="17:19" ht="20.25" hidden="1" customHeight="1">
      <c r="Q5589" s="18"/>
      <c r="R5589" s="14"/>
      <c r="S5589" s="14">
        <v>1</v>
      </c>
    </row>
    <row r="5590" spans="17:19" ht="20.25" hidden="1" customHeight="1">
      <c r="Q5590" s="18"/>
      <c r="R5590" s="14"/>
      <c r="S5590" s="14">
        <v>1</v>
      </c>
    </row>
    <row r="5591" spans="17:19" ht="20.25" hidden="1" customHeight="1">
      <c r="Q5591" s="18"/>
      <c r="R5591" s="14"/>
      <c r="S5591" s="14">
        <v>1</v>
      </c>
    </row>
    <row r="5592" spans="17:19" ht="20.25" hidden="1" customHeight="1">
      <c r="Q5592" s="18"/>
      <c r="R5592" s="14"/>
      <c r="S5592" s="14">
        <v>1</v>
      </c>
    </row>
    <row r="5593" spans="17:19" ht="20.25" hidden="1" customHeight="1">
      <c r="Q5593" s="18"/>
      <c r="R5593" s="14"/>
      <c r="S5593" s="14">
        <v>1</v>
      </c>
    </row>
    <row r="5594" spans="17:19" ht="20.25" hidden="1" customHeight="1">
      <c r="Q5594" s="18"/>
      <c r="R5594" s="14"/>
      <c r="S5594" s="14">
        <v>1</v>
      </c>
    </row>
    <row r="5595" spans="17:19" ht="20.25" hidden="1" customHeight="1">
      <c r="Q5595" s="18"/>
      <c r="R5595" s="14"/>
      <c r="S5595" s="14">
        <v>1</v>
      </c>
    </row>
    <row r="5596" spans="17:19" ht="20.25" hidden="1" customHeight="1">
      <c r="Q5596" s="18"/>
      <c r="R5596" s="14"/>
      <c r="S5596" s="14">
        <v>1</v>
      </c>
    </row>
    <row r="5597" spans="17:19" ht="20.25" hidden="1" customHeight="1">
      <c r="Q5597" s="18"/>
      <c r="R5597" s="14"/>
      <c r="S5597" s="14">
        <v>1</v>
      </c>
    </row>
    <row r="5598" spans="17:19" ht="20.25" hidden="1" customHeight="1">
      <c r="Q5598" s="18"/>
      <c r="R5598" s="14"/>
      <c r="S5598" s="14">
        <v>1</v>
      </c>
    </row>
    <row r="5599" spans="17:19" ht="20.25" hidden="1" customHeight="1">
      <c r="Q5599" s="18"/>
      <c r="R5599" s="14"/>
      <c r="S5599" s="14">
        <v>1</v>
      </c>
    </row>
    <row r="5600" spans="17:19" ht="20.25" hidden="1" customHeight="1">
      <c r="Q5600" s="18"/>
      <c r="R5600" s="14"/>
      <c r="S5600" s="14">
        <v>1</v>
      </c>
    </row>
    <row r="5601" spans="17:19" ht="20.25" hidden="1" customHeight="1">
      <c r="Q5601" s="18"/>
      <c r="R5601" s="14"/>
      <c r="S5601" s="14">
        <v>1</v>
      </c>
    </row>
    <row r="5602" spans="17:19" ht="20.25" hidden="1" customHeight="1">
      <c r="Q5602" s="18"/>
      <c r="R5602" s="14"/>
      <c r="S5602" s="14">
        <v>1</v>
      </c>
    </row>
    <row r="5603" spans="17:19" ht="20.25" hidden="1" customHeight="1">
      <c r="Q5603" s="18"/>
      <c r="R5603" s="14"/>
      <c r="S5603" s="14">
        <v>1</v>
      </c>
    </row>
    <row r="5604" spans="17:19" ht="20.25" hidden="1" customHeight="1">
      <c r="Q5604" s="18"/>
      <c r="R5604" s="14"/>
      <c r="S5604" s="14">
        <v>1</v>
      </c>
    </row>
    <row r="5605" spans="17:19" ht="20.25" hidden="1" customHeight="1">
      <c r="Q5605" s="18"/>
      <c r="R5605" s="14"/>
      <c r="S5605" s="14">
        <v>1</v>
      </c>
    </row>
    <row r="5606" spans="17:19" ht="20.25" hidden="1" customHeight="1">
      <c r="Q5606" s="18"/>
      <c r="R5606" s="14"/>
      <c r="S5606" s="14">
        <v>1</v>
      </c>
    </row>
    <row r="5607" spans="17:19" ht="20.25" hidden="1" customHeight="1">
      <c r="Q5607" s="18"/>
      <c r="R5607" s="14"/>
      <c r="S5607" s="14">
        <v>1</v>
      </c>
    </row>
    <row r="5608" spans="17:19" ht="20.25" hidden="1" customHeight="1">
      <c r="Q5608" s="18"/>
      <c r="R5608" s="14"/>
      <c r="S5608" s="14">
        <v>1</v>
      </c>
    </row>
    <row r="5609" spans="17:19" ht="20.25" hidden="1" customHeight="1">
      <c r="Q5609" s="18"/>
      <c r="R5609" s="14"/>
      <c r="S5609" s="14">
        <v>1</v>
      </c>
    </row>
    <row r="5610" spans="17:19" ht="20.25" hidden="1" customHeight="1">
      <c r="Q5610" s="18"/>
      <c r="R5610" s="14"/>
      <c r="S5610" s="14">
        <v>1</v>
      </c>
    </row>
    <row r="5611" spans="17:19" ht="20.25" hidden="1" customHeight="1">
      <c r="Q5611" s="18"/>
      <c r="R5611" s="14"/>
      <c r="S5611" s="14">
        <v>1</v>
      </c>
    </row>
    <row r="5612" spans="17:19" ht="20.25" hidden="1" customHeight="1">
      <c r="Q5612" s="18"/>
      <c r="R5612" s="14"/>
      <c r="S5612" s="14">
        <v>1</v>
      </c>
    </row>
    <row r="5613" spans="17:19" ht="20.25" hidden="1" customHeight="1">
      <c r="Q5613" s="18"/>
      <c r="R5613" s="14"/>
      <c r="S5613" s="14">
        <v>1</v>
      </c>
    </row>
    <row r="5614" spans="17:19" ht="20.25" hidden="1" customHeight="1">
      <c r="Q5614" s="18"/>
      <c r="R5614" s="14"/>
      <c r="S5614" s="14">
        <v>1</v>
      </c>
    </row>
    <row r="5615" spans="17:19" ht="20.25" hidden="1" customHeight="1">
      <c r="Q5615" s="18"/>
      <c r="R5615" s="14"/>
      <c r="S5615" s="14">
        <v>1</v>
      </c>
    </row>
    <row r="5616" spans="17:19" ht="20.25" hidden="1" customHeight="1">
      <c r="Q5616" s="18"/>
      <c r="R5616" s="14"/>
      <c r="S5616" s="14">
        <v>1</v>
      </c>
    </row>
    <row r="5617" spans="17:19" ht="20.25" hidden="1" customHeight="1">
      <c r="Q5617" s="18"/>
      <c r="R5617" s="14"/>
      <c r="S5617" s="14">
        <v>1</v>
      </c>
    </row>
    <row r="5618" spans="17:19" ht="20.25" hidden="1" customHeight="1">
      <c r="Q5618" s="18"/>
      <c r="R5618" s="14"/>
      <c r="S5618" s="14">
        <v>1</v>
      </c>
    </row>
    <row r="5619" spans="17:19" ht="20.25" hidden="1" customHeight="1">
      <c r="Q5619" s="18"/>
      <c r="R5619" s="14"/>
      <c r="S5619" s="14">
        <v>1</v>
      </c>
    </row>
    <row r="5620" spans="17:19" ht="20.25" hidden="1" customHeight="1">
      <c r="Q5620" s="18"/>
      <c r="R5620" s="14"/>
      <c r="S5620" s="14">
        <v>1</v>
      </c>
    </row>
    <row r="5621" spans="17:19" ht="20.25" hidden="1" customHeight="1">
      <c r="Q5621" s="18"/>
      <c r="R5621" s="14"/>
      <c r="S5621" s="14">
        <v>1</v>
      </c>
    </row>
    <row r="5622" spans="17:19" ht="20.25" hidden="1" customHeight="1">
      <c r="Q5622" s="18"/>
      <c r="R5622" s="14"/>
      <c r="S5622" s="14">
        <v>1</v>
      </c>
    </row>
    <row r="5623" spans="17:19" ht="20.25" hidden="1" customHeight="1">
      <c r="Q5623" s="18"/>
      <c r="R5623" s="14"/>
      <c r="S5623" s="14">
        <v>1</v>
      </c>
    </row>
    <row r="5624" spans="17:19" ht="20.25" hidden="1" customHeight="1">
      <c r="Q5624" s="18"/>
      <c r="R5624" s="14"/>
      <c r="S5624" s="14">
        <v>1</v>
      </c>
    </row>
    <row r="5625" spans="17:19" ht="20.25" hidden="1" customHeight="1">
      <c r="Q5625" s="18"/>
      <c r="R5625" s="14"/>
      <c r="S5625" s="14">
        <v>1</v>
      </c>
    </row>
    <row r="5626" spans="17:19" ht="20.25" hidden="1" customHeight="1">
      <c r="Q5626" s="18"/>
      <c r="R5626" s="14"/>
      <c r="S5626" s="14">
        <v>1</v>
      </c>
    </row>
    <row r="5627" spans="17:19" ht="20.25" hidden="1" customHeight="1">
      <c r="Q5627" s="18"/>
      <c r="R5627" s="14"/>
      <c r="S5627" s="14">
        <v>1</v>
      </c>
    </row>
    <row r="5628" spans="17:19" ht="20.25" hidden="1" customHeight="1">
      <c r="Q5628" s="18"/>
      <c r="R5628" s="14"/>
      <c r="S5628" s="14">
        <v>1</v>
      </c>
    </row>
    <row r="5629" spans="17:19" ht="20.25" hidden="1" customHeight="1">
      <c r="Q5629" s="18"/>
      <c r="R5629" s="14"/>
      <c r="S5629" s="14">
        <v>1</v>
      </c>
    </row>
    <row r="5630" spans="17:19" ht="20.25" hidden="1" customHeight="1">
      <c r="Q5630" s="18"/>
      <c r="R5630" s="14"/>
      <c r="S5630" s="14">
        <v>1</v>
      </c>
    </row>
    <row r="5631" spans="17:19" ht="20.25" hidden="1" customHeight="1">
      <c r="Q5631" s="18"/>
      <c r="R5631" s="14"/>
      <c r="S5631" s="14">
        <v>1</v>
      </c>
    </row>
    <row r="5632" spans="17:19" ht="20.25" hidden="1" customHeight="1">
      <c r="Q5632" s="18"/>
      <c r="R5632" s="14"/>
      <c r="S5632" s="14">
        <v>1</v>
      </c>
    </row>
    <row r="5633" spans="17:19" ht="20.25" hidden="1" customHeight="1">
      <c r="Q5633" s="18"/>
      <c r="R5633" s="14"/>
      <c r="S5633" s="14">
        <v>1</v>
      </c>
    </row>
    <row r="5634" spans="17:19" ht="20.25" hidden="1" customHeight="1">
      <c r="Q5634" s="18"/>
      <c r="R5634" s="14"/>
      <c r="S5634" s="14">
        <v>1</v>
      </c>
    </row>
    <row r="5635" spans="17:19" ht="20.25" hidden="1" customHeight="1">
      <c r="Q5635" s="18"/>
      <c r="R5635" s="14"/>
      <c r="S5635" s="14">
        <v>1</v>
      </c>
    </row>
    <row r="5636" spans="17:19" ht="20.25" hidden="1" customHeight="1">
      <c r="Q5636" s="18"/>
      <c r="R5636" s="14"/>
      <c r="S5636" s="14">
        <v>1</v>
      </c>
    </row>
    <row r="5637" spans="17:19" ht="20.25" hidden="1" customHeight="1">
      <c r="Q5637" s="18"/>
      <c r="R5637" s="14"/>
      <c r="S5637" s="14">
        <v>1</v>
      </c>
    </row>
    <row r="5638" spans="17:19" ht="20.25" hidden="1" customHeight="1">
      <c r="Q5638" s="18"/>
      <c r="R5638" s="14"/>
      <c r="S5638" s="14">
        <v>1</v>
      </c>
    </row>
    <row r="5639" spans="17:19" ht="20.25" hidden="1" customHeight="1">
      <c r="Q5639" s="18"/>
      <c r="R5639" s="14"/>
      <c r="S5639" s="14">
        <v>1</v>
      </c>
    </row>
    <row r="5640" spans="17:19" ht="20.25" hidden="1" customHeight="1">
      <c r="Q5640" s="18"/>
      <c r="R5640" s="14"/>
      <c r="S5640" s="14">
        <v>1</v>
      </c>
    </row>
    <row r="5641" spans="17:19" ht="20.25" hidden="1" customHeight="1">
      <c r="Q5641" s="18"/>
      <c r="R5641" s="14"/>
      <c r="S5641" s="14">
        <v>1</v>
      </c>
    </row>
    <row r="5642" spans="17:19" ht="20.25" hidden="1" customHeight="1">
      <c r="Q5642" s="18"/>
      <c r="R5642" s="14"/>
      <c r="S5642" s="14">
        <v>1</v>
      </c>
    </row>
    <row r="5643" spans="17:19" ht="20.25" hidden="1" customHeight="1">
      <c r="Q5643" s="18"/>
      <c r="R5643" s="14"/>
      <c r="S5643" s="14">
        <v>1</v>
      </c>
    </row>
    <row r="5644" spans="17:19" ht="20.25" hidden="1" customHeight="1">
      <c r="Q5644" s="18"/>
      <c r="R5644" s="14"/>
      <c r="S5644" s="14">
        <v>1</v>
      </c>
    </row>
    <row r="5645" spans="17:19" ht="20.25" hidden="1" customHeight="1">
      <c r="Q5645" s="18"/>
      <c r="R5645" s="14"/>
      <c r="S5645" s="14">
        <v>1</v>
      </c>
    </row>
    <row r="5646" spans="17:19" ht="20.25" hidden="1" customHeight="1">
      <c r="Q5646" s="18"/>
      <c r="R5646" s="14"/>
      <c r="S5646" s="14">
        <v>1</v>
      </c>
    </row>
    <row r="5647" spans="17:19" ht="20.25" hidden="1" customHeight="1">
      <c r="Q5647" s="18"/>
      <c r="R5647" s="14"/>
      <c r="S5647" s="14">
        <v>1</v>
      </c>
    </row>
    <row r="5648" spans="17:19" ht="20.25" hidden="1" customHeight="1">
      <c r="Q5648" s="18"/>
      <c r="R5648" s="14"/>
      <c r="S5648" s="14">
        <v>1</v>
      </c>
    </row>
    <row r="5649" spans="17:19" ht="20.25" hidden="1" customHeight="1">
      <c r="Q5649" s="18"/>
      <c r="R5649" s="14"/>
      <c r="S5649" s="14">
        <v>1</v>
      </c>
    </row>
    <row r="5650" spans="17:19" ht="20.25" hidden="1" customHeight="1">
      <c r="Q5650" s="18"/>
      <c r="R5650" s="14"/>
      <c r="S5650" s="14">
        <v>1</v>
      </c>
    </row>
    <row r="5651" spans="17:19" ht="20.25" hidden="1" customHeight="1">
      <c r="Q5651" s="18"/>
      <c r="R5651" s="14"/>
      <c r="S5651" s="14">
        <v>1</v>
      </c>
    </row>
    <row r="5652" spans="17:19" ht="20.25" hidden="1" customHeight="1">
      <c r="Q5652" s="18"/>
      <c r="R5652" s="14"/>
      <c r="S5652" s="14">
        <v>1</v>
      </c>
    </row>
    <row r="5653" spans="17:19" ht="20.25" hidden="1" customHeight="1">
      <c r="Q5653" s="18"/>
      <c r="R5653" s="14"/>
      <c r="S5653" s="14">
        <v>1</v>
      </c>
    </row>
    <row r="5654" spans="17:19" ht="20.25" hidden="1" customHeight="1">
      <c r="Q5654" s="18"/>
      <c r="R5654" s="14"/>
      <c r="S5654" s="14">
        <v>1</v>
      </c>
    </row>
    <row r="5655" spans="17:19" ht="20.25" hidden="1" customHeight="1">
      <c r="Q5655" s="18"/>
      <c r="R5655" s="14"/>
      <c r="S5655" s="14">
        <v>1</v>
      </c>
    </row>
    <row r="5656" spans="17:19" ht="20.25" hidden="1" customHeight="1">
      <c r="Q5656" s="18"/>
      <c r="R5656" s="14"/>
      <c r="S5656" s="14">
        <v>1</v>
      </c>
    </row>
    <row r="5657" spans="17:19" ht="20.25" hidden="1" customHeight="1">
      <c r="Q5657" s="18"/>
      <c r="R5657" s="14"/>
      <c r="S5657" s="14">
        <v>1</v>
      </c>
    </row>
    <row r="5658" spans="17:19" ht="20.25" hidden="1" customHeight="1">
      <c r="Q5658" s="18"/>
      <c r="R5658" s="14"/>
      <c r="S5658" s="14">
        <v>1</v>
      </c>
    </row>
    <row r="5659" spans="17:19" ht="20.25" hidden="1" customHeight="1">
      <c r="Q5659" s="18"/>
      <c r="R5659" s="14"/>
      <c r="S5659" s="14">
        <v>1</v>
      </c>
    </row>
    <row r="5660" spans="17:19" ht="20.25" hidden="1" customHeight="1">
      <c r="Q5660" s="18"/>
      <c r="R5660" s="14"/>
      <c r="S5660" s="14">
        <v>1</v>
      </c>
    </row>
    <row r="5661" spans="17:19" ht="20.25" hidden="1" customHeight="1">
      <c r="Q5661" s="18"/>
      <c r="R5661" s="14"/>
      <c r="S5661" s="14">
        <v>1</v>
      </c>
    </row>
    <row r="5662" spans="17:19" ht="20.25" hidden="1" customHeight="1">
      <c r="Q5662" s="18"/>
      <c r="R5662" s="14"/>
      <c r="S5662" s="14">
        <v>1</v>
      </c>
    </row>
    <row r="5663" spans="17:19" ht="20.25" hidden="1" customHeight="1">
      <c r="Q5663" s="18"/>
      <c r="R5663" s="14"/>
      <c r="S5663" s="14">
        <v>1</v>
      </c>
    </row>
    <row r="5664" spans="17:19" ht="20.25" hidden="1" customHeight="1">
      <c r="Q5664" s="18"/>
      <c r="R5664" s="14"/>
      <c r="S5664" s="14">
        <v>1</v>
      </c>
    </row>
    <row r="5665" spans="17:19" ht="20.25" hidden="1" customHeight="1">
      <c r="Q5665" s="18"/>
      <c r="R5665" s="14"/>
      <c r="S5665" s="14">
        <v>1</v>
      </c>
    </row>
    <row r="5666" spans="17:19" ht="20.25" hidden="1" customHeight="1">
      <c r="Q5666" s="18"/>
      <c r="R5666" s="14"/>
      <c r="S5666" s="14">
        <v>1</v>
      </c>
    </row>
    <row r="5667" spans="17:19" ht="20.25" hidden="1" customHeight="1">
      <c r="Q5667" s="18"/>
      <c r="R5667" s="14"/>
      <c r="S5667" s="14">
        <v>1</v>
      </c>
    </row>
    <row r="5668" spans="17:19" ht="20.25" hidden="1" customHeight="1">
      <c r="Q5668" s="18"/>
      <c r="R5668" s="14"/>
      <c r="S5668" s="14">
        <v>1</v>
      </c>
    </row>
    <row r="5669" spans="17:19" ht="20.25" hidden="1" customHeight="1">
      <c r="Q5669" s="18"/>
      <c r="R5669" s="14"/>
      <c r="S5669" s="14">
        <v>1</v>
      </c>
    </row>
    <row r="5670" spans="17:19" ht="20.25" hidden="1" customHeight="1">
      <c r="Q5670" s="18"/>
      <c r="R5670" s="14"/>
      <c r="S5670" s="14">
        <v>1</v>
      </c>
    </row>
    <row r="5671" spans="17:19" ht="20.25" hidden="1" customHeight="1">
      <c r="Q5671" s="18"/>
      <c r="R5671" s="14"/>
      <c r="S5671" s="14">
        <v>1</v>
      </c>
    </row>
    <row r="5672" spans="17:19" ht="20.25" hidden="1" customHeight="1">
      <c r="Q5672" s="18"/>
      <c r="R5672" s="14"/>
      <c r="S5672" s="14">
        <v>1</v>
      </c>
    </row>
    <row r="5673" spans="17:19" ht="20.25" hidden="1" customHeight="1">
      <c r="Q5673" s="18"/>
      <c r="R5673" s="14"/>
      <c r="S5673" s="14">
        <v>1</v>
      </c>
    </row>
    <row r="5674" spans="17:19" ht="20.25" hidden="1" customHeight="1">
      <c r="Q5674" s="18"/>
      <c r="R5674" s="14"/>
      <c r="S5674" s="14">
        <v>1</v>
      </c>
    </row>
    <row r="5675" spans="17:19" ht="20.25" hidden="1" customHeight="1">
      <c r="Q5675" s="18"/>
      <c r="R5675" s="14"/>
      <c r="S5675" s="14">
        <v>1</v>
      </c>
    </row>
    <row r="5676" spans="17:19" ht="20.25" hidden="1" customHeight="1">
      <c r="Q5676" s="18"/>
      <c r="R5676" s="14"/>
      <c r="S5676" s="14">
        <v>1</v>
      </c>
    </row>
    <row r="5677" spans="17:19" ht="20.25" hidden="1" customHeight="1">
      <c r="Q5677" s="18"/>
      <c r="R5677" s="14"/>
      <c r="S5677" s="14">
        <v>1</v>
      </c>
    </row>
    <row r="5678" spans="17:19" ht="20.25" hidden="1" customHeight="1">
      <c r="Q5678" s="18"/>
      <c r="R5678" s="14"/>
      <c r="S5678" s="14">
        <v>1</v>
      </c>
    </row>
    <row r="5679" spans="17:19" ht="20.25" hidden="1" customHeight="1">
      <c r="Q5679" s="18"/>
      <c r="R5679" s="14"/>
      <c r="S5679" s="14">
        <v>1</v>
      </c>
    </row>
    <row r="5680" spans="17:19" ht="20.25" hidden="1" customHeight="1">
      <c r="Q5680" s="18"/>
      <c r="R5680" s="14"/>
      <c r="S5680" s="14">
        <v>1</v>
      </c>
    </row>
    <row r="5681" spans="17:19" ht="20.25" hidden="1" customHeight="1">
      <c r="Q5681" s="18"/>
      <c r="R5681" s="14"/>
      <c r="S5681" s="14">
        <v>1</v>
      </c>
    </row>
    <row r="5682" spans="17:19" ht="20.25" hidden="1" customHeight="1">
      <c r="Q5682" s="18"/>
      <c r="R5682" s="14"/>
      <c r="S5682" s="14">
        <v>1</v>
      </c>
    </row>
    <row r="5683" spans="17:19" ht="20.25" hidden="1" customHeight="1">
      <c r="Q5683" s="18"/>
      <c r="R5683" s="14"/>
      <c r="S5683" s="14">
        <v>1</v>
      </c>
    </row>
    <row r="5684" spans="17:19" ht="20.25" hidden="1" customHeight="1">
      <c r="Q5684" s="18"/>
      <c r="R5684" s="14"/>
      <c r="S5684" s="14">
        <v>1</v>
      </c>
    </row>
    <row r="5685" spans="17:19" ht="20.25" hidden="1" customHeight="1">
      <c r="Q5685" s="18"/>
      <c r="R5685" s="14"/>
      <c r="S5685" s="14">
        <v>1</v>
      </c>
    </row>
    <row r="5686" spans="17:19" ht="20.25" hidden="1" customHeight="1">
      <c r="Q5686" s="18"/>
      <c r="R5686" s="14"/>
      <c r="S5686" s="14">
        <v>1</v>
      </c>
    </row>
    <row r="5687" spans="17:19" ht="20.25" hidden="1" customHeight="1">
      <c r="Q5687" s="18"/>
      <c r="R5687" s="14"/>
      <c r="S5687" s="14">
        <v>1</v>
      </c>
    </row>
    <row r="5688" spans="17:19" ht="20.25" hidden="1" customHeight="1">
      <c r="Q5688" s="18"/>
      <c r="R5688" s="14"/>
      <c r="S5688" s="14">
        <v>1</v>
      </c>
    </row>
    <row r="5689" spans="17:19" ht="20.25" hidden="1" customHeight="1">
      <c r="Q5689" s="18"/>
      <c r="R5689" s="14"/>
      <c r="S5689" s="14">
        <v>1</v>
      </c>
    </row>
    <row r="5690" spans="17:19" ht="20.25" hidden="1" customHeight="1">
      <c r="Q5690" s="18"/>
      <c r="R5690" s="14"/>
      <c r="S5690" s="14">
        <v>1</v>
      </c>
    </row>
    <row r="5691" spans="17:19" ht="20.25" hidden="1" customHeight="1">
      <c r="Q5691" s="18"/>
      <c r="R5691" s="14"/>
      <c r="S5691" s="14">
        <v>1</v>
      </c>
    </row>
    <row r="5692" spans="17:19" ht="20.25" hidden="1" customHeight="1">
      <c r="Q5692" s="18"/>
      <c r="R5692" s="14"/>
      <c r="S5692" s="14">
        <v>1</v>
      </c>
    </row>
    <row r="5693" spans="17:19" ht="20.25" hidden="1" customHeight="1">
      <c r="Q5693" s="18"/>
      <c r="R5693" s="14"/>
      <c r="S5693" s="14">
        <v>1</v>
      </c>
    </row>
    <row r="5694" spans="17:19" ht="20.25" hidden="1" customHeight="1">
      <c r="Q5694" s="18"/>
      <c r="R5694" s="14"/>
      <c r="S5694" s="14">
        <v>1</v>
      </c>
    </row>
    <row r="5695" spans="17:19" ht="20.25" hidden="1" customHeight="1">
      <c r="Q5695" s="18"/>
      <c r="R5695" s="14"/>
      <c r="S5695" s="14">
        <v>1</v>
      </c>
    </row>
    <row r="5696" spans="17:19" ht="20.25" hidden="1" customHeight="1">
      <c r="Q5696" s="18"/>
      <c r="R5696" s="14"/>
      <c r="S5696" s="14">
        <v>1</v>
      </c>
    </row>
    <row r="5697" spans="17:19" ht="20.25" hidden="1" customHeight="1">
      <c r="Q5697" s="18"/>
      <c r="R5697" s="14"/>
      <c r="S5697" s="14">
        <v>1</v>
      </c>
    </row>
    <row r="5698" spans="17:19" ht="20.25" hidden="1" customHeight="1">
      <c r="Q5698" s="18"/>
      <c r="R5698" s="14"/>
      <c r="S5698" s="14">
        <v>1</v>
      </c>
    </row>
    <row r="5699" spans="17:19" ht="20.25" hidden="1" customHeight="1">
      <c r="Q5699" s="18"/>
      <c r="R5699" s="14"/>
      <c r="S5699" s="14">
        <v>1</v>
      </c>
    </row>
    <row r="5700" spans="17:19" ht="20.25" hidden="1" customHeight="1">
      <c r="Q5700" s="18"/>
      <c r="R5700" s="14"/>
      <c r="S5700" s="14">
        <v>1</v>
      </c>
    </row>
    <row r="5701" spans="17:19" ht="20.25" hidden="1" customHeight="1">
      <c r="Q5701" s="18"/>
      <c r="R5701" s="14"/>
      <c r="S5701" s="14">
        <v>1</v>
      </c>
    </row>
    <row r="5702" spans="17:19" ht="20.25" hidden="1" customHeight="1">
      <c r="Q5702" s="18"/>
      <c r="R5702" s="14"/>
      <c r="S5702" s="14">
        <v>1</v>
      </c>
    </row>
    <row r="5703" spans="17:19" ht="20.25" hidden="1" customHeight="1">
      <c r="Q5703" s="18"/>
      <c r="R5703" s="14"/>
      <c r="S5703" s="14">
        <v>1</v>
      </c>
    </row>
    <row r="5704" spans="17:19" ht="20.25" hidden="1" customHeight="1">
      <c r="Q5704" s="18"/>
      <c r="R5704" s="14"/>
      <c r="S5704" s="14">
        <v>1</v>
      </c>
    </row>
    <row r="5705" spans="17:19" ht="20.25" hidden="1" customHeight="1">
      <c r="Q5705" s="18"/>
      <c r="R5705" s="14"/>
      <c r="S5705" s="14">
        <v>1</v>
      </c>
    </row>
    <row r="5706" spans="17:19" ht="20.25" hidden="1" customHeight="1">
      <c r="Q5706" s="18"/>
      <c r="R5706" s="14"/>
      <c r="S5706" s="14">
        <v>1</v>
      </c>
    </row>
    <row r="5707" spans="17:19" ht="20.25" hidden="1" customHeight="1">
      <c r="Q5707" s="18"/>
      <c r="R5707" s="14"/>
      <c r="S5707" s="14">
        <v>1</v>
      </c>
    </row>
    <row r="5708" spans="17:19" ht="20.25" hidden="1" customHeight="1">
      <c r="Q5708" s="18"/>
      <c r="R5708" s="14"/>
      <c r="S5708" s="14">
        <v>1</v>
      </c>
    </row>
    <row r="5709" spans="17:19" ht="20.25" hidden="1" customHeight="1">
      <c r="Q5709" s="18"/>
      <c r="R5709" s="14"/>
      <c r="S5709" s="14">
        <v>1</v>
      </c>
    </row>
    <row r="5710" spans="17:19" ht="20.25" hidden="1" customHeight="1">
      <c r="Q5710" s="18"/>
      <c r="R5710" s="14"/>
      <c r="S5710" s="14">
        <v>1</v>
      </c>
    </row>
    <row r="5711" spans="17:19" ht="20.25" hidden="1" customHeight="1">
      <c r="Q5711" s="18"/>
      <c r="R5711" s="14"/>
      <c r="S5711" s="14">
        <v>1</v>
      </c>
    </row>
    <row r="5712" spans="17:19" ht="20.25" hidden="1" customHeight="1">
      <c r="Q5712" s="18"/>
      <c r="R5712" s="14"/>
      <c r="S5712" s="14">
        <v>1</v>
      </c>
    </row>
    <row r="5713" spans="17:19" ht="20.25" hidden="1" customHeight="1">
      <c r="Q5713" s="18"/>
      <c r="R5713" s="14"/>
      <c r="S5713" s="14">
        <v>1</v>
      </c>
    </row>
    <row r="5714" spans="17:19" ht="20.25" hidden="1" customHeight="1">
      <c r="Q5714" s="18"/>
      <c r="R5714" s="14"/>
      <c r="S5714" s="14">
        <v>1</v>
      </c>
    </row>
    <row r="5715" spans="17:19" ht="20.25" hidden="1" customHeight="1">
      <c r="Q5715" s="18"/>
      <c r="R5715" s="14"/>
      <c r="S5715" s="14">
        <v>1</v>
      </c>
    </row>
    <row r="5716" spans="17:19" ht="20.25" hidden="1" customHeight="1">
      <c r="Q5716" s="18"/>
      <c r="R5716" s="14"/>
      <c r="S5716" s="14">
        <v>1</v>
      </c>
    </row>
    <row r="5717" spans="17:19" ht="20.25" hidden="1" customHeight="1">
      <c r="Q5717" s="18"/>
      <c r="R5717" s="14"/>
      <c r="S5717" s="14">
        <v>1</v>
      </c>
    </row>
    <row r="5718" spans="17:19" ht="20.25" hidden="1" customHeight="1">
      <c r="Q5718" s="18"/>
      <c r="R5718" s="14"/>
      <c r="S5718" s="14">
        <v>1</v>
      </c>
    </row>
    <row r="5719" spans="17:19" ht="20.25" hidden="1" customHeight="1">
      <c r="Q5719" s="18"/>
      <c r="R5719" s="14"/>
      <c r="S5719" s="14">
        <v>1</v>
      </c>
    </row>
    <row r="5720" spans="17:19" ht="20.25" hidden="1" customHeight="1">
      <c r="Q5720" s="18"/>
      <c r="R5720" s="14"/>
      <c r="S5720" s="14">
        <v>1</v>
      </c>
    </row>
    <row r="5721" spans="17:19" ht="20.25" hidden="1" customHeight="1">
      <c r="Q5721" s="18"/>
      <c r="R5721" s="14"/>
      <c r="S5721" s="14">
        <v>1</v>
      </c>
    </row>
    <row r="5722" spans="17:19" ht="20.25" hidden="1" customHeight="1">
      <c r="Q5722" s="18"/>
      <c r="R5722" s="14"/>
      <c r="S5722" s="14">
        <v>1</v>
      </c>
    </row>
    <row r="5723" spans="17:19" ht="20.25" hidden="1" customHeight="1">
      <c r="Q5723" s="18"/>
      <c r="R5723" s="14"/>
      <c r="S5723" s="14">
        <v>1</v>
      </c>
    </row>
    <row r="5724" spans="17:19" ht="20.25" hidden="1" customHeight="1">
      <c r="Q5724" s="18"/>
      <c r="R5724" s="14"/>
      <c r="S5724" s="14">
        <v>1</v>
      </c>
    </row>
    <row r="5725" spans="17:19" ht="20.25" hidden="1" customHeight="1">
      <c r="Q5725" s="18"/>
      <c r="R5725" s="14"/>
      <c r="S5725" s="14">
        <v>1</v>
      </c>
    </row>
    <row r="5726" spans="17:19" ht="20.25" hidden="1" customHeight="1">
      <c r="Q5726" s="18"/>
      <c r="R5726" s="14"/>
      <c r="S5726" s="14">
        <v>1</v>
      </c>
    </row>
    <row r="5727" spans="17:19" ht="20.25" hidden="1" customHeight="1">
      <c r="Q5727" s="18"/>
      <c r="R5727" s="14"/>
      <c r="S5727" s="14">
        <v>1</v>
      </c>
    </row>
    <row r="5728" spans="17:19" ht="20.25" hidden="1" customHeight="1">
      <c r="Q5728" s="18"/>
      <c r="R5728" s="14"/>
      <c r="S5728" s="14">
        <v>1</v>
      </c>
    </row>
    <row r="5729" spans="17:19" ht="20.25" hidden="1" customHeight="1">
      <c r="Q5729" s="18"/>
      <c r="R5729" s="14"/>
      <c r="S5729" s="14">
        <v>1</v>
      </c>
    </row>
    <row r="5730" spans="17:19" ht="20.25" hidden="1" customHeight="1">
      <c r="Q5730" s="18"/>
      <c r="R5730" s="14"/>
      <c r="S5730" s="14">
        <v>1</v>
      </c>
    </row>
    <row r="5731" spans="17:19" ht="20.25" hidden="1" customHeight="1">
      <c r="Q5731" s="18"/>
      <c r="R5731" s="14"/>
      <c r="S5731" s="14">
        <v>1</v>
      </c>
    </row>
    <row r="5732" spans="17:19" ht="20.25" hidden="1" customHeight="1">
      <c r="Q5732" s="18"/>
      <c r="R5732" s="14"/>
      <c r="S5732" s="14">
        <v>1</v>
      </c>
    </row>
    <row r="5733" spans="17:19" ht="20.25" hidden="1" customHeight="1">
      <c r="Q5733" s="18"/>
      <c r="R5733" s="14"/>
      <c r="S5733" s="14">
        <v>1</v>
      </c>
    </row>
    <row r="5734" spans="17:19" ht="20.25" hidden="1" customHeight="1">
      <c r="Q5734" s="18"/>
      <c r="R5734" s="14"/>
      <c r="S5734" s="14">
        <v>1</v>
      </c>
    </row>
    <row r="5735" spans="17:19" ht="20.25" hidden="1" customHeight="1">
      <c r="Q5735" s="18"/>
      <c r="R5735" s="14"/>
      <c r="S5735" s="14">
        <v>1</v>
      </c>
    </row>
    <row r="5736" spans="17:19" ht="20.25" hidden="1" customHeight="1">
      <c r="Q5736" s="18"/>
      <c r="R5736" s="14"/>
      <c r="S5736" s="14">
        <v>1</v>
      </c>
    </row>
    <row r="5737" spans="17:19" ht="20.25" hidden="1" customHeight="1">
      <c r="Q5737" s="18"/>
      <c r="R5737" s="14"/>
      <c r="S5737" s="14">
        <v>1</v>
      </c>
    </row>
    <row r="5738" spans="17:19" ht="20.25" hidden="1" customHeight="1">
      <c r="Q5738" s="18"/>
      <c r="R5738" s="14"/>
      <c r="S5738" s="14">
        <v>1</v>
      </c>
    </row>
    <row r="5739" spans="17:19" ht="20.25" hidden="1" customHeight="1">
      <c r="Q5739" s="18"/>
      <c r="R5739" s="14"/>
      <c r="S5739" s="14">
        <v>1</v>
      </c>
    </row>
    <row r="5740" spans="17:19" ht="20.25" hidden="1" customHeight="1">
      <c r="Q5740" s="18"/>
      <c r="R5740" s="14"/>
      <c r="S5740" s="14">
        <v>1</v>
      </c>
    </row>
    <row r="5741" spans="17:19" ht="20.25" hidden="1" customHeight="1">
      <c r="Q5741" s="18"/>
      <c r="R5741" s="14"/>
      <c r="S5741" s="14">
        <v>1</v>
      </c>
    </row>
    <row r="5742" spans="17:19" ht="20.25" hidden="1" customHeight="1">
      <c r="Q5742" s="18"/>
      <c r="R5742" s="14"/>
      <c r="S5742" s="14">
        <v>1</v>
      </c>
    </row>
    <row r="5743" spans="17:19" ht="20.25" hidden="1" customHeight="1">
      <c r="Q5743" s="18"/>
      <c r="R5743" s="14"/>
      <c r="S5743" s="14">
        <v>1</v>
      </c>
    </row>
    <row r="5744" spans="17:19" ht="20.25" hidden="1" customHeight="1">
      <c r="Q5744" s="18"/>
      <c r="R5744" s="14"/>
      <c r="S5744" s="14">
        <v>1</v>
      </c>
    </row>
    <row r="5745" spans="17:19" ht="20.25" hidden="1" customHeight="1">
      <c r="Q5745" s="18"/>
      <c r="R5745" s="14"/>
      <c r="S5745" s="14">
        <v>1</v>
      </c>
    </row>
    <row r="5746" spans="17:19" ht="20.25" hidden="1" customHeight="1">
      <c r="Q5746" s="18"/>
      <c r="R5746" s="14"/>
      <c r="S5746" s="14">
        <v>1</v>
      </c>
    </row>
    <row r="5747" spans="17:19" ht="20.25" hidden="1" customHeight="1">
      <c r="Q5747" s="18"/>
      <c r="R5747" s="14"/>
      <c r="S5747" s="14">
        <v>1</v>
      </c>
    </row>
    <row r="5748" spans="17:19" ht="20.25" hidden="1" customHeight="1">
      <c r="Q5748" s="18"/>
      <c r="R5748" s="14"/>
      <c r="S5748" s="14">
        <v>1</v>
      </c>
    </row>
    <row r="5749" spans="17:19" ht="20.25" hidden="1" customHeight="1">
      <c r="Q5749" s="18"/>
      <c r="R5749" s="14"/>
      <c r="S5749" s="14">
        <v>1</v>
      </c>
    </row>
    <row r="5750" spans="17:19" ht="20.25" hidden="1" customHeight="1">
      <c r="Q5750" s="18"/>
      <c r="R5750" s="14"/>
      <c r="S5750" s="14">
        <v>1</v>
      </c>
    </row>
    <row r="5751" spans="17:19" ht="20.25" hidden="1" customHeight="1">
      <c r="Q5751" s="18"/>
      <c r="R5751" s="14"/>
      <c r="S5751" s="14">
        <v>1</v>
      </c>
    </row>
    <row r="5752" spans="17:19" ht="20.25" hidden="1" customHeight="1">
      <c r="Q5752" s="18"/>
      <c r="R5752" s="14"/>
      <c r="S5752" s="14">
        <v>1</v>
      </c>
    </row>
    <row r="5753" spans="17:19" ht="20.25" hidden="1" customHeight="1">
      <c r="Q5753" s="18"/>
      <c r="R5753" s="14"/>
      <c r="S5753" s="14">
        <v>1</v>
      </c>
    </row>
    <row r="5754" spans="17:19" ht="20.25" hidden="1" customHeight="1">
      <c r="Q5754" s="18"/>
      <c r="R5754" s="14"/>
      <c r="S5754" s="14">
        <v>1</v>
      </c>
    </row>
    <row r="5755" spans="17:19" ht="20.25" hidden="1" customHeight="1">
      <c r="Q5755" s="18"/>
      <c r="R5755" s="14"/>
      <c r="S5755" s="14">
        <v>1</v>
      </c>
    </row>
    <row r="5756" spans="17:19" ht="20.25" hidden="1" customHeight="1">
      <c r="Q5756" s="18"/>
      <c r="R5756" s="14"/>
      <c r="S5756" s="14">
        <v>1</v>
      </c>
    </row>
    <row r="5757" spans="17:19" ht="20.25" hidden="1" customHeight="1">
      <c r="Q5757" s="18"/>
      <c r="R5757" s="14"/>
      <c r="S5757" s="14">
        <v>1</v>
      </c>
    </row>
    <row r="5758" spans="17:19" ht="20.25" hidden="1" customHeight="1">
      <c r="Q5758" s="18"/>
      <c r="R5758" s="14"/>
      <c r="S5758" s="14">
        <v>1</v>
      </c>
    </row>
    <row r="5759" spans="17:19" ht="20.25" hidden="1" customHeight="1">
      <c r="Q5759" s="18"/>
      <c r="R5759" s="14"/>
      <c r="S5759" s="14">
        <v>1</v>
      </c>
    </row>
    <row r="5760" spans="17:19" ht="20.25" hidden="1" customHeight="1">
      <c r="Q5760" s="18"/>
      <c r="R5760" s="14"/>
      <c r="S5760" s="14">
        <v>1</v>
      </c>
    </row>
    <row r="5761" spans="17:19" ht="20.25" hidden="1" customHeight="1">
      <c r="Q5761" s="18"/>
      <c r="R5761" s="14"/>
      <c r="S5761" s="14">
        <v>1</v>
      </c>
    </row>
    <row r="5762" spans="17:19" ht="20.25" hidden="1" customHeight="1">
      <c r="Q5762" s="18"/>
      <c r="R5762" s="14"/>
      <c r="S5762" s="14">
        <v>1</v>
      </c>
    </row>
    <row r="5763" spans="17:19" ht="20.25" hidden="1" customHeight="1">
      <c r="Q5763" s="18"/>
      <c r="R5763" s="14"/>
      <c r="S5763" s="14">
        <v>1</v>
      </c>
    </row>
    <row r="5764" spans="17:19" ht="20.25" hidden="1" customHeight="1">
      <c r="Q5764" s="18"/>
      <c r="R5764" s="14"/>
      <c r="S5764" s="14">
        <v>1</v>
      </c>
    </row>
    <row r="5765" spans="17:19" ht="20.25" hidden="1" customHeight="1">
      <c r="Q5765" s="18"/>
      <c r="R5765" s="14"/>
      <c r="S5765" s="14">
        <v>1</v>
      </c>
    </row>
    <row r="5766" spans="17:19" ht="20.25" hidden="1" customHeight="1">
      <c r="Q5766" s="18"/>
      <c r="R5766" s="14"/>
      <c r="S5766" s="14">
        <v>1</v>
      </c>
    </row>
    <row r="5767" spans="17:19" ht="20.25" hidden="1" customHeight="1">
      <c r="Q5767" s="18"/>
      <c r="R5767" s="14"/>
      <c r="S5767" s="14">
        <v>1</v>
      </c>
    </row>
    <row r="5768" spans="17:19" ht="20.25" hidden="1" customHeight="1">
      <c r="Q5768" s="18"/>
      <c r="R5768" s="14"/>
      <c r="S5768" s="14">
        <v>1</v>
      </c>
    </row>
    <row r="5769" spans="17:19" ht="20.25" hidden="1" customHeight="1">
      <c r="Q5769" s="18"/>
      <c r="R5769" s="14"/>
      <c r="S5769" s="14">
        <v>1</v>
      </c>
    </row>
    <row r="5770" spans="17:19" ht="20.25" hidden="1" customHeight="1">
      <c r="Q5770" s="18"/>
      <c r="R5770" s="14"/>
      <c r="S5770" s="14">
        <v>1</v>
      </c>
    </row>
    <row r="5771" spans="17:19" ht="20.25" hidden="1" customHeight="1">
      <c r="Q5771" s="18"/>
      <c r="R5771" s="14"/>
      <c r="S5771" s="14">
        <v>1</v>
      </c>
    </row>
    <row r="5772" spans="17:19" ht="20.25" hidden="1" customHeight="1">
      <c r="Q5772" s="18"/>
      <c r="R5772" s="14"/>
      <c r="S5772" s="14">
        <v>1</v>
      </c>
    </row>
    <row r="5773" spans="17:19" ht="20.25" hidden="1" customHeight="1">
      <c r="Q5773" s="18"/>
      <c r="R5773" s="14"/>
      <c r="S5773" s="14">
        <v>1</v>
      </c>
    </row>
    <row r="5774" spans="17:19" ht="20.25" hidden="1" customHeight="1">
      <c r="Q5774" s="18"/>
      <c r="R5774" s="14"/>
      <c r="S5774" s="14">
        <v>1</v>
      </c>
    </row>
    <row r="5775" spans="17:19" ht="20.25" hidden="1" customHeight="1">
      <c r="Q5775" s="18"/>
      <c r="R5775" s="14"/>
      <c r="S5775" s="14">
        <v>1</v>
      </c>
    </row>
    <row r="5776" spans="17:19" ht="20.25" hidden="1" customHeight="1">
      <c r="Q5776" s="18"/>
      <c r="R5776" s="14"/>
      <c r="S5776" s="14">
        <v>1</v>
      </c>
    </row>
    <row r="5777" spans="17:19" ht="20.25" hidden="1" customHeight="1">
      <c r="Q5777" s="18"/>
      <c r="R5777" s="14"/>
      <c r="S5777" s="14">
        <v>1</v>
      </c>
    </row>
    <row r="5778" spans="17:19" ht="20.25" hidden="1" customHeight="1">
      <c r="Q5778" s="18"/>
      <c r="R5778" s="14"/>
      <c r="S5778" s="14">
        <v>1</v>
      </c>
    </row>
    <row r="5779" spans="17:19" ht="20.25" hidden="1" customHeight="1">
      <c r="Q5779" s="18"/>
      <c r="R5779" s="14"/>
      <c r="S5779" s="14">
        <v>1</v>
      </c>
    </row>
    <row r="5780" spans="17:19" ht="20.25" hidden="1" customHeight="1">
      <c r="Q5780" s="18"/>
      <c r="R5780" s="14"/>
      <c r="S5780" s="14">
        <v>1</v>
      </c>
    </row>
    <row r="5781" spans="17:19" ht="20.25" hidden="1" customHeight="1">
      <c r="Q5781" s="18"/>
      <c r="R5781" s="14"/>
      <c r="S5781" s="14">
        <v>1</v>
      </c>
    </row>
    <row r="5782" spans="17:19" ht="20.25" hidden="1" customHeight="1">
      <c r="Q5782" s="18"/>
      <c r="R5782" s="14"/>
      <c r="S5782" s="14">
        <v>1</v>
      </c>
    </row>
    <row r="5783" spans="17:19" ht="20.25" hidden="1" customHeight="1">
      <c r="Q5783" s="18"/>
      <c r="R5783" s="14"/>
      <c r="S5783" s="14">
        <v>1</v>
      </c>
    </row>
    <row r="5784" spans="17:19" ht="20.25" hidden="1" customHeight="1">
      <c r="Q5784" s="18"/>
      <c r="R5784" s="14"/>
      <c r="S5784" s="14">
        <v>1</v>
      </c>
    </row>
    <row r="5785" spans="17:19" ht="20.25" hidden="1" customHeight="1">
      <c r="Q5785" s="18"/>
      <c r="R5785" s="14"/>
      <c r="S5785" s="14">
        <v>1</v>
      </c>
    </row>
  </sheetData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26" fitToHeight="0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8AD9-9D5C-4862-8E1B-E7936F311268}">
  <dimension ref="A1:G36"/>
  <sheetViews>
    <sheetView workbookViewId="0">
      <selection activeCell="E11" sqref="E11"/>
    </sheetView>
  </sheetViews>
  <sheetFormatPr defaultRowHeight="16.2"/>
  <cols>
    <col min="1" max="1" width="8.6640625" customWidth="1"/>
    <col min="2" max="2" width="11.6640625" customWidth="1"/>
    <col min="3" max="3" width="7.44140625" bestFit="1" customWidth="1"/>
    <col min="4" max="4" width="4.88671875" customWidth="1"/>
    <col min="5" max="5" width="36" customWidth="1"/>
    <col min="6" max="6" width="12.6640625" bestFit="1" customWidth="1"/>
    <col min="7" max="7" width="6" bestFit="1" customWidth="1"/>
    <col min="8" max="8" width="4.5546875" bestFit="1" customWidth="1"/>
    <col min="9" max="9" width="7.5546875" bestFit="1" customWidth="1"/>
    <col min="10" max="10" width="4.5546875" bestFit="1" customWidth="1"/>
    <col min="11" max="11" width="7.44140625" bestFit="1" customWidth="1"/>
    <col min="12" max="12" width="7.5546875" bestFit="1" customWidth="1"/>
    <col min="13" max="13" width="4.5546875" bestFit="1" customWidth="1"/>
    <col min="14" max="14" width="7.44140625" bestFit="1" customWidth="1"/>
    <col min="15" max="15" width="7.5546875" bestFit="1" customWidth="1"/>
    <col min="16" max="16" width="4.5546875" bestFit="1" customWidth="1"/>
    <col min="17" max="17" width="7.44140625" bestFit="1" customWidth="1"/>
    <col min="18" max="18" width="7.5546875" bestFit="1" customWidth="1"/>
    <col min="19" max="19" width="6" bestFit="1" customWidth="1"/>
  </cols>
  <sheetData>
    <row r="1" spans="1:7">
      <c r="A1" s="62" t="s">
        <v>273</v>
      </c>
      <c r="B1" s="71">
        <v>45897</v>
      </c>
    </row>
    <row r="2" spans="1:7">
      <c r="A2" s="62" t="s">
        <v>277</v>
      </c>
      <c r="B2" s="61" t="s">
        <v>274</v>
      </c>
    </row>
    <row r="4" spans="1:7">
      <c r="A4" s="59" t="s">
        <v>71</v>
      </c>
      <c r="B4" s="64"/>
      <c r="C4" s="64"/>
      <c r="D4" s="64"/>
      <c r="E4" s="64"/>
      <c r="F4" s="64"/>
      <c r="G4" s="60"/>
    </row>
    <row r="5" spans="1:7">
      <c r="A5" s="59" t="s">
        <v>4</v>
      </c>
      <c r="B5" s="59" t="s">
        <v>2</v>
      </c>
      <c r="C5" s="59" t="s">
        <v>3</v>
      </c>
      <c r="D5" s="59" t="s">
        <v>271</v>
      </c>
      <c r="E5" s="59" t="s">
        <v>46</v>
      </c>
      <c r="F5" s="59" t="s">
        <v>1</v>
      </c>
      <c r="G5" s="60" t="s">
        <v>272</v>
      </c>
    </row>
    <row r="6" spans="1:7">
      <c r="A6" s="65">
        <v>304</v>
      </c>
      <c r="B6" s="65">
        <v>1</v>
      </c>
      <c r="C6" s="65" t="s">
        <v>57</v>
      </c>
      <c r="D6" s="65">
        <v>30</v>
      </c>
      <c r="E6" s="65" t="s">
        <v>264</v>
      </c>
      <c r="F6" s="65">
        <v>10</v>
      </c>
      <c r="G6" s="60">
        <v>1</v>
      </c>
    </row>
    <row r="7" spans="1:7">
      <c r="A7" s="66"/>
      <c r="B7" s="66"/>
      <c r="C7" s="66"/>
      <c r="D7" s="66"/>
      <c r="E7" s="66"/>
      <c r="F7" s="67">
        <v>11</v>
      </c>
      <c r="G7" s="72">
        <v>1</v>
      </c>
    </row>
    <row r="8" spans="1:7">
      <c r="A8" s="66"/>
      <c r="B8" s="66"/>
      <c r="C8" s="66"/>
      <c r="D8" s="66"/>
      <c r="E8" s="66"/>
      <c r="F8" s="67">
        <v>12</v>
      </c>
      <c r="G8" s="72">
        <v>1</v>
      </c>
    </row>
    <row r="9" spans="1:7">
      <c r="A9" s="66"/>
      <c r="B9" s="66"/>
      <c r="C9" s="66"/>
      <c r="D9" s="66"/>
      <c r="E9" s="66"/>
      <c r="F9" s="67">
        <v>15</v>
      </c>
      <c r="G9" s="72">
        <v>1</v>
      </c>
    </row>
    <row r="10" spans="1:7">
      <c r="A10" s="66"/>
      <c r="B10" s="66"/>
      <c r="C10" s="66"/>
      <c r="D10" s="66"/>
      <c r="E10" s="66"/>
      <c r="F10" s="67">
        <v>16</v>
      </c>
      <c r="G10" s="72">
        <v>1</v>
      </c>
    </row>
    <row r="11" spans="1:7">
      <c r="A11" s="66"/>
      <c r="B11" s="66"/>
      <c r="C11" s="66"/>
      <c r="D11" s="66"/>
      <c r="E11" s="66"/>
      <c r="F11" s="67">
        <v>1001</v>
      </c>
      <c r="G11" s="72">
        <v>1</v>
      </c>
    </row>
    <row r="12" spans="1:7">
      <c r="A12" s="66"/>
      <c r="B12" s="66"/>
      <c r="C12" s="66"/>
      <c r="D12" s="65">
        <v>34</v>
      </c>
      <c r="E12" s="65" t="s">
        <v>262</v>
      </c>
      <c r="F12" s="65">
        <v>4</v>
      </c>
      <c r="G12" s="60">
        <v>1</v>
      </c>
    </row>
    <row r="13" spans="1:7">
      <c r="A13" s="66"/>
      <c r="B13" s="66"/>
      <c r="C13" s="66"/>
      <c r="D13" s="66"/>
      <c r="E13" s="66"/>
      <c r="F13" s="67">
        <v>5</v>
      </c>
      <c r="G13" s="72">
        <v>1</v>
      </c>
    </row>
    <row r="14" spans="1:7">
      <c r="A14" s="66"/>
      <c r="B14" s="66"/>
      <c r="C14" s="66"/>
      <c r="D14" s="66"/>
      <c r="E14" s="66"/>
      <c r="F14" s="67">
        <v>12</v>
      </c>
      <c r="G14" s="72">
        <v>1</v>
      </c>
    </row>
    <row r="15" spans="1:7">
      <c r="A15" s="66"/>
      <c r="B15" s="66"/>
      <c r="C15" s="66"/>
      <c r="D15" s="66"/>
      <c r="E15" s="66"/>
      <c r="F15" s="67">
        <v>13</v>
      </c>
      <c r="G15" s="72">
        <v>1</v>
      </c>
    </row>
    <row r="16" spans="1:7">
      <c r="A16" s="66"/>
      <c r="B16" s="66"/>
      <c r="C16" s="66"/>
      <c r="D16" s="66"/>
      <c r="E16" s="66"/>
      <c r="F16" s="67">
        <v>16</v>
      </c>
      <c r="G16" s="72">
        <v>1</v>
      </c>
    </row>
    <row r="17" spans="1:7">
      <c r="A17" s="66"/>
      <c r="B17" s="66"/>
      <c r="C17" s="66"/>
      <c r="D17" s="66"/>
      <c r="E17" s="66"/>
      <c r="F17" s="67">
        <v>17</v>
      </c>
      <c r="G17" s="72">
        <v>1</v>
      </c>
    </row>
    <row r="18" spans="1:7">
      <c r="A18" s="66"/>
      <c r="B18" s="65">
        <v>1.5</v>
      </c>
      <c r="C18" s="65" t="s">
        <v>57</v>
      </c>
      <c r="D18" s="65">
        <v>3</v>
      </c>
      <c r="E18" s="65" t="s">
        <v>265</v>
      </c>
      <c r="F18" s="65">
        <v>24</v>
      </c>
      <c r="G18" s="60">
        <v>1</v>
      </c>
    </row>
    <row r="19" spans="1:7">
      <c r="A19" s="66"/>
      <c r="B19" s="66"/>
      <c r="C19" s="66"/>
      <c r="D19" s="66"/>
      <c r="E19" s="66"/>
      <c r="F19" s="67">
        <v>26</v>
      </c>
      <c r="G19" s="72">
        <v>1</v>
      </c>
    </row>
    <row r="20" spans="1:7">
      <c r="A20" s="66"/>
      <c r="B20" s="66"/>
      <c r="C20" s="66"/>
      <c r="D20" s="66"/>
      <c r="E20" s="66"/>
      <c r="F20" s="67">
        <v>27</v>
      </c>
      <c r="G20" s="72">
        <v>1</v>
      </c>
    </row>
    <row r="21" spans="1:7">
      <c r="A21" s="66"/>
      <c r="B21" s="66"/>
      <c r="C21" s="66"/>
      <c r="D21" s="66"/>
      <c r="E21" s="66"/>
      <c r="F21" s="67">
        <v>28</v>
      </c>
      <c r="G21" s="72">
        <v>1</v>
      </c>
    </row>
    <row r="22" spans="1:7">
      <c r="A22" s="66"/>
      <c r="B22" s="66"/>
      <c r="C22" s="66"/>
      <c r="D22" s="65" t="s">
        <v>261</v>
      </c>
      <c r="E22" s="65" t="s">
        <v>266</v>
      </c>
      <c r="F22" s="65">
        <v>38</v>
      </c>
      <c r="G22" s="60">
        <v>1</v>
      </c>
    </row>
    <row r="23" spans="1:7">
      <c r="A23" s="66"/>
      <c r="B23" s="66"/>
      <c r="C23" s="66"/>
      <c r="D23" s="66"/>
      <c r="E23" s="66"/>
      <c r="F23" s="67">
        <v>40</v>
      </c>
      <c r="G23" s="72">
        <v>1</v>
      </c>
    </row>
    <row r="24" spans="1:7">
      <c r="A24" s="66"/>
      <c r="B24" s="66"/>
      <c r="C24" s="66"/>
      <c r="D24" s="66"/>
      <c r="E24" s="66"/>
      <c r="F24" s="67">
        <v>41</v>
      </c>
      <c r="G24" s="72">
        <v>1</v>
      </c>
    </row>
    <row r="25" spans="1:7">
      <c r="A25" s="66"/>
      <c r="B25" s="66"/>
      <c r="C25" s="66"/>
      <c r="D25" s="66"/>
      <c r="E25" s="66"/>
      <c r="F25" s="67">
        <v>42</v>
      </c>
      <c r="G25" s="72">
        <v>1</v>
      </c>
    </row>
    <row r="26" spans="1:7">
      <c r="A26" s="65" t="s">
        <v>156</v>
      </c>
      <c r="B26" s="65">
        <v>0.5</v>
      </c>
      <c r="C26" s="65" t="s">
        <v>57</v>
      </c>
      <c r="D26" s="65">
        <v>6</v>
      </c>
      <c r="E26" s="65" t="s">
        <v>269</v>
      </c>
      <c r="F26" s="65">
        <v>26</v>
      </c>
      <c r="G26" s="60">
        <v>1</v>
      </c>
    </row>
    <row r="27" spans="1:7">
      <c r="A27" s="66"/>
      <c r="B27" s="66"/>
      <c r="C27" s="65" t="s">
        <v>260</v>
      </c>
      <c r="D27" s="65">
        <v>6</v>
      </c>
      <c r="E27" s="65" t="s">
        <v>269</v>
      </c>
      <c r="F27" s="65">
        <v>27</v>
      </c>
      <c r="G27" s="60">
        <v>1</v>
      </c>
    </row>
    <row r="28" spans="1:7">
      <c r="A28" s="66"/>
      <c r="B28" s="66"/>
      <c r="C28" s="66"/>
      <c r="D28" s="66"/>
      <c r="E28" s="66"/>
      <c r="F28" s="67">
        <v>28</v>
      </c>
      <c r="G28" s="72">
        <v>1</v>
      </c>
    </row>
    <row r="29" spans="1:7">
      <c r="A29" s="66"/>
      <c r="B29" s="66"/>
      <c r="C29" s="66"/>
      <c r="D29" s="65">
        <v>9</v>
      </c>
      <c r="E29" s="65" t="s">
        <v>268</v>
      </c>
      <c r="F29" s="65">
        <v>25</v>
      </c>
      <c r="G29" s="60">
        <v>1</v>
      </c>
    </row>
    <row r="30" spans="1:7">
      <c r="A30" s="66"/>
      <c r="B30" s="66"/>
      <c r="C30" s="66"/>
      <c r="D30" s="66"/>
      <c r="E30" s="66"/>
      <c r="F30" s="67">
        <v>26</v>
      </c>
      <c r="G30" s="72">
        <v>1</v>
      </c>
    </row>
    <row r="31" spans="1:7">
      <c r="A31" s="66"/>
      <c r="B31" s="66"/>
      <c r="C31" s="66"/>
      <c r="D31" s="66"/>
      <c r="E31" s="66"/>
      <c r="F31" s="67">
        <v>27</v>
      </c>
      <c r="G31" s="72">
        <v>1</v>
      </c>
    </row>
    <row r="32" spans="1:7">
      <c r="A32" s="66"/>
      <c r="B32" s="66"/>
      <c r="C32" s="66"/>
      <c r="D32" s="65">
        <v>11</v>
      </c>
      <c r="E32" s="65" t="s">
        <v>267</v>
      </c>
      <c r="F32" s="65">
        <v>15</v>
      </c>
      <c r="G32" s="60">
        <v>1</v>
      </c>
    </row>
    <row r="33" spans="1:7">
      <c r="A33" s="66"/>
      <c r="B33" s="66"/>
      <c r="C33" s="66"/>
      <c r="D33" s="66"/>
      <c r="E33" s="66"/>
      <c r="F33" s="67">
        <v>16</v>
      </c>
      <c r="G33" s="72">
        <v>1</v>
      </c>
    </row>
    <row r="34" spans="1:7">
      <c r="A34" s="66"/>
      <c r="B34" s="66"/>
      <c r="C34" s="66"/>
      <c r="D34" s="66"/>
      <c r="E34" s="66"/>
      <c r="F34" s="67">
        <v>17</v>
      </c>
      <c r="G34" s="72">
        <v>1</v>
      </c>
    </row>
    <row r="35" spans="1:7">
      <c r="A35" s="66"/>
      <c r="B35" s="65">
        <v>2.5</v>
      </c>
      <c r="C35" s="65" t="s">
        <v>57</v>
      </c>
      <c r="D35" s="65">
        <v>10</v>
      </c>
      <c r="E35" s="65" t="s">
        <v>263</v>
      </c>
      <c r="F35" s="65">
        <v>6</v>
      </c>
      <c r="G35" s="60">
        <v>1</v>
      </c>
    </row>
    <row r="36" spans="1:7">
      <c r="A36" s="68" t="s">
        <v>68</v>
      </c>
      <c r="B36" s="69"/>
      <c r="C36" s="69"/>
      <c r="D36" s="69"/>
      <c r="E36" s="69"/>
      <c r="F36" s="69"/>
      <c r="G36" s="61">
        <v>30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68EB1-BD0A-419D-8E07-DC0366B38688}">
  <sheetPr codeName="工作表8"/>
  <dimension ref="A1:B41"/>
  <sheetViews>
    <sheetView workbookViewId="0">
      <selection activeCell="C19" sqref="C19"/>
    </sheetView>
  </sheetViews>
  <sheetFormatPr defaultRowHeight="16.2"/>
  <cols>
    <col min="1" max="1" width="10.6640625" customWidth="1"/>
    <col min="2" max="2" width="25.109375" customWidth="1"/>
  </cols>
  <sheetData>
    <row r="1" spans="1:2">
      <c r="A1" t="s">
        <v>49</v>
      </c>
      <c r="B1" t="s">
        <v>50</v>
      </c>
    </row>
    <row r="2" spans="1:2">
      <c r="A2">
        <v>11</v>
      </c>
      <c r="B2" t="s">
        <v>51</v>
      </c>
    </row>
    <row r="3" spans="1:2">
      <c r="A3">
        <v>20</v>
      </c>
      <c r="B3" t="s">
        <v>51</v>
      </c>
    </row>
    <row r="4" spans="1:2">
      <c r="A4">
        <v>131</v>
      </c>
      <c r="B4" t="s">
        <v>51</v>
      </c>
    </row>
    <row r="5" spans="1:2">
      <c r="A5">
        <v>134</v>
      </c>
      <c r="B5" t="s">
        <v>51</v>
      </c>
    </row>
    <row r="6" spans="1:2">
      <c r="A6">
        <v>135</v>
      </c>
      <c r="B6" t="s">
        <v>51</v>
      </c>
    </row>
    <row r="7" spans="1:2">
      <c r="A7">
        <v>142</v>
      </c>
      <c r="B7" t="s">
        <v>51</v>
      </c>
    </row>
    <row r="8" spans="1:2">
      <c r="A8">
        <v>148</v>
      </c>
      <c r="B8" t="s">
        <v>52</v>
      </c>
    </row>
    <row r="9" spans="1:2">
      <c r="A9">
        <v>150</v>
      </c>
      <c r="B9" t="s">
        <v>52</v>
      </c>
    </row>
    <row r="10" spans="1:2">
      <c r="A10">
        <v>151</v>
      </c>
      <c r="B10" t="s">
        <v>52</v>
      </c>
    </row>
    <row r="11" spans="1:2">
      <c r="A11">
        <v>154</v>
      </c>
      <c r="B11" t="s">
        <v>52</v>
      </c>
    </row>
    <row r="12" spans="1:2">
      <c r="A12">
        <v>156</v>
      </c>
      <c r="B12" t="s">
        <v>52</v>
      </c>
    </row>
    <row r="13" spans="1:2">
      <c r="A13">
        <v>159</v>
      </c>
      <c r="B13" t="s">
        <v>51</v>
      </c>
    </row>
    <row r="14" spans="1:2">
      <c r="A14">
        <v>162</v>
      </c>
      <c r="B14" t="s">
        <v>51</v>
      </c>
    </row>
    <row r="15" spans="1:2">
      <c r="A15">
        <v>173</v>
      </c>
      <c r="B15" t="s">
        <v>51</v>
      </c>
    </row>
    <row r="16" spans="1:2">
      <c r="A16">
        <v>177</v>
      </c>
      <c r="B16" t="s">
        <v>52</v>
      </c>
    </row>
    <row r="17" spans="1:2">
      <c r="A17">
        <v>183</v>
      </c>
      <c r="B17" t="s">
        <v>51</v>
      </c>
    </row>
    <row r="18" spans="1:2">
      <c r="A18">
        <v>185</v>
      </c>
      <c r="B18" t="s">
        <v>51</v>
      </c>
    </row>
    <row r="19" spans="1:2">
      <c r="A19">
        <v>199</v>
      </c>
      <c r="B19" t="s">
        <v>52</v>
      </c>
    </row>
    <row r="20" spans="1:2">
      <c r="A20">
        <v>216</v>
      </c>
      <c r="B20" t="s">
        <v>52</v>
      </c>
    </row>
    <row r="21" spans="1:2">
      <c r="A21">
        <v>243</v>
      </c>
      <c r="B21" t="s">
        <v>51</v>
      </c>
    </row>
    <row r="22" spans="1:2">
      <c r="A22">
        <v>260</v>
      </c>
      <c r="B22" t="s">
        <v>51</v>
      </c>
    </row>
    <row r="23" spans="1:2">
      <c r="A23">
        <v>266</v>
      </c>
      <c r="B23" t="s">
        <v>51</v>
      </c>
    </row>
    <row r="24" spans="1:2">
      <c r="A24">
        <v>269</v>
      </c>
      <c r="B24" t="s">
        <v>51</v>
      </c>
    </row>
    <row r="25" spans="1:2">
      <c r="A25">
        <v>277</v>
      </c>
      <c r="B25" t="s">
        <v>52</v>
      </c>
    </row>
    <row r="26" spans="1:2">
      <c r="A26">
        <v>279</v>
      </c>
      <c r="B26" t="s">
        <v>52</v>
      </c>
    </row>
    <row r="27" spans="1:2">
      <c r="A27">
        <v>282</v>
      </c>
      <c r="B27" t="s">
        <v>52</v>
      </c>
    </row>
    <row r="28" spans="1:2">
      <c r="A28">
        <v>288</v>
      </c>
      <c r="B28" t="s">
        <v>52</v>
      </c>
    </row>
    <row r="29" spans="1:2">
      <c r="A29">
        <v>289</v>
      </c>
      <c r="B29" t="s">
        <v>52</v>
      </c>
    </row>
    <row r="30" spans="1:2">
      <c r="A30">
        <v>296</v>
      </c>
      <c r="B30" t="s">
        <v>52</v>
      </c>
    </row>
    <row r="31" spans="1:2">
      <c r="A31">
        <v>305</v>
      </c>
      <c r="B31" t="s">
        <v>51</v>
      </c>
    </row>
    <row r="32" spans="1:2">
      <c r="A32">
        <v>309</v>
      </c>
      <c r="B32" t="s">
        <v>51</v>
      </c>
    </row>
    <row r="33" spans="1:2">
      <c r="A33">
        <v>312</v>
      </c>
      <c r="B33" t="s">
        <v>51</v>
      </c>
    </row>
    <row r="34" spans="1:2">
      <c r="A34">
        <v>313</v>
      </c>
      <c r="B34" t="s">
        <v>51</v>
      </c>
    </row>
    <row r="35" spans="1:2">
      <c r="A35">
        <v>343</v>
      </c>
      <c r="B35" t="s">
        <v>52</v>
      </c>
    </row>
    <row r="36" spans="1:2">
      <c r="A36">
        <v>345</v>
      </c>
      <c r="B36" t="s">
        <v>52</v>
      </c>
    </row>
    <row r="37" spans="1:2">
      <c r="A37">
        <v>346</v>
      </c>
      <c r="B37" t="s">
        <v>52</v>
      </c>
    </row>
    <row r="38" spans="1:2">
      <c r="A38">
        <v>347</v>
      </c>
      <c r="B38" t="s">
        <v>52</v>
      </c>
    </row>
    <row r="39" spans="1:2">
      <c r="A39">
        <v>348</v>
      </c>
      <c r="B39" t="s">
        <v>52</v>
      </c>
    </row>
    <row r="40" spans="1:2">
      <c r="A40">
        <v>349</v>
      </c>
      <c r="B40" t="s">
        <v>52</v>
      </c>
    </row>
    <row r="41" spans="1:2">
      <c r="A41">
        <v>529</v>
      </c>
      <c r="B41" t="s">
        <v>52</v>
      </c>
    </row>
  </sheetData>
  <autoFilter ref="A1:B1" xr:uid="{EE868EB1-BD0A-419D-8E07-DC0366B38688}">
    <sortState xmlns:xlrd2="http://schemas.microsoft.com/office/spreadsheetml/2017/richdata2" ref="A2:B41">
      <sortCondition ref="A1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1180-4FAA-454F-8B29-BDF3E0A6F772}">
  <sheetPr codeName="工作表9"/>
  <dimension ref="A1:D34"/>
  <sheetViews>
    <sheetView workbookViewId="0">
      <selection activeCell="K23" sqref="K23"/>
    </sheetView>
  </sheetViews>
  <sheetFormatPr defaultColWidth="8.77734375" defaultRowHeight="15"/>
  <cols>
    <col min="1" max="1" width="9.44140625" style="19" customWidth="1"/>
    <col min="2" max="2" width="20.21875" style="19" customWidth="1"/>
    <col min="3" max="16384" width="8.77734375" style="19"/>
  </cols>
  <sheetData>
    <row r="1" spans="1:4">
      <c r="A1" s="19" t="s">
        <v>62</v>
      </c>
      <c r="B1" s="19" t="s">
        <v>63</v>
      </c>
      <c r="C1" s="19" t="s">
        <v>64</v>
      </c>
      <c r="D1" s="19" t="s">
        <v>65</v>
      </c>
    </row>
    <row r="2" spans="1:4">
      <c r="A2" s="20">
        <v>11</v>
      </c>
      <c r="B2" s="19">
        <v>1</v>
      </c>
      <c r="C2" s="19">
        <v>1</v>
      </c>
      <c r="D2" s="19" t="s">
        <v>60</v>
      </c>
    </row>
    <row r="3" spans="1:4">
      <c r="A3" s="20">
        <v>20</v>
      </c>
      <c r="B3" s="19">
        <v>2</v>
      </c>
      <c r="C3" s="19">
        <v>1</v>
      </c>
      <c r="D3" s="19" t="s">
        <v>60</v>
      </c>
    </row>
    <row r="4" spans="1:4">
      <c r="A4" s="20">
        <v>68</v>
      </c>
      <c r="B4" s="19">
        <v>1</v>
      </c>
      <c r="C4" s="19">
        <v>0.5</v>
      </c>
      <c r="D4" s="19" t="s">
        <v>59</v>
      </c>
    </row>
    <row r="5" spans="1:4">
      <c r="A5" s="20">
        <v>89</v>
      </c>
      <c r="B5" s="19">
        <v>1</v>
      </c>
      <c r="C5" s="19">
        <v>1</v>
      </c>
      <c r="D5" s="19" t="s">
        <v>59</v>
      </c>
    </row>
    <row r="6" spans="1:4">
      <c r="A6" s="20">
        <v>131</v>
      </c>
      <c r="B6" s="19">
        <v>1</v>
      </c>
      <c r="C6" s="19">
        <v>1</v>
      </c>
      <c r="D6" s="19" t="s">
        <v>59</v>
      </c>
    </row>
    <row r="7" spans="1:4">
      <c r="A7" s="20">
        <v>134</v>
      </c>
      <c r="B7" s="19">
        <v>1</v>
      </c>
      <c r="C7" s="19">
        <v>1</v>
      </c>
      <c r="D7" s="19" t="s">
        <v>59</v>
      </c>
    </row>
    <row r="8" spans="1:4">
      <c r="A8" s="20">
        <v>135</v>
      </c>
      <c r="B8" s="19">
        <v>1</v>
      </c>
      <c r="C8" s="19">
        <v>1</v>
      </c>
      <c r="D8" s="19" t="s">
        <v>59</v>
      </c>
    </row>
    <row r="9" spans="1:4">
      <c r="A9" s="20">
        <v>142</v>
      </c>
      <c r="B9" s="19">
        <v>2</v>
      </c>
      <c r="C9" s="19">
        <v>1</v>
      </c>
      <c r="D9" s="19" t="s">
        <v>59</v>
      </c>
    </row>
    <row r="10" spans="1:4">
      <c r="A10" s="20">
        <v>159</v>
      </c>
      <c r="B10" s="19">
        <v>1</v>
      </c>
      <c r="C10" s="19">
        <v>0.5</v>
      </c>
      <c r="D10" s="19" t="s">
        <v>60</v>
      </c>
    </row>
    <row r="11" spans="1:4">
      <c r="A11" s="20">
        <v>162</v>
      </c>
      <c r="B11" s="19">
        <v>1</v>
      </c>
      <c r="C11" s="19">
        <v>1</v>
      </c>
      <c r="D11" s="19" t="s">
        <v>60</v>
      </c>
    </row>
    <row r="12" spans="1:4">
      <c r="A12" s="20">
        <v>173</v>
      </c>
      <c r="B12" s="19">
        <v>1</v>
      </c>
      <c r="C12" s="19">
        <v>1.5</v>
      </c>
      <c r="D12" s="19" t="s">
        <v>60</v>
      </c>
    </row>
    <row r="13" spans="1:4">
      <c r="A13" s="20">
        <v>183</v>
      </c>
      <c r="B13" s="19">
        <v>1</v>
      </c>
      <c r="C13" s="19">
        <v>1</v>
      </c>
      <c r="D13" s="19" t="s">
        <v>60</v>
      </c>
    </row>
    <row r="14" spans="1:4">
      <c r="A14" s="20">
        <v>185</v>
      </c>
      <c r="B14" s="19">
        <v>1</v>
      </c>
      <c r="C14" s="19">
        <v>1.5</v>
      </c>
      <c r="D14" s="19" t="s">
        <v>60</v>
      </c>
    </row>
    <row r="15" spans="1:4">
      <c r="A15" s="20">
        <v>243</v>
      </c>
      <c r="B15" s="19">
        <v>1</v>
      </c>
      <c r="C15" s="19">
        <v>1</v>
      </c>
      <c r="D15" s="19" t="s">
        <v>59</v>
      </c>
    </row>
    <row r="16" spans="1:4">
      <c r="A16" s="20">
        <v>260</v>
      </c>
      <c r="B16" s="19">
        <v>1</v>
      </c>
      <c r="C16" s="19">
        <v>1</v>
      </c>
      <c r="D16" s="19" t="s">
        <v>60</v>
      </c>
    </row>
    <row r="17" spans="1:4">
      <c r="A17" s="20">
        <v>266</v>
      </c>
      <c r="B17" s="19">
        <v>1</v>
      </c>
      <c r="C17" s="19">
        <v>1</v>
      </c>
      <c r="D17" s="19" t="s">
        <v>60</v>
      </c>
    </row>
    <row r="18" spans="1:4">
      <c r="A18" s="20">
        <v>269</v>
      </c>
      <c r="B18" s="19">
        <v>2</v>
      </c>
      <c r="C18" s="19">
        <v>1</v>
      </c>
      <c r="D18" s="19" t="s">
        <v>59</v>
      </c>
    </row>
    <row r="19" spans="1:4">
      <c r="A19" s="20">
        <v>305</v>
      </c>
      <c r="B19" s="19">
        <v>1</v>
      </c>
      <c r="C19" s="19">
        <v>1</v>
      </c>
      <c r="D19" s="19" t="s">
        <v>59</v>
      </c>
    </row>
    <row r="20" spans="1:4">
      <c r="A20" s="20">
        <v>309</v>
      </c>
      <c r="B20" s="19">
        <v>1</v>
      </c>
      <c r="C20" s="19">
        <v>1</v>
      </c>
      <c r="D20" s="19" t="s">
        <v>59</v>
      </c>
    </row>
    <row r="21" spans="1:4">
      <c r="A21" s="20">
        <v>312</v>
      </c>
      <c r="B21" s="19">
        <v>1</v>
      </c>
      <c r="C21" s="19">
        <v>1</v>
      </c>
      <c r="D21" s="19" t="s">
        <v>59</v>
      </c>
    </row>
    <row r="22" spans="1:4">
      <c r="A22" s="20">
        <v>313</v>
      </c>
      <c r="B22" s="19">
        <v>2</v>
      </c>
      <c r="C22" s="19">
        <v>1</v>
      </c>
      <c r="D22" s="19" t="s">
        <v>59</v>
      </c>
    </row>
    <row r="23" spans="1:4">
      <c r="A23" s="20">
        <v>358</v>
      </c>
      <c r="B23" s="19">
        <v>1</v>
      </c>
      <c r="C23" s="19">
        <v>1</v>
      </c>
      <c r="D23" s="19" t="s">
        <v>60</v>
      </c>
    </row>
    <row r="24" spans="1:4">
      <c r="A24" s="20">
        <v>367</v>
      </c>
      <c r="B24" s="19">
        <v>1</v>
      </c>
      <c r="C24" s="19">
        <v>1</v>
      </c>
      <c r="D24" s="19" t="s">
        <v>60</v>
      </c>
    </row>
    <row r="25" spans="1:4">
      <c r="A25" s="20">
        <v>372</v>
      </c>
      <c r="B25" s="19">
        <v>1</v>
      </c>
      <c r="C25" s="19">
        <v>1</v>
      </c>
      <c r="D25" s="19" t="s">
        <v>60</v>
      </c>
    </row>
    <row r="26" spans="1:4">
      <c r="A26" s="20">
        <v>385</v>
      </c>
      <c r="B26" s="19">
        <v>1</v>
      </c>
      <c r="C26" s="19">
        <v>1</v>
      </c>
      <c r="D26" s="19" t="s">
        <v>60</v>
      </c>
    </row>
    <row r="27" spans="1:4">
      <c r="A27" s="20">
        <v>386</v>
      </c>
      <c r="B27" s="19">
        <v>7</v>
      </c>
      <c r="C27" s="19">
        <v>1</v>
      </c>
      <c r="D27" s="19" t="s">
        <v>60</v>
      </c>
    </row>
    <row r="28" spans="1:4">
      <c r="A28" s="20">
        <v>387</v>
      </c>
      <c r="B28" s="19">
        <v>4</v>
      </c>
      <c r="C28" s="19">
        <v>1</v>
      </c>
      <c r="D28" s="19" t="s">
        <v>60</v>
      </c>
    </row>
    <row r="29" spans="1:4">
      <c r="A29" s="20">
        <v>539</v>
      </c>
      <c r="B29" s="19">
        <v>1</v>
      </c>
      <c r="C29" s="19">
        <v>1</v>
      </c>
      <c r="D29" s="19" t="s">
        <v>60</v>
      </c>
    </row>
    <row r="30" spans="1:4">
      <c r="A30" s="20">
        <v>540</v>
      </c>
      <c r="B30" s="19">
        <v>2</v>
      </c>
      <c r="C30" s="19">
        <v>1</v>
      </c>
      <c r="D30" s="19" t="s">
        <v>60</v>
      </c>
    </row>
    <row r="31" spans="1:4">
      <c r="A31" s="20">
        <v>557</v>
      </c>
      <c r="B31" s="19">
        <v>3</v>
      </c>
      <c r="C31" s="19">
        <v>1</v>
      </c>
      <c r="D31" s="19" t="s">
        <v>60</v>
      </c>
    </row>
    <row r="32" spans="1:4">
      <c r="A32" s="20">
        <v>558</v>
      </c>
      <c r="B32" s="19">
        <v>3</v>
      </c>
      <c r="C32" s="19">
        <v>1</v>
      </c>
      <c r="D32" s="19" t="s">
        <v>60</v>
      </c>
    </row>
    <row r="33" spans="1:4">
      <c r="A33" s="20">
        <v>559</v>
      </c>
      <c r="B33" s="19">
        <v>2</v>
      </c>
      <c r="C33" s="19">
        <v>1</v>
      </c>
      <c r="D33" s="19" t="s">
        <v>60</v>
      </c>
    </row>
    <row r="34" spans="1:4">
      <c r="A34" s="20">
        <v>570</v>
      </c>
      <c r="B34" s="19">
        <v>2</v>
      </c>
      <c r="C34" s="19">
        <v>1.5</v>
      </c>
      <c r="D34" s="19" t="s">
        <v>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D279-CCD1-464D-8DBF-DB4EDD576D88}">
  <sheetPr codeName="工作表11"/>
  <dimension ref="A1:F3185"/>
  <sheetViews>
    <sheetView topLeftCell="A367" workbookViewId="0">
      <selection activeCell="C373" sqref="C373:C380"/>
    </sheetView>
  </sheetViews>
  <sheetFormatPr defaultRowHeight="16.2"/>
  <cols>
    <col min="3" max="3" width="10.6640625" bestFit="1" customWidth="1"/>
    <col min="5" max="5" width="10.6640625" bestFit="1" customWidth="1"/>
  </cols>
  <sheetData>
    <row r="1" spans="1:6">
      <c r="A1" t="s">
        <v>49</v>
      </c>
      <c r="B1" t="s">
        <v>79</v>
      </c>
      <c r="C1" t="s">
        <v>80</v>
      </c>
      <c r="D1" t="s">
        <v>81</v>
      </c>
      <c r="E1" t="s">
        <v>80</v>
      </c>
      <c r="F1" t="s">
        <v>81</v>
      </c>
    </row>
    <row r="2" spans="1:6">
      <c r="A2">
        <v>4</v>
      </c>
      <c r="B2">
        <v>1</v>
      </c>
      <c r="C2" s="45">
        <v>45875</v>
      </c>
      <c r="D2" t="str">
        <f>_xlfn.CONCAT(A2,"_",B2)</f>
        <v>4_1</v>
      </c>
    </row>
    <row r="3" spans="1:6">
      <c r="A3">
        <v>4</v>
      </c>
      <c r="B3">
        <v>2</v>
      </c>
      <c r="C3" s="45">
        <v>45875</v>
      </c>
      <c r="D3" t="str">
        <f t="shared" ref="D3:D65" si="0">_xlfn.CONCAT(A3,"_",B3)</f>
        <v>4_2</v>
      </c>
    </row>
    <row r="4" spans="1:6">
      <c r="A4">
        <v>4</v>
      </c>
      <c r="B4">
        <v>3</v>
      </c>
      <c r="C4" s="45">
        <v>45875</v>
      </c>
      <c r="D4" t="str">
        <f t="shared" si="0"/>
        <v>4_3</v>
      </c>
    </row>
    <row r="5" spans="1:6">
      <c r="A5">
        <v>4</v>
      </c>
      <c r="B5">
        <v>5</v>
      </c>
      <c r="C5" s="45">
        <v>45875</v>
      </c>
      <c r="D5" t="str">
        <f t="shared" si="0"/>
        <v>4_5</v>
      </c>
    </row>
    <row r="6" spans="1:6">
      <c r="A6">
        <v>4</v>
      </c>
      <c r="B6">
        <v>6</v>
      </c>
      <c r="C6" s="45">
        <v>45875</v>
      </c>
      <c r="D6" t="str">
        <f t="shared" si="0"/>
        <v>4_6</v>
      </c>
    </row>
    <row r="7" spans="1:6">
      <c r="A7">
        <v>4</v>
      </c>
      <c r="B7">
        <v>8</v>
      </c>
      <c r="C7" s="45">
        <v>45875</v>
      </c>
      <c r="D7" t="str">
        <f t="shared" si="0"/>
        <v>4_8</v>
      </c>
    </row>
    <row r="8" spans="1:6">
      <c r="A8">
        <v>4</v>
      </c>
      <c r="B8">
        <v>9</v>
      </c>
      <c r="C8" s="45">
        <v>45875</v>
      </c>
      <c r="D8" t="str">
        <f t="shared" si="0"/>
        <v>4_9</v>
      </c>
    </row>
    <row r="9" spans="1:6">
      <c r="A9">
        <v>4</v>
      </c>
      <c r="B9">
        <v>10</v>
      </c>
      <c r="C9" s="45">
        <v>45875</v>
      </c>
      <c r="D9" t="str">
        <f t="shared" si="0"/>
        <v>4_10</v>
      </c>
    </row>
    <row r="10" spans="1:6">
      <c r="A10">
        <v>4</v>
      </c>
      <c r="B10">
        <v>11</v>
      </c>
      <c r="C10" s="45">
        <v>45875</v>
      </c>
      <c r="D10" t="str">
        <f t="shared" si="0"/>
        <v>4_11</v>
      </c>
    </row>
    <row r="11" spans="1:6">
      <c r="A11">
        <v>5</v>
      </c>
      <c r="B11">
        <v>1</v>
      </c>
      <c r="C11" s="45">
        <v>45875</v>
      </c>
      <c r="D11" t="str">
        <f t="shared" si="0"/>
        <v>5_1</v>
      </c>
    </row>
    <row r="12" spans="1:6">
      <c r="A12">
        <v>5</v>
      </c>
      <c r="B12">
        <v>2</v>
      </c>
      <c r="C12" s="45">
        <v>45875</v>
      </c>
      <c r="D12" t="str">
        <f t="shared" si="0"/>
        <v>5_2</v>
      </c>
    </row>
    <row r="13" spans="1:6">
      <c r="A13">
        <v>5</v>
      </c>
      <c r="B13">
        <v>3</v>
      </c>
      <c r="C13" s="45">
        <v>45875</v>
      </c>
      <c r="D13" t="str">
        <f t="shared" si="0"/>
        <v>5_3</v>
      </c>
    </row>
    <row r="14" spans="1:6">
      <c r="A14">
        <v>5</v>
      </c>
      <c r="B14">
        <v>4</v>
      </c>
      <c r="C14" s="45">
        <v>45875</v>
      </c>
      <c r="D14" t="str">
        <f t="shared" si="0"/>
        <v>5_4</v>
      </c>
    </row>
    <row r="15" spans="1:6">
      <c r="A15">
        <v>5</v>
      </c>
      <c r="B15">
        <v>5</v>
      </c>
      <c r="C15" s="45">
        <v>45875</v>
      </c>
      <c r="D15" t="str">
        <f t="shared" si="0"/>
        <v>5_5</v>
      </c>
    </row>
    <row r="16" spans="1:6">
      <c r="A16">
        <v>5</v>
      </c>
      <c r="B16">
        <v>7</v>
      </c>
      <c r="C16" s="45">
        <v>45875</v>
      </c>
      <c r="D16" t="str">
        <f t="shared" si="0"/>
        <v>5_7</v>
      </c>
    </row>
    <row r="17" spans="1:4">
      <c r="A17">
        <v>5</v>
      </c>
      <c r="B17">
        <v>8</v>
      </c>
      <c r="C17" s="45">
        <v>45875</v>
      </c>
      <c r="D17" t="str">
        <f t="shared" si="0"/>
        <v>5_8</v>
      </c>
    </row>
    <row r="18" spans="1:4">
      <c r="A18">
        <v>5</v>
      </c>
      <c r="B18">
        <v>9</v>
      </c>
      <c r="C18" s="45">
        <v>45875</v>
      </c>
      <c r="D18" t="str">
        <f t="shared" si="0"/>
        <v>5_9</v>
      </c>
    </row>
    <row r="19" spans="1:4">
      <c r="A19">
        <v>5</v>
      </c>
      <c r="B19">
        <v>10</v>
      </c>
      <c r="C19" s="45">
        <v>45875</v>
      </c>
      <c r="D19" t="str">
        <f t="shared" si="0"/>
        <v>5_10</v>
      </c>
    </row>
    <row r="20" spans="1:4">
      <c r="A20">
        <v>5</v>
      </c>
      <c r="B20">
        <v>11</v>
      </c>
      <c r="C20" s="45">
        <v>45875</v>
      </c>
      <c r="D20" t="str">
        <f t="shared" si="0"/>
        <v>5_11</v>
      </c>
    </row>
    <row r="21" spans="1:4">
      <c r="A21">
        <v>5</v>
      </c>
      <c r="B21">
        <v>12</v>
      </c>
      <c r="C21" s="45">
        <v>45875</v>
      </c>
      <c r="D21" t="str">
        <f t="shared" si="0"/>
        <v>5_12</v>
      </c>
    </row>
    <row r="22" spans="1:4">
      <c r="A22">
        <v>5</v>
      </c>
      <c r="B22">
        <v>14</v>
      </c>
      <c r="C22" s="45">
        <v>45875</v>
      </c>
      <c r="D22" t="str">
        <f t="shared" si="0"/>
        <v>5_14</v>
      </c>
    </row>
    <row r="23" spans="1:4">
      <c r="A23">
        <v>5</v>
      </c>
      <c r="B23">
        <v>15</v>
      </c>
      <c r="C23" s="45">
        <v>45875</v>
      </c>
      <c r="D23" t="str">
        <f t="shared" si="0"/>
        <v>5_15</v>
      </c>
    </row>
    <row r="24" spans="1:4">
      <c r="A24">
        <v>5</v>
      </c>
      <c r="B24">
        <v>17</v>
      </c>
      <c r="C24" s="45">
        <v>45875</v>
      </c>
      <c r="D24" t="str">
        <f t="shared" si="0"/>
        <v>5_17</v>
      </c>
    </row>
    <row r="25" spans="1:4">
      <c r="A25">
        <v>6</v>
      </c>
      <c r="B25">
        <v>20</v>
      </c>
      <c r="C25" s="45">
        <v>45875</v>
      </c>
      <c r="D25" t="str">
        <f t="shared" si="0"/>
        <v>6_20</v>
      </c>
    </row>
    <row r="26" spans="1:4">
      <c r="A26">
        <v>6</v>
      </c>
      <c r="B26">
        <v>31</v>
      </c>
      <c r="C26" s="45">
        <v>45875</v>
      </c>
      <c r="D26" t="str">
        <f t="shared" si="0"/>
        <v>6_31</v>
      </c>
    </row>
    <row r="27" spans="1:4">
      <c r="A27">
        <v>7</v>
      </c>
      <c r="B27">
        <v>32</v>
      </c>
      <c r="C27" s="45">
        <v>45875</v>
      </c>
      <c r="D27" t="str">
        <f t="shared" si="0"/>
        <v>7_32</v>
      </c>
    </row>
    <row r="28" spans="1:4">
      <c r="A28">
        <v>7</v>
      </c>
      <c r="B28">
        <v>34</v>
      </c>
      <c r="C28" s="45">
        <v>45875</v>
      </c>
      <c r="D28" t="str">
        <f t="shared" si="0"/>
        <v>7_34</v>
      </c>
    </row>
    <row r="29" spans="1:4">
      <c r="A29">
        <v>7</v>
      </c>
      <c r="B29">
        <v>36</v>
      </c>
      <c r="C29" s="45">
        <v>45875</v>
      </c>
      <c r="D29" t="str">
        <f t="shared" si="0"/>
        <v>7_36</v>
      </c>
    </row>
    <row r="30" spans="1:4">
      <c r="A30">
        <v>7</v>
      </c>
      <c r="B30">
        <v>38</v>
      </c>
      <c r="C30" s="45">
        <v>45875</v>
      </c>
      <c r="D30" t="str">
        <f t="shared" si="0"/>
        <v>7_38</v>
      </c>
    </row>
    <row r="31" spans="1:4">
      <c r="A31">
        <v>7</v>
      </c>
      <c r="B31">
        <v>40</v>
      </c>
      <c r="C31" s="45">
        <v>45875</v>
      </c>
      <c r="D31" t="str">
        <f t="shared" si="0"/>
        <v>7_40</v>
      </c>
    </row>
    <row r="32" spans="1:4">
      <c r="A32">
        <v>7</v>
      </c>
      <c r="B32">
        <v>41</v>
      </c>
      <c r="C32" s="45">
        <v>45875</v>
      </c>
      <c r="D32" t="str">
        <f t="shared" si="0"/>
        <v>7_41</v>
      </c>
    </row>
    <row r="33" spans="1:4">
      <c r="A33">
        <v>8</v>
      </c>
      <c r="B33">
        <v>1</v>
      </c>
      <c r="C33" s="45">
        <v>45875</v>
      </c>
      <c r="D33" t="str">
        <f t="shared" si="0"/>
        <v>8_1</v>
      </c>
    </row>
    <row r="34" spans="1:4">
      <c r="A34">
        <v>8</v>
      </c>
      <c r="B34">
        <v>2</v>
      </c>
      <c r="C34" s="45">
        <v>45875</v>
      </c>
      <c r="D34" t="str">
        <f t="shared" si="0"/>
        <v>8_2</v>
      </c>
    </row>
    <row r="35" spans="1:4">
      <c r="A35">
        <v>8</v>
      </c>
      <c r="B35">
        <v>3</v>
      </c>
      <c r="C35" s="45">
        <v>45875</v>
      </c>
      <c r="D35" t="str">
        <f t="shared" si="0"/>
        <v>8_3</v>
      </c>
    </row>
    <row r="36" spans="1:4">
      <c r="A36">
        <v>8</v>
      </c>
      <c r="B36">
        <v>4</v>
      </c>
      <c r="C36" s="45">
        <v>45875</v>
      </c>
      <c r="D36" t="str">
        <f t="shared" si="0"/>
        <v>8_4</v>
      </c>
    </row>
    <row r="37" spans="1:4">
      <c r="A37">
        <v>8</v>
      </c>
      <c r="B37">
        <v>6</v>
      </c>
      <c r="C37" s="45">
        <v>45875</v>
      </c>
      <c r="D37" t="str">
        <f t="shared" si="0"/>
        <v>8_6</v>
      </c>
    </row>
    <row r="38" spans="1:4">
      <c r="A38">
        <v>8</v>
      </c>
      <c r="B38">
        <v>7</v>
      </c>
      <c r="C38" s="45">
        <v>45875</v>
      </c>
      <c r="D38" t="str">
        <f t="shared" si="0"/>
        <v>8_7</v>
      </c>
    </row>
    <row r="39" spans="1:4">
      <c r="A39">
        <v>8</v>
      </c>
      <c r="B39">
        <v>8</v>
      </c>
      <c r="C39" s="45">
        <v>45875</v>
      </c>
      <c r="D39" t="str">
        <f t="shared" si="0"/>
        <v>8_8</v>
      </c>
    </row>
    <row r="40" spans="1:4">
      <c r="A40">
        <v>8</v>
      </c>
      <c r="B40">
        <v>10</v>
      </c>
      <c r="C40" s="45">
        <v>45875</v>
      </c>
      <c r="D40" t="str">
        <f t="shared" si="0"/>
        <v>8_10</v>
      </c>
    </row>
    <row r="41" spans="1:4">
      <c r="A41">
        <v>8</v>
      </c>
      <c r="B41">
        <v>11</v>
      </c>
      <c r="C41" s="45">
        <v>45875</v>
      </c>
      <c r="D41" t="str">
        <f t="shared" si="0"/>
        <v>8_11</v>
      </c>
    </row>
    <row r="42" spans="1:4">
      <c r="A42">
        <v>8</v>
      </c>
      <c r="B42">
        <v>12</v>
      </c>
      <c r="C42" s="45">
        <v>45875</v>
      </c>
      <c r="D42" t="str">
        <f t="shared" si="0"/>
        <v>8_12</v>
      </c>
    </row>
    <row r="43" spans="1:4">
      <c r="A43">
        <v>8</v>
      </c>
      <c r="B43">
        <v>14</v>
      </c>
      <c r="C43" s="45">
        <v>45875</v>
      </c>
      <c r="D43" t="str">
        <f t="shared" si="0"/>
        <v>8_14</v>
      </c>
    </row>
    <row r="44" spans="1:4">
      <c r="A44">
        <v>8</v>
      </c>
      <c r="B44">
        <v>15</v>
      </c>
      <c r="C44" s="45">
        <v>45875</v>
      </c>
      <c r="D44" t="str">
        <f t="shared" si="0"/>
        <v>8_15</v>
      </c>
    </row>
    <row r="45" spans="1:4">
      <c r="A45">
        <v>8</v>
      </c>
      <c r="B45">
        <v>16</v>
      </c>
      <c r="C45" s="45">
        <v>45875</v>
      </c>
      <c r="D45" t="str">
        <f t="shared" si="0"/>
        <v>8_16</v>
      </c>
    </row>
    <row r="46" spans="1:4">
      <c r="A46">
        <v>8</v>
      </c>
      <c r="B46">
        <v>17</v>
      </c>
      <c r="C46" s="45">
        <v>45875</v>
      </c>
      <c r="D46" t="str">
        <f t="shared" si="0"/>
        <v>8_17</v>
      </c>
    </row>
    <row r="47" spans="1:4">
      <c r="A47">
        <v>8</v>
      </c>
      <c r="B47">
        <v>18</v>
      </c>
      <c r="C47" s="45">
        <v>45875</v>
      </c>
      <c r="D47" t="str">
        <f t="shared" si="0"/>
        <v>8_18</v>
      </c>
    </row>
    <row r="48" spans="1:4">
      <c r="A48">
        <v>8</v>
      </c>
      <c r="B48">
        <v>19</v>
      </c>
      <c r="C48" s="45">
        <v>45875</v>
      </c>
      <c r="D48" t="str">
        <f t="shared" si="0"/>
        <v>8_19</v>
      </c>
    </row>
    <row r="49" spans="1:4">
      <c r="A49">
        <v>10</v>
      </c>
      <c r="B49">
        <v>1</v>
      </c>
      <c r="C49" s="45">
        <v>45875</v>
      </c>
      <c r="D49" t="str">
        <f t="shared" si="0"/>
        <v>10_1</v>
      </c>
    </row>
    <row r="50" spans="1:4">
      <c r="A50">
        <v>10</v>
      </c>
      <c r="B50">
        <v>2</v>
      </c>
      <c r="C50" s="45">
        <v>45875</v>
      </c>
      <c r="D50" t="str">
        <f t="shared" si="0"/>
        <v>10_2</v>
      </c>
    </row>
    <row r="51" spans="1:4">
      <c r="A51">
        <v>10</v>
      </c>
      <c r="B51">
        <v>3</v>
      </c>
      <c r="C51" s="45">
        <v>45875</v>
      </c>
      <c r="D51" t="str">
        <f t="shared" si="0"/>
        <v>10_3</v>
      </c>
    </row>
    <row r="52" spans="1:4">
      <c r="A52">
        <v>10</v>
      </c>
      <c r="B52">
        <v>4</v>
      </c>
      <c r="C52" s="45">
        <v>45875</v>
      </c>
      <c r="D52" t="str">
        <f t="shared" si="0"/>
        <v>10_4</v>
      </c>
    </row>
    <row r="53" spans="1:4">
      <c r="A53">
        <v>10</v>
      </c>
      <c r="B53">
        <v>10</v>
      </c>
      <c r="C53" s="45">
        <v>45875</v>
      </c>
      <c r="D53" t="str">
        <f t="shared" si="0"/>
        <v>10_10</v>
      </c>
    </row>
    <row r="54" spans="1:4">
      <c r="A54">
        <v>10</v>
      </c>
      <c r="B54">
        <v>11</v>
      </c>
      <c r="C54" s="45">
        <v>45875</v>
      </c>
      <c r="D54" t="str">
        <f t="shared" si="0"/>
        <v>10_11</v>
      </c>
    </row>
    <row r="55" spans="1:4">
      <c r="A55">
        <v>10</v>
      </c>
      <c r="B55">
        <v>12</v>
      </c>
      <c r="C55" s="45">
        <v>45875</v>
      </c>
      <c r="D55" t="str">
        <f t="shared" si="0"/>
        <v>10_12</v>
      </c>
    </row>
    <row r="56" spans="1:4">
      <c r="A56">
        <v>10</v>
      </c>
      <c r="B56">
        <v>13</v>
      </c>
      <c r="C56" s="45">
        <v>45875</v>
      </c>
      <c r="D56" t="str">
        <f t="shared" si="0"/>
        <v>10_13</v>
      </c>
    </row>
    <row r="57" spans="1:4">
      <c r="A57">
        <v>12</v>
      </c>
      <c r="B57">
        <v>1</v>
      </c>
      <c r="C57" s="45">
        <v>45875</v>
      </c>
      <c r="D57" t="str">
        <f t="shared" si="0"/>
        <v>12_1</v>
      </c>
    </row>
    <row r="58" spans="1:4">
      <c r="A58">
        <v>12</v>
      </c>
      <c r="B58">
        <v>2</v>
      </c>
      <c r="C58" s="45">
        <v>45875</v>
      </c>
      <c r="D58" t="str">
        <f t="shared" si="0"/>
        <v>12_2</v>
      </c>
    </row>
    <row r="59" spans="1:4">
      <c r="A59">
        <v>12</v>
      </c>
      <c r="B59">
        <v>3</v>
      </c>
      <c r="C59" s="45">
        <v>45875</v>
      </c>
      <c r="D59" t="str">
        <f t="shared" si="0"/>
        <v>12_3</v>
      </c>
    </row>
    <row r="60" spans="1:4">
      <c r="A60">
        <v>12</v>
      </c>
      <c r="B60">
        <v>4</v>
      </c>
      <c r="C60" s="45">
        <v>45875</v>
      </c>
      <c r="D60" t="str">
        <f t="shared" si="0"/>
        <v>12_4</v>
      </c>
    </row>
    <row r="61" spans="1:4">
      <c r="A61">
        <v>12</v>
      </c>
      <c r="B61">
        <v>6</v>
      </c>
      <c r="C61" s="45">
        <v>45875</v>
      </c>
      <c r="D61" t="str">
        <f t="shared" si="0"/>
        <v>12_6</v>
      </c>
    </row>
    <row r="62" spans="1:4">
      <c r="A62">
        <v>12</v>
      </c>
      <c r="B62">
        <v>7</v>
      </c>
      <c r="C62" s="45">
        <v>45875</v>
      </c>
      <c r="D62" t="str">
        <f t="shared" si="0"/>
        <v>12_7</v>
      </c>
    </row>
    <row r="63" spans="1:4">
      <c r="A63">
        <v>12</v>
      </c>
      <c r="B63">
        <v>9</v>
      </c>
      <c r="C63" s="45">
        <v>45875</v>
      </c>
      <c r="D63" t="str">
        <f t="shared" si="0"/>
        <v>12_9</v>
      </c>
    </row>
    <row r="64" spans="1:4">
      <c r="A64">
        <v>12</v>
      </c>
      <c r="B64">
        <v>10</v>
      </c>
      <c r="C64" s="45">
        <v>45875</v>
      </c>
      <c r="D64" t="str">
        <f t="shared" si="0"/>
        <v>12_10</v>
      </c>
    </row>
    <row r="65" spans="1:4">
      <c r="A65">
        <v>12</v>
      </c>
      <c r="B65">
        <v>11</v>
      </c>
      <c r="C65" s="45">
        <v>45875</v>
      </c>
      <c r="D65" t="str">
        <f t="shared" si="0"/>
        <v>12_11</v>
      </c>
    </row>
    <row r="66" spans="1:4">
      <c r="A66">
        <v>12</v>
      </c>
      <c r="B66">
        <v>12</v>
      </c>
      <c r="C66" s="45">
        <v>45875</v>
      </c>
      <c r="D66" t="str">
        <f t="shared" ref="D66:D129" si="1">_xlfn.CONCAT(A66,"_",B66)</f>
        <v>12_12</v>
      </c>
    </row>
    <row r="67" spans="1:4">
      <c r="A67">
        <v>12</v>
      </c>
      <c r="B67">
        <v>13</v>
      </c>
      <c r="C67" s="45">
        <v>45875</v>
      </c>
      <c r="D67" t="str">
        <f t="shared" si="1"/>
        <v>12_13</v>
      </c>
    </row>
    <row r="68" spans="1:4">
      <c r="A68">
        <v>12</v>
      </c>
      <c r="B68">
        <v>14</v>
      </c>
      <c r="C68" s="45">
        <v>45875</v>
      </c>
      <c r="D68" t="str">
        <f t="shared" si="1"/>
        <v>12_14</v>
      </c>
    </row>
    <row r="69" spans="1:4">
      <c r="A69">
        <v>12</v>
      </c>
      <c r="B69">
        <v>16</v>
      </c>
      <c r="C69" s="45">
        <v>45875</v>
      </c>
      <c r="D69" t="str">
        <f t="shared" si="1"/>
        <v>12_16</v>
      </c>
    </row>
    <row r="70" spans="1:4">
      <c r="A70">
        <v>12</v>
      </c>
      <c r="B70">
        <v>17</v>
      </c>
      <c r="C70" s="45">
        <v>45875</v>
      </c>
      <c r="D70" t="str">
        <f t="shared" si="1"/>
        <v>12_17</v>
      </c>
    </row>
    <row r="71" spans="1:4">
      <c r="A71">
        <v>12</v>
      </c>
      <c r="B71">
        <v>18</v>
      </c>
      <c r="C71" s="45">
        <v>45875</v>
      </c>
      <c r="D71" t="str">
        <f t="shared" si="1"/>
        <v>12_18</v>
      </c>
    </row>
    <row r="72" spans="1:4">
      <c r="A72">
        <v>12</v>
      </c>
      <c r="B72">
        <v>19</v>
      </c>
      <c r="C72" s="45">
        <v>45875</v>
      </c>
      <c r="D72" t="str">
        <f t="shared" si="1"/>
        <v>12_19</v>
      </c>
    </row>
    <row r="73" spans="1:4">
      <c r="A73">
        <v>13</v>
      </c>
      <c r="B73">
        <v>1</v>
      </c>
      <c r="C73" s="45">
        <v>45875</v>
      </c>
      <c r="D73" t="str">
        <f t="shared" si="1"/>
        <v>13_1</v>
      </c>
    </row>
    <row r="74" spans="1:4">
      <c r="A74">
        <v>13</v>
      </c>
      <c r="B74">
        <v>2</v>
      </c>
      <c r="C74" s="45">
        <v>45875</v>
      </c>
      <c r="D74" t="str">
        <f t="shared" si="1"/>
        <v>13_2</v>
      </c>
    </row>
    <row r="75" spans="1:4">
      <c r="A75">
        <v>13</v>
      </c>
      <c r="B75">
        <v>3</v>
      </c>
      <c r="C75" s="45">
        <v>45875</v>
      </c>
      <c r="D75" t="str">
        <f t="shared" si="1"/>
        <v>13_3</v>
      </c>
    </row>
    <row r="76" spans="1:4">
      <c r="A76">
        <v>13</v>
      </c>
      <c r="B76">
        <v>5</v>
      </c>
      <c r="C76" s="45">
        <v>45875</v>
      </c>
      <c r="D76" t="str">
        <f t="shared" si="1"/>
        <v>13_5</v>
      </c>
    </row>
    <row r="77" spans="1:4">
      <c r="A77">
        <v>13</v>
      </c>
      <c r="B77">
        <v>7</v>
      </c>
      <c r="C77" s="45">
        <v>45875</v>
      </c>
      <c r="D77" t="str">
        <f t="shared" si="1"/>
        <v>13_7</v>
      </c>
    </row>
    <row r="78" spans="1:4">
      <c r="A78">
        <v>13</v>
      </c>
      <c r="B78">
        <v>9</v>
      </c>
      <c r="C78" s="45">
        <v>45875</v>
      </c>
      <c r="D78" t="str">
        <f t="shared" si="1"/>
        <v>13_9</v>
      </c>
    </row>
    <row r="79" spans="1:4">
      <c r="A79">
        <v>13</v>
      </c>
      <c r="B79">
        <v>11</v>
      </c>
      <c r="C79" s="45">
        <v>45875</v>
      </c>
      <c r="D79" t="str">
        <f t="shared" si="1"/>
        <v>13_11</v>
      </c>
    </row>
    <row r="80" spans="1:4">
      <c r="A80">
        <v>13</v>
      </c>
      <c r="B80">
        <v>13</v>
      </c>
      <c r="C80" s="45">
        <v>45875</v>
      </c>
      <c r="D80" t="str">
        <f t="shared" si="1"/>
        <v>13_13</v>
      </c>
    </row>
    <row r="81" spans="1:4">
      <c r="A81">
        <v>13</v>
      </c>
      <c r="B81">
        <v>14</v>
      </c>
      <c r="C81" s="45">
        <v>45875</v>
      </c>
      <c r="D81" t="str">
        <f t="shared" si="1"/>
        <v>13_14</v>
      </c>
    </row>
    <row r="82" spans="1:4">
      <c r="A82">
        <v>6</v>
      </c>
      <c r="B82">
        <v>22</v>
      </c>
      <c r="C82" s="45">
        <v>45894</v>
      </c>
      <c r="D82" t="str">
        <f t="shared" si="1"/>
        <v>6_22</v>
      </c>
    </row>
    <row r="83" spans="1:4">
      <c r="A83">
        <v>6</v>
      </c>
      <c r="B83">
        <v>23</v>
      </c>
      <c r="C83" s="45">
        <v>45894</v>
      </c>
      <c r="D83" t="str">
        <f t="shared" si="1"/>
        <v>6_23</v>
      </c>
    </row>
    <row r="84" spans="1:4">
      <c r="A84">
        <v>6</v>
      </c>
      <c r="B84">
        <v>24</v>
      </c>
      <c r="C84" s="45">
        <v>45894</v>
      </c>
      <c r="D84" t="str">
        <f t="shared" si="1"/>
        <v>6_24</v>
      </c>
    </row>
    <row r="85" spans="1:4">
      <c r="A85">
        <v>6</v>
      </c>
      <c r="B85">
        <v>25</v>
      </c>
      <c r="C85" s="45">
        <v>45894</v>
      </c>
      <c r="D85" t="str">
        <f t="shared" si="1"/>
        <v>6_25</v>
      </c>
    </row>
    <row r="86" spans="1:4">
      <c r="A86">
        <v>6</v>
      </c>
      <c r="B86">
        <v>26</v>
      </c>
      <c r="C86" s="45">
        <v>45894</v>
      </c>
      <c r="D86" t="str">
        <f t="shared" si="1"/>
        <v>6_26</v>
      </c>
    </row>
    <row r="87" spans="1:4">
      <c r="A87">
        <v>6</v>
      </c>
      <c r="B87">
        <v>27</v>
      </c>
      <c r="C87" s="45">
        <v>45894</v>
      </c>
      <c r="D87" t="str">
        <f t="shared" si="1"/>
        <v>6_27</v>
      </c>
    </row>
    <row r="88" spans="1:4">
      <c r="A88">
        <v>6</v>
      </c>
      <c r="B88">
        <v>28</v>
      </c>
      <c r="C88" s="45">
        <v>45894</v>
      </c>
      <c r="D88" t="str">
        <f t="shared" si="1"/>
        <v>6_28</v>
      </c>
    </row>
    <row r="89" spans="1:4">
      <c r="A89">
        <v>6</v>
      </c>
      <c r="B89">
        <v>29</v>
      </c>
      <c r="C89" s="45">
        <v>45894</v>
      </c>
      <c r="D89" t="str">
        <f t="shared" si="1"/>
        <v>6_29</v>
      </c>
    </row>
    <row r="90" spans="1:4">
      <c r="A90">
        <v>6</v>
      </c>
      <c r="B90">
        <v>30</v>
      </c>
      <c r="C90" s="45">
        <v>45894</v>
      </c>
      <c r="D90" t="str">
        <f t="shared" si="1"/>
        <v>6_30</v>
      </c>
    </row>
    <row r="91" spans="1:4">
      <c r="A91">
        <v>9</v>
      </c>
      <c r="B91">
        <v>21</v>
      </c>
      <c r="C91" s="45">
        <v>45894</v>
      </c>
      <c r="D91" t="str">
        <f t="shared" si="1"/>
        <v>9_21</v>
      </c>
    </row>
    <row r="92" spans="1:4">
      <c r="A92">
        <v>9</v>
      </c>
      <c r="B92">
        <v>22</v>
      </c>
      <c r="C92" s="45">
        <v>45894</v>
      </c>
      <c r="D92" t="str">
        <f t="shared" si="1"/>
        <v>9_22</v>
      </c>
    </row>
    <row r="93" spans="1:4">
      <c r="A93">
        <v>9</v>
      </c>
      <c r="B93">
        <v>23</v>
      </c>
      <c r="C93" s="45">
        <v>45894</v>
      </c>
      <c r="D93" t="str">
        <f t="shared" si="1"/>
        <v>9_23</v>
      </c>
    </row>
    <row r="94" spans="1:4">
      <c r="A94">
        <v>9</v>
      </c>
      <c r="B94">
        <v>24</v>
      </c>
      <c r="C94" s="45">
        <v>45894</v>
      </c>
      <c r="D94" t="str">
        <f t="shared" si="1"/>
        <v>9_24</v>
      </c>
    </row>
    <row r="95" spans="1:4">
      <c r="A95">
        <v>9</v>
      </c>
      <c r="B95">
        <v>25</v>
      </c>
      <c r="C95" s="45">
        <v>45894</v>
      </c>
      <c r="D95" t="str">
        <f t="shared" si="1"/>
        <v>9_25</v>
      </c>
    </row>
    <row r="96" spans="1:4">
      <c r="A96">
        <v>9</v>
      </c>
      <c r="B96">
        <v>26</v>
      </c>
      <c r="C96" s="45">
        <v>45894</v>
      </c>
      <c r="D96" t="str">
        <f t="shared" si="1"/>
        <v>9_26</v>
      </c>
    </row>
    <row r="97" spans="1:4">
      <c r="A97">
        <v>9</v>
      </c>
      <c r="B97">
        <v>27</v>
      </c>
      <c r="C97" s="45">
        <v>45894</v>
      </c>
      <c r="D97" t="str">
        <f t="shared" si="1"/>
        <v>9_27</v>
      </c>
    </row>
    <row r="98" spans="1:4">
      <c r="A98">
        <v>9</v>
      </c>
      <c r="B98">
        <v>28</v>
      </c>
      <c r="C98" s="45">
        <v>45894</v>
      </c>
      <c r="D98" t="str">
        <f t="shared" si="1"/>
        <v>9_28</v>
      </c>
    </row>
    <row r="99" spans="1:4">
      <c r="A99">
        <v>9</v>
      </c>
      <c r="B99">
        <v>29</v>
      </c>
      <c r="C99" s="45">
        <v>45894</v>
      </c>
      <c r="D99" t="str">
        <f t="shared" si="1"/>
        <v>9_29</v>
      </c>
    </row>
    <row r="100" spans="1:4">
      <c r="A100">
        <v>10</v>
      </c>
      <c r="B100">
        <v>8</v>
      </c>
      <c r="C100" s="45">
        <v>45894</v>
      </c>
      <c r="D100" t="str">
        <f t="shared" si="1"/>
        <v>10_8</v>
      </c>
    </row>
    <row r="101" spans="1:4">
      <c r="A101">
        <v>10</v>
      </c>
      <c r="B101">
        <v>9</v>
      </c>
      <c r="C101" s="45">
        <v>45894</v>
      </c>
      <c r="D101" t="str">
        <f t="shared" si="1"/>
        <v>10_9</v>
      </c>
    </row>
    <row r="102" spans="1:4">
      <c r="A102">
        <v>11</v>
      </c>
      <c r="B102">
        <v>14</v>
      </c>
      <c r="C102" s="45">
        <v>45894</v>
      </c>
      <c r="D102" t="str">
        <f t="shared" si="1"/>
        <v>11_14</v>
      </c>
    </row>
    <row r="103" spans="1:4">
      <c r="A103">
        <v>11</v>
      </c>
      <c r="B103">
        <v>15</v>
      </c>
      <c r="C103" s="45">
        <v>45894</v>
      </c>
      <c r="D103" t="str">
        <f t="shared" si="1"/>
        <v>11_15</v>
      </c>
    </row>
    <row r="104" spans="1:4">
      <c r="A104">
        <v>11</v>
      </c>
      <c r="B104">
        <v>16</v>
      </c>
      <c r="C104" s="45">
        <v>45894</v>
      </c>
      <c r="D104" t="str">
        <f t="shared" si="1"/>
        <v>11_16</v>
      </c>
    </row>
    <row r="105" spans="1:4">
      <c r="A105">
        <v>11</v>
      </c>
      <c r="B105">
        <v>17</v>
      </c>
      <c r="C105" s="45">
        <v>45894</v>
      </c>
      <c r="D105" t="str">
        <f t="shared" si="1"/>
        <v>11_17</v>
      </c>
    </row>
    <row r="106" spans="1:4">
      <c r="A106">
        <v>11</v>
      </c>
      <c r="B106">
        <v>18</v>
      </c>
      <c r="C106" s="45">
        <v>45894</v>
      </c>
      <c r="D106" t="str">
        <f t="shared" si="1"/>
        <v>11_18</v>
      </c>
    </row>
    <row r="107" spans="1:4">
      <c r="A107">
        <v>11</v>
      </c>
      <c r="B107">
        <v>19</v>
      </c>
      <c r="C107" s="45">
        <v>45894</v>
      </c>
      <c r="D107" t="str">
        <f t="shared" si="1"/>
        <v>11_19</v>
      </c>
    </row>
    <row r="108" spans="1:4">
      <c r="A108">
        <v>1</v>
      </c>
      <c r="B108">
        <v>1</v>
      </c>
      <c r="C108" s="45">
        <v>45894</v>
      </c>
      <c r="D108" t="str">
        <f t="shared" si="1"/>
        <v>1_1</v>
      </c>
    </row>
    <row r="109" spans="1:4">
      <c r="A109">
        <v>1</v>
      </c>
      <c r="B109">
        <v>2</v>
      </c>
      <c r="C109" s="45">
        <v>45894</v>
      </c>
      <c r="D109" t="str">
        <f t="shared" si="1"/>
        <v>1_2</v>
      </c>
    </row>
    <row r="110" spans="1:4">
      <c r="A110">
        <v>1</v>
      </c>
      <c r="B110">
        <v>3</v>
      </c>
      <c r="C110" s="45">
        <v>45894</v>
      </c>
      <c r="D110" t="str">
        <f t="shared" si="1"/>
        <v>1_3</v>
      </c>
    </row>
    <row r="111" spans="1:4">
      <c r="A111">
        <v>1</v>
      </c>
      <c r="B111">
        <v>4</v>
      </c>
      <c r="C111" s="45">
        <v>45894</v>
      </c>
      <c r="D111" t="str">
        <f t="shared" si="1"/>
        <v>1_4</v>
      </c>
    </row>
    <row r="112" spans="1:4">
      <c r="A112">
        <v>1</v>
      </c>
      <c r="B112">
        <v>6</v>
      </c>
      <c r="C112" s="45">
        <v>45894</v>
      </c>
      <c r="D112" t="str">
        <f t="shared" si="1"/>
        <v>1_6</v>
      </c>
    </row>
    <row r="113" spans="1:4">
      <c r="A113">
        <v>1</v>
      </c>
      <c r="B113">
        <v>7</v>
      </c>
      <c r="C113" s="45">
        <v>45894</v>
      </c>
      <c r="D113" t="str">
        <f t="shared" si="1"/>
        <v>1_7</v>
      </c>
    </row>
    <row r="114" spans="1:4">
      <c r="A114">
        <v>1</v>
      </c>
      <c r="B114">
        <v>8</v>
      </c>
      <c r="C114" s="45">
        <v>45894</v>
      </c>
      <c r="D114" t="str">
        <f t="shared" si="1"/>
        <v>1_8</v>
      </c>
    </row>
    <row r="115" spans="1:4">
      <c r="A115">
        <v>1</v>
      </c>
      <c r="B115">
        <v>10</v>
      </c>
      <c r="C115" s="45">
        <v>45894</v>
      </c>
      <c r="D115" t="str">
        <f t="shared" si="1"/>
        <v>1_10</v>
      </c>
    </row>
    <row r="116" spans="1:4">
      <c r="A116">
        <v>1</v>
      </c>
      <c r="B116">
        <v>13</v>
      </c>
      <c r="C116" s="45">
        <v>45894</v>
      </c>
      <c r="D116" t="str">
        <f t="shared" si="1"/>
        <v>1_13</v>
      </c>
    </row>
    <row r="117" spans="1:4">
      <c r="A117">
        <v>1</v>
      </c>
      <c r="B117">
        <v>31</v>
      </c>
      <c r="C117" s="45">
        <v>45894</v>
      </c>
      <c r="D117" t="str">
        <f t="shared" si="1"/>
        <v>1_31</v>
      </c>
    </row>
    <row r="118" spans="1:4">
      <c r="A118">
        <v>1</v>
      </c>
      <c r="B118">
        <v>33</v>
      </c>
      <c r="C118" s="45">
        <v>45894</v>
      </c>
      <c r="D118" t="str">
        <f t="shared" si="1"/>
        <v>1_33</v>
      </c>
    </row>
    <row r="119" spans="1:4">
      <c r="A119" s="70" t="s">
        <v>254</v>
      </c>
      <c r="B119">
        <v>21</v>
      </c>
      <c r="C119" s="45">
        <v>45894</v>
      </c>
      <c r="D119" t="str">
        <f t="shared" si="1"/>
        <v>1-1_21</v>
      </c>
    </row>
    <row r="120" spans="1:4">
      <c r="A120" s="70" t="s">
        <v>254</v>
      </c>
      <c r="B120">
        <v>34</v>
      </c>
      <c r="C120" s="45">
        <v>45894</v>
      </c>
      <c r="D120" t="str">
        <f t="shared" si="1"/>
        <v>1-1_34</v>
      </c>
    </row>
    <row r="121" spans="1:4">
      <c r="A121" s="70" t="s">
        <v>254</v>
      </c>
      <c r="B121">
        <v>35</v>
      </c>
      <c r="C121" s="45">
        <v>45894</v>
      </c>
      <c r="D121" t="str">
        <f t="shared" si="1"/>
        <v>1-1_35</v>
      </c>
    </row>
    <row r="122" spans="1:4">
      <c r="A122" s="70" t="s">
        <v>254</v>
      </c>
      <c r="B122">
        <v>38</v>
      </c>
      <c r="C122" s="45">
        <v>45894</v>
      </c>
      <c r="D122" t="str">
        <f t="shared" si="1"/>
        <v>1-1_38</v>
      </c>
    </row>
    <row r="123" spans="1:4">
      <c r="A123" s="70" t="s">
        <v>254</v>
      </c>
      <c r="B123">
        <v>39</v>
      </c>
      <c r="C123" s="45">
        <v>45894</v>
      </c>
      <c r="D123" t="str">
        <f t="shared" si="1"/>
        <v>1-1_39</v>
      </c>
    </row>
    <row r="124" spans="1:4">
      <c r="A124" s="70" t="s">
        <v>254</v>
      </c>
      <c r="B124">
        <v>40</v>
      </c>
      <c r="C124" s="45">
        <v>45894</v>
      </c>
      <c r="D124" t="str">
        <f t="shared" si="1"/>
        <v>1-1_40</v>
      </c>
    </row>
    <row r="125" spans="1:4">
      <c r="A125" s="70" t="s">
        <v>254</v>
      </c>
      <c r="B125">
        <v>41</v>
      </c>
      <c r="C125" s="45">
        <v>45894</v>
      </c>
      <c r="D125" t="str">
        <f t="shared" si="1"/>
        <v>1-1_41</v>
      </c>
    </row>
    <row r="126" spans="1:4">
      <c r="A126" s="70" t="s">
        <v>254</v>
      </c>
      <c r="B126">
        <v>42</v>
      </c>
      <c r="C126" s="45">
        <v>45894</v>
      </c>
      <c r="D126" t="str">
        <f t="shared" si="1"/>
        <v>1-1_42</v>
      </c>
    </row>
    <row r="127" spans="1:4">
      <c r="A127">
        <v>2</v>
      </c>
      <c r="B127">
        <v>1</v>
      </c>
      <c r="C127" s="45">
        <v>45894</v>
      </c>
      <c r="D127" t="str">
        <f t="shared" si="1"/>
        <v>2_1</v>
      </c>
    </row>
    <row r="128" spans="1:4">
      <c r="A128">
        <v>2</v>
      </c>
      <c r="B128">
        <v>2</v>
      </c>
      <c r="C128" s="45">
        <v>45894</v>
      </c>
      <c r="D128" t="str">
        <f t="shared" si="1"/>
        <v>2_2</v>
      </c>
    </row>
    <row r="129" spans="1:4">
      <c r="A129">
        <v>2</v>
      </c>
      <c r="B129">
        <v>3</v>
      </c>
      <c r="C129" s="45">
        <v>45894</v>
      </c>
      <c r="D129" t="str">
        <f t="shared" si="1"/>
        <v>2_3</v>
      </c>
    </row>
    <row r="130" spans="1:4">
      <c r="A130">
        <v>2</v>
      </c>
      <c r="B130">
        <v>4</v>
      </c>
      <c r="C130" s="45">
        <v>45894</v>
      </c>
      <c r="D130" t="str">
        <f t="shared" ref="D130:D193" si="2">_xlfn.CONCAT(A130,"_",B130)</f>
        <v>2_4</v>
      </c>
    </row>
    <row r="131" spans="1:4">
      <c r="A131">
        <v>2</v>
      </c>
      <c r="B131">
        <v>5</v>
      </c>
      <c r="C131" s="45">
        <v>45894</v>
      </c>
      <c r="D131" t="str">
        <f t="shared" si="2"/>
        <v>2_5</v>
      </c>
    </row>
    <row r="132" spans="1:4">
      <c r="A132">
        <v>2</v>
      </c>
      <c r="B132">
        <v>6</v>
      </c>
      <c r="C132" s="45">
        <v>45894</v>
      </c>
      <c r="D132" t="str">
        <f t="shared" si="2"/>
        <v>2_6</v>
      </c>
    </row>
    <row r="133" spans="1:4">
      <c r="A133">
        <v>2</v>
      </c>
      <c r="B133">
        <v>19</v>
      </c>
      <c r="C133" s="45">
        <v>45894</v>
      </c>
      <c r="D133" t="str">
        <f t="shared" si="2"/>
        <v>2_19</v>
      </c>
    </row>
    <row r="134" spans="1:4">
      <c r="A134">
        <v>2</v>
      </c>
      <c r="B134">
        <v>20</v>
      </c>
      <c r="C134" s="45">
        <v>45894</v>
      </c>
      <c r="D134" t="str">
        <f t="shared" si="2"/>
        <v>2_20</v>
      </c>
    </row>
    <row r="135" spans="1:4">
      <c r="A135">
        <v>2</v>
      </c>
      <c r="B135">
        <v>21</v>
      </c>
      <c r="C135" s="45">
        <v>45894</v>
      </c>
      <c r="D135" t="str">
        <f t="shared" si="2"/>
        <v>2_21</v>
      </c>
    </row>
    <row r="136" spans="1:4">
      <c r="A136">
        <v>3</v>
      </c>
      <c r="B136">
        <v>9</v>
      </c>
      <c r="C136" s="45">
        <v>45894</v>
      </c>
      <c r="D136" t="str">
        <f t="shared" si="2"/>
        <v>3_9</v>
      </c>
    </row>
    <row r="137" spans="1:4">
      <c r="A137">
        <v>3</v>
      </c>
      <c r="B137">
        <v>11</v>
      </c>
      <c r="C137" s="45">
        <v>45894</v>
      </c>
      <c r="D137" t="str">
        <f t="shared" si="2"/>
        <v>3_11</v>
      </c>
    </row>
    <row r="138" spans="1:4">
      <c r="A138">
        <v>3</v>
      </c>
      <c r="B138">
        <v>13</v>
      </c>
      <c r="C138" s="45">
        <v>45894</v>
      </c>
      <c r="D138" t="str">
        <f t="shared" si="2"/>
        <v>3_13</v>
      </c>
    </row>
    <row r="139" spans="1:4">
      <c r="A139">
        <v>3</v>
      </c>
      <c r="B139">
        <v>14</v>
      </c>
      <c r="C139" s="45">
        <v>45894</v>
      </c>
      <c r="D139" t="str">
        <f t="shared" si="2"/>
        <v>3_14</v>
      </c>
    </row>
    <row r="140" spans="1:4">
      <c r="A140">
        <v>3</v>
      </c>
      <c r="B140">
        <v>16</v>
      </c>
      <c r="C140" s="45">
        <v>45894</v>
      </c>
      <c r="D140" t="str">
        <f t="shared" si="2"/>
        <v>3_16</v>
      </c>
    </row>
    <row r="141" spans="1:4">
      <c r="A141">
        <v>3</v>
      </c>
      <c r="B141">
        <v>17</v>
      </c>
      <c r="C141" s="45">
        <v>45894</v>
      </c>
      <c r="D141" t="str">
        <f t="shared" si="2"/>
        <v>3_17</v>
      </c>
    </row>
    <row r="142" spans="1:4">
      <c r="A142">
        <v>3</v>
      </c>
      <c r="B142">
        <v>18</v>
      </c>
      <c r="C142" s="45">
        <v>45894</v>
      </c>
      <c r="D142" t="str">
        <f t="shared" si="2"/>
        <v>3_18</v>
      </c>
    </row>
    <row r="143" spans="1:4">
      <c r="A143">
        <v>3</v>
      </c>
      <c r="B143">
        <v>22</v>
      </c>
      <c r="C143" s="45">
        <v>45894</v>
      </c>
      <c r="D143" t="str">
        <f t="shared" si="2"/>
        <v>3_22</v>
      </c>
    </row>
    <row r="144" spans="1:4">
      <c r="A144">
        <v>3</v>
      </c>
      <c r="B144">
        <v>24</v>
      </c>
      <c r="C144" s="45">
        <v>45894</v>
      </c>
      <c r="D144" t="str">
        <f t="shared" si="2"/>
        <v>3_24</v>
      </c>
    </row>
    <row r="145" spans="1:4">
      <c r="A145">
        <v>3</v>
      </c>
      <c r="B145">
        <v>25</v>
      </c>
      <c r="C145" s="45">
        <v>45894</v>
      </c>
      <c r="D145" t="str">
        <f t="shared" si="2"/>
        <v>3_25</v>
      </c>
    </row>
    <row r="146" spans="1:4">
      <c r="A146">
        <v>3</v>
      </c>
      <c r="B146">
        <v>26</v>
      </c>
      <c r="C146" s="45">
        <v>45894</v>
      </c>
      <c r="D146" t="str">
        <f t="shared" si="2"/>
        <v>3_26</v>
      </c>
    </row>
    <row r="147" spans="1:4">
      <c r="A147">
        <v>3</v>
      </c>
      <c r="B147">
        <v>27</v>
      </c>
      <c r="C147" s="45">
        <v>45894</v>
      </c>
      <c r="D147" t="str">
        <f t="shared" si="2"/>
        <v>3_27</v>
      </c>
    </row>
    <row r="148" spans="1:4">
      <c r="A148">
        <v>3</v>
      </c>
      <c r="B148">
        <v>28</v>
      </c>
      <c r="C148" s="45">
        <v>45894</v>
      </c>
      <c r="D148" t="str">
        <f t="shared" si="2"/>
        <v>3_28</v>
      </c>
    </row>
    <row r="149" spans="1:4">
      <c r="A149">
        <v>3</v>
      </c>
      <c r="B149">
        <v>29</v>
      </c>
      <c r="C149" s="45">
        <v>45894</v>
      </c>
      <c r="D149" t="str">
        <f t="shared" si="2"/>
        <v>3_29</v>
      </c>
    </row>
    <row r="150" spans="1:4">
      <c r="A150">
        <v>14</v>
      </c>
      <c r="B150">
        <v>1</v>
      </c>
      <c r="C150" s="45">
        <v>45894</v>
      </c>
      <c r="D150" t="str">
        <f t="shared" si="2"/>
        <v>14_1</v>
      </c>
    </row>
    <row r="151" spans="1:4">
      <c r="A151">
        <v>14</v>
      </c>
      <c r="B151">
        <v>2</v>
      </c>
      <c r="C151" s="45">
        <v>45894</v>
      </c>
      <c r="D151" t="str">
        <f t="shared" si="2"/>
        <v>14_2</v>
      </c>
    </row>
    <row r="152" spans="1:4">
      <c r="A152">
        <v>14</v>
      </c>
      <c r="B152">
        <v>3</v>
      </c>
      <c r="C152" s="45">
        <v>45894</v>
      </c>
      <c r="D152" t="str">
        <f t="shared" si="2"/>
        <v>14_3</v>
      </c>
    </row>
    <row r="153" spans="1:4">
      <c r="A153">
        <v>14</v>
      </c>
      <c r="B153">
        <v>5</v>
      </c>
      <c r="C153" s="45">
        <v>45894</v>
      </c>
      <c r="D153" t="str">
        <f t="shared" si="2"/>
        <v>14_5</v>
      </c>
    </row>
    <row r="154" spans="1:4">
      <c r="A154">
        <v>14</v>
      </c>
      <c r="B154">
        <v>7</v>
      </c>
      <c r="C154" s="45">
        <v>45894</v>
      </c>
      <c r="D154" t="str">
        <f t="shared" si="2"/>
        <v>14_7</v>
      </c>
    </row>
    <row r="155" spans="1:4">
      <c r="A155">
        <v>14</v>
      </c>
      <c r="B155">
        <v>9</v>
      </c>
      <c r="C155" s="45">
        <v>45894</v>
      </c>
      <c r="D155" t="str">
        <f t="shared" si="2"/>
        <v>14_9</v>
      </c>
    </row>
    <row r="156" spans="1:4">
      <c r="A156">
        <v>14</v>
      </c>
      <c r="B156">
        <v>11</v>
      </c>
      <c r="C156" s="45">
        <v>45894</v>
      </c>
      <c r="D156" t="str">
        <f t="shared" si="2"/>
        <v>14_11</v>
      </c>
    </row>
    <row r="157" spans="1:4">
      <c r="A157">
        <v>14</v>
      </c>
      <c r="B157">
        <v>13</v>
      </c>
      <c r="C157" s="45">
        <v>45894</v>
      </c>
      <c r="D157" t="str">
        <f t="shared" si="2"/>
        <v>14_13</v>
      </c>
    </row>
    <row r="158" spans="1:4">
      <c r="A158">
        <v>14</v>
      </c>
      <c r="B158">
        <v>14</v>
      </c>
      <c r="C158" s="45">
        <v>45894</v>
      </c>
      <c r="D158" t="str">
        <f t="shared" si="2"/>
        <v>14_14</v>
      </c>
    </row>
    <row r="159" spans="1:4">
      <c r="A159">
        <v>15</v>
      </c>
      <c r="B159">
        <v>1</v>
      </c>
      <c r="C159" s="45">
        <v>45894</v>
      </c>
      <c r="D159" t="str">
        <f t="shared" si="2"/>
        <v>15_1</v>
      </c>
    </row>
    <row r="160" spans="1:4">
      <c r="A160">
        <v>15</v>
      </c>
      <c r="B160">
        <v>2</v>
      </c>
      <c r="C160" s="45">
        <v>45894</v>
      </c>
      <c r="D160" t="str">
        <f t="shared" si="2"/>
        <v>15_2</v>
      </c>
    </row>
    <row r="161" spans="1:4">
      <c r="A161">
        <v>15</v>
      </c>
      <c r="B161">
        <v>3</v>
      </c>
      <c r="C161" s="45">
        <v>45894</v>
      </c>
      <c r="D161" t="str">
        <f t="shared" si="2"/>
        <v>15_3</v>
      </c>
    </row>
    <row r="162" spans="1:4">
      <c r="A162">
        <v>16</v>
      </c>
      <c r="B162">
        <v>1</v>
      </c>
      <c r="C162" s="45">
        <v>45894</v>
      </c>
      <c r="D162" t="str">
        <f t="shared" si="2"/>
        <v>16_1</v>
      </c>
    </row>
    <row r="163" spans="1:4">
      <c r="A163">
        <v>16</v>
      </c>
      <c r="B163">
        <v>4</v>
      </c>
      <c r="C163" s="45">
        <v>45894</v>
      </c>
      <c r="D163" t="str">
        <f t="shared" si="2"/>
        <v>16_4</v>
      </c>
    </row>
    <row r="164" spans="1:4">
      <c r="A164">
        <v>16</v>
      </c>
      <c r="B164">
        <v>5</v>
      </c>
      <c r="C164" s="45">
        <v>45894</v>
      </c>
      <c r="D164" t="str">
        <f t="shared" si="2"/>
        <v>16_5</v>
      </c>
    </row>
    <row r="165" spans="1:4">
      <c r="A165">
        <v>16</v>
      </c>
      <c r="B165">
        <v>6</v>
      </c>
      <c r="C165" s="45">
        <v>45894</v>
      </c>
      <c r="D165" t="str">
        <f t="shared" si="2"/>
        <v>16_6</v>
      </c>
    </row>
    <row r="166" spans="1:4">
      <c r="A166">
        <v>16</v>
      </c>
      <c r="B166">
        <v>7</v>
      </c>
      <c r="C166" s="45">
        <v>45894</v>
      </c>
      <c r="D166" t="str">
        <f t="shared" si="2"/>
        <v>16_7</v>
      </c>
    </row>
    <row r="167" spans="1:4">
      <c r="A167">
        <v>16</v>
      </c>
      <c r="B167">
        <v>9</v>
      </c>
      <c r="C167" s="45">
        <v>45894</v>
      </c>
      <c r="D167" t="str">
        <f t="shared" si="2"/>
        <v>16_9</v>
      </c>
    </row>
    <row r="168" spans="1:4">
      <c r="A168">
        <v>16</v>
      </c>
      <c r="B168">
        <v>10</v>
      </c>
      <c r="C168" s="45">
        <v>45894</v>
      </c>
      <c r="D168" t="str">
        <f t="shared" si="2"/>
        <v>16_10</v>
      </c>
    </row>
    <row r="169" spans="1:4">
      <c r="A169">
        <v>17</v>
      </c>
      <c r="B169">
        <v>12</v>
      </c>
      <c r="C169" s="45">
        <v>45894</v>
      </c>
      <c r="D169" t="str">
        <f t="shared" si="2"/>
        <v>17_12</v>
      </c>
    </row>
    <row r="170" spans="1:4">
      <c r="A170">
        <v>17</v>
      </c>
      <c r="B170">
        <v>13</v>
      </c>
      <c r="C170" s="45">
        <v>45894</v>
      </c>
      <c r="D170" t="str">
        <f t="shared" si="2"/>
        <v>17_13</v>
      </c>
    </row>
    <row r="171" spans="1:4">
      <c r="A171">
        <v>17</v>
      </c>
      <c r="B171">
        <v>15</v>
      </c>
      <c r="C171" s="45">
        <v>45894</v>
      </c>
      <c r="D171" t="str">
        <f t="shared" si="2"/>
        <v>17_15</v>
      </c>
    </row>
    <row r="172" spans="1:4">
      <c r="A172">
        <v>17</v>
      </c>
      <c r="B172">
        <v>18</v>
      </c>
      <c r="C172" s="45">
        <v>45894</v>
      </c>
      <c r="D172" t="str">
        <f t="shared" si="2"/>
        <v>17_18</v>
      </c>
    </row>
    <row r="173" spans="1:4">
      <c r="A173">
        <v>17</v>
      </c>
      <c r="B173">
        <v>19</v>
      </c>
      <c r="C173" s="45">
        <v>45894</v>
      </c>
      <c r="D173" t="str">
        <f t="shared" si="2"/>
        <v>17_19</v>
      </c>
    </row>
    <row r="174" spans="1:4">
      <c r="A174">
        <v>17</v>
      </c>
      <c r="B174">
        <v>20</v>
      </c>
      <c r="C174" s="45">
        <v>45894</v>
      </c>
      <c r="D174" t="str">
        <f t="shared" si="2"/>
        <v>17_20</v>
      </c>
    </row>
    <row r="175" spans="1:4">
      <c r="A175">
        <v>17</v>
      </c>
      <c r="B175">
        <v>21</v>
      </c>
      <c r="C175" s="45">
        <v>45894</v>
      </c>
      <c r="D175" t="str">
        <f t="shared" si="2"/>
        <v>17_21</v>
      </c>
    </row>
    <row r="176" spans="1:4">
      <c r="A176">
        <v>18</v>
      </c>
      <c r="B176">
        <v>1</v>
      </c>
      <c r="C176" s="45">
        <v>45894</v>
      </c>
      <c r="D176" t="str">
        <f t="shared" si="2"/>
        <v>18_1</v>
      </c>
    </row>
    <row r="177" spans="1:4">
      <c r="A177">
        <v>18</v>
      </c>
      <c r="B177">
        <v>2</v>
      </c>
      <c r="C177" s="45">
        <v>45894</v>
      </c>
      <c r="D177" t="str">
        <f t="shared" si="2"/>
        <v>18_2</v>
      </c>
    </row>
    <row r="178" spans="1:4">
      <c r="A178">
        <v>18</v>
      </c>
      <c r="B178">
        <v>3</v>
      </c>
      <c r="C178" s="45">
        <v>45894</v>
      </c>
      <c r="D178" t="str">
        <f t="shared" si="2"/>
        <v>18_3</v>
      </c>
    </row>
    <row r="179" spans="1:4">
      <c r="A179">
        <v>18</v>
      </c>
      <c r="B179">
        <v>4</v>
      </c>
      <c r="C179" s="45">
        <v>45894</v>
      </c>
      <c r="D179" t="str">
        <f t="shared" si="2"/>
        <v>18_4</v>
      </c>
    </row>
    <row r="180" spans="1:4">
      <c r="A180">
        <v>18</v>
      </c>
      <c r="B180">
        <v>6</v>
      </c>
      <c r="C180" s="45">
        <v>45894</v>
      </c>
      <c r="D180" t="str">
        <f t="shared" si="2"/>
        <v>18_6</v>
      </c>
    </row>
    <row r="181" spans="1:4">
      <c r="A181">
        <v>18</v>
      </c>
      <c r="B181">
        <v>7</v>
      </c>
      <c r="C181" s="45">
        <v>45894</v>
      </c>
      <c r="D181" t="str">
        <f t="shared" si="2"/>
        <v>18_7</v>
      </c>
    </row>
    <row r="182" spans="1:4">
      <c r="A182">
        <v>18</v>
      </c>
      <c r="B182">
        <v>9</v>
      </c>
      <c r="C182" s="45">
        <v>45894</v>
      </c>
      <c r="D182" t="str">
        <f t="shared" si="2"/>
        <v>18_9</v>
      </c>
    </row>
    <row r="183" spans="1:4">
      <c r="A183">
        <v>18</v>
      </c>
      <c r="B183">
        <v>11</v>
      </c>
      <c r="C183" s="45">
        <v>45894</v>
      </c>
      <c r="D183" t="str">
        <f t="shared" si="2"/>
        <v>18_11</v>
      </c>
    </row>
    <row r="184" spans="1:4">
      <c r="A184">
        <v>18</v>
      </c>
      <c r="B184">
        <v>12</v>
      </c>
      <c r="C184" s="45">
        <v>45894</v>
      </c>
      <c r="D184" t="str">
        <f t="shared" si="2"/>
        <v>18_12</v>
      </c>
    </row>
    <row r="185" spans="1:4">
      <c r="A185">
        <v>18</v>
      </c>
      <c r="B185">
        <v>13</v>
      </c>
      <c r="C185" s="45">
        <v>45894</v>
      </c>
      <c r="D185" t="str">
        <f t="shared" si="2"/>
        <v>18_13</v>
      </c>
    </row>
    <row r="186" spans="1:4">
      <c r="A186">
        <v>19</v>
      </c>
      <c r="B186">
        <v>3</v>
      </c>
      <c r="C186" s="45">
        <v>45894</v>
      </c>
      <c r="D186" t="str">
        <f t="shared" si="2"/>
        <v>19_3</v>
      </c>
    </row>
    <row r="187" spans="1:4">
      <c r="A187">
        <v>19</v>
      </c>
      <c r="B187">
        <v>5</v>
      </c>
      <c r="C187" s="45">
        <v>45894</v>
      </c>
      <c r="D187" t="str">
        <f t="shared" si="2"/>
        <v>19_5</v>
      </c>
    </row>
    <row r="188" spans="1:4">
      <c r="A188">
        <v>19</v>
      </c>
      <c r="B188">
        <v>6</v>
      </c>
      <c r="C188" s="45">
        <v>45894</v>
      </c>
      <c r="D188" t="str">
        <f t="shared" si="2"/>
        <v>19_6</v>
      </c>
    </row>
    <row r="189" spans="1:4">
      <c r="A189">
        <v>20</v>
      </c>
      <c r="B189">
        <v>3</v>
      </c>
      <c r="C189" s="45">
        <v>45894</v>
      </c>
      <c r="D189" t="str">
        <f t="shared" si="2"/>
        <v>20_3</v>
      </c>
    </row>
    <row r="190" spans="1:4">
      <c r="A190">
        <v>20</v>
      </c>
      <c r="B190">
        <v>4</v>
      </c>
      <c r="C190" s="45">
        <v>45894</v>
      </c>
      <c r="D190" t="str">
        <f t="shared" si="2"/>
        <v>20_4</v>
      </c>
    </row>
    <row r="191" spans="1:4">
      <c r="A191">
        <v>20</v>
      </c>
      <c r="B191">
        <v>5</v>
      </c>
      <c r="C191" s="45">
        <v>45894</v>
      </c>
      <c r="D191" t="str">
        <f t="shared" si="2"/>
        <v>20_5</v>
      </c>
    </row>
    <row r="192" spans="1:4">
      <c r="A192">
        <v>20</v>
      </c>
      <c r="B192">
        <v>7</v>
      </c>
      <c r="C192" s="45">
        <v>45894</v>
      </c>
      <c r="D192" t="str">
        <f t="shared" si="2"/>
        <v>20_7</v>
      </c>
    </row>
    <row r="193" spans="1:4">
      <c r="A193">
        <v>20</v>
      </c>
      <c r="B193">
        <v>10</v>
      </c>
      <c r="C193" s="45">
        <v>45894</v>
      </c>
      <c r="D193" t="str">
        <f t="shared" si="2"/>
        <v>20_10</v>
      </c>
    </row>
    <row r="194" spans="1:4">
      <c r="A194">
        <v>21</v>
      </c>
      <c r="B194">
        <v>1</v>
      </c>
      <c r="C194" s="45">
        <v>45894</v>
      </c>
      <c r="D194" t="str">
        <f t="shared" ref="D194:D257" si="3">_xlfn.CONCAT(A194,"_",B194)</f>
        <v>21_1</v>
      </c>
    </row>
    <row r="195" spans="1:4">
      <c r="A195">
        <v>21</v>
      </c>
      <c r="B195">
        <v>2</v>
      </c>
      <c r="C195" s="45">
        <v>45894</v>
      </c>
      <c r="D195" t="str">
        <f t="shared" si="3"/>
        <v>21_2</v>
      </c>
    </row>
    <row r="196" spans="1:4">
      <c r="A196">
        <v>21</v>
      </c>
      <c r="B196">
        <v>4</v>
      </c>
      <c r="C196" s="45">
        <v>45894</v>
      </c>
      <c r="D196" t="str">
        <f t="shared" si="3"/>
        <v>21_4</v>
      </c>
    </row>
    <row r="197" spans="1:4">
      <c r="A197">
        <v>21</v>
      </c>
      <c r="B197">
        <v>5</v>
      </c>
      <c r="C197" s="45">
        <v>45894</v>
      </c>
      <c r="D197" t="str">
        <f t="shared" si="3"/>
        <v>21_5</v>
      </c>
    </row>
    <row r="198" spans="1:4">
      <c r="A198">
        <v>21</v>
      </c>
      <c r="B198">
        <v>7</v>
      </c>
      <c r="C198" s="45">
        <v>45894</v>
      </c>
      <c r="D198" t="str">
        <f t="shared" si="3"/>
        <v>21_7</v>
      </c>
    </row>
    <row r="199" spans="1:4">
      <c r="A199">
        <v>21</v>
      </c>
      <c r="B199">
        <v>8</v>
      </c>
      <c r="C199" s="45">
        <v>45894</v>
      </c>
      <c r="D199" t="str">
        <f t="shared" si="3"/>
        <v>21_8</v>
      </c>
    </row>
    <row r="200" spans="1:4">
      <c r="A200">
        <v>21</v>
      </c>
      <c r="B200">
        <v>9</v>
      </c>
      <c r="C200" s="45">
        <v>45894</v>
      </c>
      <c r="D200" t="str">
        <f t="shared" si="3"/>
        <v>21_9</v>
      </c>
    </row>
    <row r="201" spans="1:4">
      <c r="A201">
        <v>21</v>
      </c>
      <c r="B201">
        <v>11</v>
      </c>
      <c r="C201" s="45">
        <v>45894</v>
      </c>
      <c r="D201" t="str">
        <f t="shared" si="3"/>
        <v>21_11</v>
      </c>
    </row>
    <row r="202" spans="1:4">
      <c r="A202">
        <v>21</v>
      </c>
      <c r="B202">
        <v>12</v>
      </c>
      <c r="C202" s="45">
        <v>45894</v>
      </c>
      <c r="D202" t="str">
        <f t="shared" si="3"/>
        <v>21_12</v>
      </c>
    </row>
    <row r="203" spans="1:4">
      <c r="A203">
        <v>21</v>
      </c>
      <c r="B203">
        <v>14</v>
      </c>
      <c r="C203" s="45">
        <v>45894</v>
      </c>
      <c r="D203" t="str">
        <f t="shared" si="3"/>
        <v>21_14</v>
      </c>
    </row>
    <row r="204" spans="1:4">
      <c r="A204">
        <v>21</v>
      </c>
      <c r="B204">
        <v>15</v>
      </c>
      <c r="C204" s="45">
        <v>45894</v>
      </c>
      <c r="D204" t="str">
        <f t="shared" si="3"/>
        <v>21_15</v>
      </c>
    </row>
    <row r="205" spans="1:4">
      <c r="A205">
        <v>22</v>
      </c>
      <c r="B205">
        <v>2</v>
      </c>
      <c r="C205" s="45">
        <v>45894</v>
      </c>
      <c r="D205" t="str">
        <f t="shared" si="3"/>
        <v>22_2</v>
      </c>
    </row>
    <row r="206" spans="1:4">
      <c r="A206">
        <v>22</v>
      </c>
      <c r="B206">
        <v>3</v>
      </c>
      <c r="C206" s="45">
        <v>45894</v>
      </c>
      <c r="D206" t="str">
        <f t="shared" si="3"/>
        <v>22_3</v>
      </c>
    </row>
    <row r="207" spans="1:4">
      <c r="A207">
        <v>23</v>
      </c>
      <c r="B207">
        <v>2</v>
      </c>
      <c r="C207" s="45">
        <v>45894</v>
      </c>
      <c r="D207" t="str">
        <f t="shared" si="3"/>
        <v>23_2</v>
      </c>
    </row>
    <row r="208" spans="1:4">
      <c r="A208">
        <v>23</v>
      </c>
      <c r="B208">
        <v>3</v>
      </c>
      <c r="C208" s="45">
        <v>45894</v>
      </c>
      <c r="D208" t="str">
        <f t="shared" si="3"/>
        <v>23_3</v>
      </c>
    </row>
    <row r="209" spans="1:4">
      <c r="A209">
        <v>23</v>
      </c>
      <c r="B209">
        <v>4</v>
      </c>
      <c r="C209" s="45">
        <v>45894</v>
      </c>
      <c r="D209" t="str">
        <f t="shared" si="3"/>
        <v>23_4</v>
      </c>
    </row>
    <row r="210" spans="1:4">
      <c r="A210">
        <v>23</v>
      </c>
      <c r="B210">
        <v>7</v>
      </c>
      <c r="C210" s="45">
        <v>45894</v>
      </c>
      <c r="D210" t="str">
        <f t="shared" si="3"/>
        <v>23_7</v>
      </c>
    </row>
    <row r="211" spans="1:4">
      <c r="A211">
        <v>23</v>
      </c>
      <c r="B211">
        <v>8</v>
      </c>
      <c r="C211" s="45">
        <v>45894</v>
      </c>
      <c r="D211" t="str">
        <f t="shared" si="3"/>
        <v>23_8</v>
      </c>
    </row>
    <row r="212" spans="1:4">
      <c r="A212">
        <v>23</v>
      </c>
      <c r="B212">
        <v>9</v>
      </c>
      <c r="C212" s="45">
        <v>45894</v>
      </c>
      <c r="D212" t="str">
        <f t="shared" si="3"/>
        <v>23_9</v>
      </c>
    </row>
    <row r="213" spans="1:4">
      <c r="A213">
        <v>23</v>
      </c>
      <c r="B213">
        <v>10</v>
      </c>
      <c r="C213" s="45">
        <v>45894</v>
      </c>
      <c r="D213" t="str">
        <f t="shared" si="3"/>
        <v>23_10</v>
      </c>
    </row>
    <row r="214" spans="1:4">
      <c r="A214">
        <v>24</v>
      </c>
      <c r="B214">
        <v>2</v>
      </c>
      <c r="C214" s="45">
        <v>45894</v>
      </c>
      <c r="D214" t="str">
        <f t="shared" si="3"/>
        <v>24_2</v>
      </c>
    </row>
    <row r="215" spans="1:4">
      <c r="A215">
        <v>24</v>
      </c>
      <c r="B215">
        <v>3</v>
      </c>
      <c r="C215" s="45">
        <v>45894</v>
      </c>
      <c r="D215" t="str">
        <f t="shared" si="3"/>
        <v>24_3</v>
      </c>
    </row>
    <row r="216" spans="1:4">
      <c r="A216">
        <v>24</v>
      </c>
      <c r="B216">
        <v>5</v>
      </c>
      <c r="C216" s="45">
        <v>45894</v>
      </c>
      <c r="D216" t="str">
        <f t="shared" si="3"/>
        <v>24_5</v>
      </c>
    </row>
    <row r="217" spans="1:4">
      <c r="A217">
        <v>24</v>
      </c>
      <c r="B217">
        <v>6</v>
      </c>
      <c r="C217" s="45">
        <v>45894</v>
      </c>
      <c r="D217" t="str">
        <f t="shared" si="3"/>
        <v>24_6</v>
      </c>
    </row>
    <row r="218" spans="1:4">
      <c r="A218">
        <v>24</v>
      </c>
      <c r="B218">
        <v>8</v>
      </c>
      <c r="C218" s="45">
        <v>45894</v>
      </c>
      <c r="D218" t="str">
        <f t="shared" si="3"/>
        <v>24_8</v>
      </c>
    </row>
    <row r="219" spans="1:4">
      <c r="A219">
        <v>25</v>
      </c>
      <c r="B219">
        <v>2</v>
      </c>
      <c r="C219" s="45">
        <v>45894</v>
      </c>
      <c r="D219" t="str">
        <f t="shared" si="3"/>
        <v>25_2</v>
      </c>
    </row>
    <row r="220" spans="1:4">
      <c r="A220">
        <v>25</v>
      </c>
      <c r="B220">
        <v>5</v>
      </c>
      <c r="C220" s="45">
        <v>45894</v>
      </c>
      <c r="D220" t="str">
        <f t="shared" si="3"/>
        <v>25_5</v>
      </c>
    </row>
    <row r="221" spans="1:4">
      <c r="A221">
        <v>26</v>
      </c>
      <c r="B221">
        <v>2</v>
      </c>
      <c r="C221" s="45">
        <v>45894</v>
      </c>
      <c r="D221" t="str">
        <f t="shared" si="3"/>
        <v>26_2</v>
      </c>
    </row>
    <row r="222" spans="1:4">
      <c r="A222">
        <v>26</v>
      </c>
      <c r="B222">
        <v>3</v>
      </c>
      <c r="C222" s="45">
        <v>45894</v>
      </c>
      <c r="D222" t="str">
        <f t="shared" si="3"/>
        <v>26_3</v>
      </c>
    </row>
    <row r="223" spans="1:4">
      <c r="A223">
        <v>27</v>
      </c>
      <c r="B223">
        <v>2</v>
      </c>
      <c r="C223" s="45">
        <v>45894</v>
      </c>
      <c r="D223" t="str">
        <f t="shared" si="3"/>
        <v>27_2</v>
      </c>
    </row>
    <row r="224" spans="1:4">
      <c r="A224">
        <v>27</v>
      </c>
      <c r="B224">
        <v>3</v>
      </c>
      <c r="C224" s="45">
        <v>45894</v>
      </c>
      <c r="D224" t="str">
        <f t="shared" si="3"/>
        <v>27_3</v>
      </c>
    </row>
    <row r="225" spans="1:4">
      <c r="A225">
        <v>27</v>
      </c>
      <c r="B225">
        <v>4</v>
      </c>
      <c r="C225" s="45">
        <v>45894</v>
      </c>
      <c r="D225" t="str">
        <f t="shared" si="3"/>
        <v>27_4</v>
      </c>
    </row>
    <row r="226" spans="1:4">
      <c r="A226">
        <v>27</v>
      </c>
      <c r="B226">
        <v>7</v>
      </c>
      <c r="C226" s="45">
        <v>45894</v>
      </c>
      <c r="D226" t="str">
        <f t="shared" si="3"/>
        <v>27_7</v>
      </c>
    </row>
    <row r="227" spans="1:4">
      <c r="A227">
        <v>27</v>
      </c>
      <c r="B227">
        <v>8</v>
      </c>
      <c r="C227" s="45">
        <v>45894</v>
      </c>
      <c r="D227" t="str">
        <f t="shared" si="3"/>
        <v>27_8</v>
      </c>
    </row>
    <row r="228" spans="1:4">
      <c r="A228">
        <v>27</v>
      </c>
      <c r="B228">
        <v>9</v>
      </c>
      <c r="C228" s="45">
        <v>45894</v>
      </c>
      <c r="D228" t="str">
        <f t="shared" si="3"/>
        <v>27_9</v>
      </c>
    </row>
    <row r="229" spans="1:4">
      <c r="A229">
        <v>28</v>
      </c>
      <c r="B229">
        <v>2</v>
      </c>
      <c r="C229" s="45">
        <v>45894</v>
      </c>
      <c r="D229" t="str">
        <f t="shared" si="3"/>
        <v>28_2</v>
      </c>
    </row>
    <row r="230" spans="1:4">
      <c r="A230">
        <v>28</v>
      </c>
      <c r="B230">
        <v>4</v>
      </c>
      <c r="C230" s="45">
        <v>45894</v>
      </c>
      <c r="D230" t="str">
        <f t="shared" si="3"/>
        <v>28_4</v>
      </c>
    </row>
    <row r="231" spans="1:4">
      <c r="A231">
        <v>29</v>
      </c>
      <c r="B231">
        <v>2</v>
      </c>
      <c r="C231" s="45">
        <v>45894</v>
      </c>
      <c r="D231" t="str">
        <f t="shared" si="3"/>
        <v>29_2</v>
      </c>
    </row>
    <row r="232" spans="1:4">
      <c r="A232">
        <v>29</v>
      </c>
      <c r="B232">
        <v>5</v>
      </c>
      <c r="C232" s="45">
        <v>45894</v>
      </c>
      <c r="D232" t="str">
        <f t="shared" si="3"/>
        <v>29_5</v>
      </c>
    </row>
    <row r="233" spans="1:4">
      <c r="A233">
        <v>29</v>
      </c>
      <c r="B233">
        <v>6</v>
      </c>
      <c r="C233" s="45">
        <v>45894</v>
      </c>
      <c r="D233" t="str">
        <f t="shared" si="3"/>
        <v>29_6</v>
      </c>
    </row>
    <row r="234" spans="1:4">
      <c r="A234">
        <v>29</v>
      </c>
      <c r="B234">
        <v>8</v>
      </c>
      <c r="C234" s="45">
        <v>45894</v>
      </c>
      <c r="D234" t="str">
        <f t="shared" si="3"/>
        <v>29_8</v>
      </c>
    </row>
    <row r="235" spans="1:4">
      <c r="A235">
        <v>30</v>
      </c>
      <c r="B235">
        <v>1</v>
      </c>
      <c r="C235" s="45">
        <v>45894</v>
      </c>
      <c r="D235" t="str">
        <f t="shared" si="3"/>
        <v>30_1</v>
      </c>
    </row>
    <row r="236" spans="1:4">
      <c r="A236">
        <v>30</v>
      </c>
      <c r="B236">
        <v>2</v>
      </c>
      <c r="C236" s="45">
        <v>45894</v>
      </c>
      <c r="D236" t="str">
        <f t="shared" si="3"/>
        <v>30_2</v>
      </c>
    </row>
    <row r="237" spans="1:4">
      <c r="A237">
        <v>30</v>
      </c>
      <c r="B237">
        <v>4</v>
      </c>
      <c r="C237" s="45">
        <v>45894</v>
      </c>
      <c r="D237" t="str">
        <f t="shared" si="3"/>
        <v>30_4</v>
      </c>
    </row>
    <row r="238" spans="1:4">
      <c r="A238">
        <v>30</v>
      </c>
      <c r="B238">
        <v>5</v>
      </c>
      <c r="C238" s="45">
        <v>45894</v>
      </c>
      <c r="D238" t="str">
        <f t="shared" si="3"/>
        <v>30_5</v>
      </c>
    </row>
    <row r="239" spans="1:4">
      <c r="A239">
        <v>30</v>
      </c>
      <c r="B239">
        <v>6</v>
      </c>
      <c r="C239" s="45">
        <v>45894</v>
      </c>
      <c r="D239" t="str">
        <f t="shared" si="3"/>
        <v>30_6</v>
      </c>
    </row>
    <row r="240" spans="1:4">
      <c r="A240">
        <v>30</v>
      </c>
      <c r="B240">
        <v>7</v>
      </c>
      <c r="C240" s="45">
        <v>45894</v>
      </c>
      <c r="D240" t="str">
        <f t="shared" si="3"/>
        <v>30_7</v>
      </c>
    </row>
    <row r="241" spans="1:4">
      <c r="A241">
        <v>30</v>
      </c>
      <c r="B241">
        <v>8</v>
      </c>
      <c r="C241" s="45">
        <v>45894</v>
      </c>
      <c r="D241" t="str">
        <f t="shared" si="3"/>
        <v>30_8</v>
      </c>
    </row>
    <row r="242" spans="1:4">
      <c r="A242">
        <v>30</v>
      </c>
      <c r="B242">
        <v>10</v>
      </c>
      <c r="C242" s="45">
        <v>45894</v>
      </c>
      <c r="D242" t="str">
        <f t="shared" si="3"/>
        <v>30_10</v>
      </c>
    </row>
    <row r="243" spans="1:4">
      <c r="A243">
        <v>30</v>
      </c>
      <c r="B243">
        <v>11</v>
      </c>
      <c r="C243" s="45">
        <v>45894</v>
      </c>
      <c r="D243" t="str">
        <f t="shared" si="3"/>
        <v>30_11</v>
      </c>
    </row>
    <row r="244" spans="1:4">
      <c r="A244">
        <v>30</v>
      </c>
      <c r="B244">
        <v>12</v>
      </c>
      <c r="C244" s="45">
        <v>45894</v>
      </c>
      <c r="D244" t="str">
        <f t="shared" si="3"/>
        <v>30_12</v>
      </c>
    </row>
    <row r="245" spans="1:4">
      <c r="A245">
        <v>30</v>
      </c>
      <c r="B245">
        <v>13</v>
      </c>
      <c r="C245" s="45">
        <v>45894</v>
      </c>
      <c r="D245" t="str">
        <f t="shared" si="3"/>
        <v>30_13</v>
      </c>
    </row>
    <row r="246" spans="1:4">
      <c r="A246">
        <v>30</v>
      </c>
      <c r="B246">
        <v>14</v>
      </c>
      <c r="C246" s="45">
        <v>45894</v>
      </c>
      <c r="D246" t="str">
        <f t="shared" si="3"/>
        <v>30_14</v>
      </c>
    </row>
    <row r="247" spans="1:4">
      <c r="A247">
        <v>30</v>
      </c>
      <c r="B247">
        <v>15</v>
      </c>
      <c r="C247" s="45">
        <v>45894</v>
      </c>
      <c r="D247" t="str">
        <f t="shared" si="3"/>
        <v>30_15</v>
      </c>
    </row>
    <row r="248" spans="1:4">
      <c r="A248">
        <v>30</v>
      </c>
      <c r="B248">
        <v>16</v>
      </c>
      <c r="C248" s="45">
        <v>45894</v>
      </c>
      <c r="D248" t="str">
        <f t="shared" si="3"/>
        <v>30_16</v>
      </c>
    </row>
    <row r="249" spans="1:4">
      <c r="A249">
        <v>30</v>
      </c>
      <c r="B249">
        <v>17</v>
      </c>
      <c r="C249" s="45">
        <v>45894</v>
      </c>
      <c r="D249" t="str">
        <f t="shared" si="3"/>
        <v>30_17</v>
      </c>
    </row>
    <row r="250" spans="1:4">
      <c r="A250">
        <v>31</v>
      </c>
      <c r="B250">
        <v>18</v>
      </c>
      <c r="C250" s="45">
        <v>45894</v>
      </c>
      <c r="D250" t="str">
        <f t="shared" si="3"/>
        <v>31_18</v>
      </c>
    </row>
    <row r="251" spans="1:4">
      <c r="A251">
        <v>31</v>
      </c>
      <c r="B251">
        <v>19</v>
      </c>
      <c r="C251" s="45">
        <v>45894</v>
      </c>
      <c r="D251" t="str">
        <f t="shared" si="3"/>
        <v>31_19</v>
      </c>
    </row>
    <row r="252" spans="1:4">
      <c r="A252">
        <v>31</v>
      </c>
      <c r="B252">
        <v>20</v>
      </c>
      <c r="C252" s="45">
        <v>45894</v>
      </c>
      <c r="D252" t="str">
        <f t="shared" si="3"/>
        <v>31_20</v>
      </c>
    </row>
    <row r="253" spans="1:4">
      <c r="A253">
        <v>31</v>
      </c>
      <c r="B253">
        <v>23</v>
      </c>
      <c r="C253" s="45">
        <v>45894</v>
      </c>
      <c r="D253" t="str">
        <f t="shared" si="3"/>
        <v>31_23</v>
      </c>
    </row>
    <row r="254" spans="1:4">
      <c r="A254">
        <v>31</v>
      </c>
      <c r="B254">
        <v>25</v>
      </c>
      <c r="C254" s="45">
        <v>45894</v>
      </c>
      <c r="D254" t="str">
        <f t="shared" si="3"/>
        <v>31_25</v>
      </c>
    </row>
    <row r="255" spans="1:4">
      <c r="A255">
        <v>31</v>
      </c>
      <c r="B255">
        <v>27</v>
      </c>
      <c r="C255" s="45">
        <v>45894</v>
      </c>
      <c r="D255" t="str">
        <f t="shared" si="3"/>
        <v>31_27</v>
      </c>
    </row>
    <row r="256" spans="1:4">
      <c r="A256">
        <v>31</v>
      </c>
      <c r="B256">
        <v>29</v>
      </c>
      <c r="C256" s="45">
        <v>45894</v>
      </c>
      <c r="D256" t="str">
        <f t="shared" si="3"/>
        <v>31_29</v>
      </c>
    </row>
    <row r="257" spans="1:4">
      <c r="A257">
        <v>31</v>
      </c>
      <c r="B257">
        <v>30</v>
      </c>
      <c r="C257" s="45">
        <v>45894</v>
      </c>
      <c r="D257" t="str">
        <f t="shared" si="3"/>
        <v>31_30</v>
      </c>
    </row>
    <row r="258" spans="1:4">
      <c r="A258">
        <v>31</v>
      </c>
      <c r="B258">
        <v>31</v>
      </c>
      <c r="C258" s="45">
        <v>45894</v>
      </c>
      <c r="D258" t="str">
        <f t="shared" ref="D258:D321" si="4">_xlfn.CONCAT(A258,"_",B258)</f>
        <v>31_31</v>
      </c>
    </row>
    <row r="259" spans="1:4">
      <c r="A259">
        <v>31</v>
      </c>
      <c r="B259">
        <v>32</v>
      </c>
      <c r="C259" s="45">
        <v>45894</v>
      </c>
      <c r="D259" t="str">
        <f t="shared" si="4"/>
        <v>31_32</v>
      </c>
    </row>
    <row r="260" spans="1:4">
      <c r="A260">
        <v>31</v>
      </c>
      <c r="B260">
        <v>34</v>
      </c>
      <c r="C260" s="45">
        <v>45894</v>
      </c>
      <c r="D260" t="str">
        <f t="shared" si="4"/>
        <v>31_34</v>
      </c>
    </row>
    <row r="261" spans="1:4">
      <c r="A261">
        <v>31</v>
      </c>
      <c r="B261">
        <v>35</v>
      </c>
      <c r="C261" s="45">
        <v>45894</v>
      </c>
      <c r="D261" t="str">
        <f t="shared" si="4"/>
        <v>31_35</v>
      </c>
    </row>
    <row r="262" spans="1:4">
      <c r="A262">
        <v>31</v>
      </c>
      <c r="B262">
        <v>36</v>
      </c>
      <c r="C262" s="45">
        <v>45894</v>
      </c>
      <c r="D262" t="str">
        <f t="shared" si="4"/>
        <v>31_36</v>
      </c>
    </row>
    <row r="263" spans="1:4">
      <c r="A263">
        <v>31</v>
      </c>
      <c r="B263">
        <v>37</v>
      </c>
      <c r="C263" s="45">
        <v>45894</v>
      </c>
      <c r="D263" t="str">
        <f t="shared" si="4"/>
        <v>31_37</v>
      </c>
    </row>
    <row r="264" spans="1:4">
      <c r="A264">
        <v>31</v>
      </c>
      <c r="B264">
        <v>38</v>
      </c>
      <c r="C264" s="45">
        <v>45894</v>
      </c>
      <c r="D264" t="str">
        <f t="shared" si="4"/>
        <v>31_38</v>
      </c>
    </row>
    <row r="265" spans="1:4">
      <c r="A265">
        <v>32</v>
      </c>
      <c r="B265">
        <v>1</v>
      </c>
      <c r="C265" s="45">
        <v>45894</v>
      </c>
      <c r="D265" t="str">
        <f t="shared" si="4"/>
        <v>32_1</v>
      </c>
    </row>
    <row r="266" spans="1:4">
      <c r="A266">
        <v>32</v>
      </c>
      <c r="B266">
        <v>2</v>
      </c>
      <c r="C266" s="45">
        <v>45894</v>
      </c>
      <c r="D266" t="str">
        <f t="shared" si="4"/>
        <v>32_2</v>
      </c>
    </row>
    <row r="267" spans="1:4">
      <c r="A267">
        <v>32</v>
      </c>
      <c r="B267">
        <v>3</v>
      </c>
      <c r="C267" s="45">
        <v>45894</v>
      </c>
      <c r="D267" t="str">
        <f t="shared" si="4"/>
        <v>32_3</v>
      </c>
    </row>
    <row r="268" spans="1:4">
      <c r="A268">
        <v>32</v>
      </c>
      <c r="B268">
        <v>4</v>
      </c>
      <c r="C268" s="45">
        <v>45894</v>
      </c>
      <c r="D268" t="str">
        <f t="shared" si="4"/>
        <v>32_4</v>
      </c>
    </row>
    <row r="269" spans="1:4">
      <c r="A269">
        <v>32</v>
      </c>
      <c r="B269">
        <v>5</v>
      </c>
      <c r="C269" s="45">
        <v>45894</v>
      </c>
      <c r="D269" t="str">
        <f t="shared" si="4"/>
        <v>32_5</v>
      </c>
    </row>
    <row r="270" spans="1:4">
      <c r="A270">
        <v>32</v>
      </c>
      <c r="B270">
        <v>6</v>
      </c>
      <c r="C270" s="45">
        <v>45894</v>
      </c>
      <c r="D270" t="str">
        <f t="shared" si="4"/>
        <v>32_6</v>
      </c>
    </row>
    <row r="271" spans="1:4">
      <c r="A271">
        <v>33</v>
      </c>
      <c r="B271">
        <v>2</v>
      </c>
      <c r="C271" s="45">
        <v>45894</v>
      </c>
      <c r="D271" t="str">
        <f t="shared" si="4"/>
        <v>33_2</v>
      </c>
    </row>
    <row r="272" spans="1:4">
      <c r="A272">
        <v>33</v>
      </c>
      <c r="B272">
        <v>5</v>
      </c>
      <c r="C272" s="45">
        <v>45894</v>
      </c>
      <c r="D272" t="str">
        <f t="shared" si="4"/>
        <v>33_5</v>
      </c>
    </row>
    <row r="273" spans="1:4">
      <c r="A273">
        <v>33</v>
      </c>
      <c r="B273">
        <v>6</v>
      </c>
      <c r="C273" s="45">
        <v>45894</v>
      </c>
      <c r="D273" t="str">
        <f t="shared" si="4"/>
        <v>33_6</v>
      </c>
    </row>
    <row r="274" spans="1:4">
      <c r="A274">
        <v>33</v>
      </c>
      <c r="B274">
        <v>7</v>
      </c>
      <c r="C274" s="45">
        <v>45894</v>
      </c>
      <c r="D274" t="str">
        <f t="shared" si="4"/>
        <v>33_7</v>
      </c>
    </row>
    <row r="275" spans="1:4">
      <c r="A275">
        <v>34</v>
      </c>
      <c r="B275">
        <v>1</v>
      </c>
      <c r="C275" s="45">
        <v>45894</v>
      </c>
      <c r="D275" t="str">
        <f t="shared" si="4"/>
        <v>34_1</v>
      </c>
    </row>
    <row r="276" spans="1:4">
      <c r="A276">
        <v>34</v>
      </c>
      <c r="B276">
        <v>2</v>
      </c>
      <c r="C276" s="45">
        <v>45894</v>
      </c>
      <c r="D276" t="str">
        <f t="shared" si="4"/>
        <v>34_2</v>
      </c>
    </row>
    <row r="277" spans="1:4">
      <c r="A277">
        <v>34</v>
      </c>
      <c r="B277">
        <v>4</v>
      </c>
      <c r="C277" s="45">
        <v>45894</v>
      </c>
      <c r="D277" t="str">
        <f t="shared" si="4"/>
        <v>34_4</v>
      </c>
    </row>
    <row r="278" spans="1:4">
      <c r="A278">
        <v>34</v>
      </c>
      <c r="B278">
        <v>5</v>
      </c>
      <c r="C278" s="45">
        <v>45894</v>
      </c>
      <c r="D278" t="str">
        <f t="shared" si="4"/>
        <v>34_5</v>
      </c>
    </row>
    <row r="279" spans="1:4">
      <c r="A279">
        <v>34</v>
      </c>
      <c r="B279">
        <v>6</v>
      </c>
      <c r="C279" s="45">
        <v>45894</v>
      </c>
      <c r="D279" t="str">
        <f t="shared" si="4"/>
        <v>34_6</v>
      </c>
    </row>
    <row r="280" spans="1:4">
      <c r="A280">
        <v>34</v>
      </c>
      <c r="B280">
        <v>7</v>
      </c>
      <c r="C280" s="45">
        <v>45894</v>
      </c>
      <c r="D280" t="str">
        <f t="shared" si="4"/>
        <v>34_7</v>
      </c>
    </row>
    <row r="281" spans="1:4">
      <c r="A281">
        <v>34</v>
      </c>
      <c r="B281">
        <v>8</v>
      </c>
      <c r="C281" s="45">
        <v>45894</v>
      </c>
      <c r="D281" t="str">
        <f t="shared" si="4"/>
        <v>34_8</v>
      </c>
    </row>
    <row r="282" spans="1:4">
      <c r="A282">
        <v>34</v>
      </c>
      <c r="B282">
        <v>9</v>
      </c>
      <c r="C282" s="45">
        <v>45894</v>
      </c>
      <c r="D282" t="str">
        <f t="shared" ref="D282:D293" si="5">_xlfn.CONCAT(A282,"_",B282)</f>
        <v>34_9</v>
      </c>
    </row>
    <row r="283" spans="1:4">
      <c r="A283">
        <v>34</v>
      </c>
      <c r="B283">
        <v>10</v>
      </c>
      <c r="C283" s="45">
        <v>45894</v>
      </c>
      <c r="D283" t="str">
        <f t="shared" si="5"/>
        <v>34_10</v>
      </c>
    </row>
    <row r="284" spans="1:4">
      <c r="A284">
        <v>34</v>
      </c>
      <c r="B284">
        <v>12</v>
      </c>
      <c r="C284" s="45">
        <v>45894</v>
      </c>
      <c r="D284" t="str">
        <f t="shared" si="5"/>
        <v>34_12</v>
      </c>
    </row>
    <row r="285" spans="1:4">
      <c r="A285">
        <v>34</v>
      </c>
      <c r="B285">
        <v>13</v>
      </c>
      <c r="C285" s="45">
        <v>45894</v>
      </c>
      <c r="D285" t="str">
        <f t="shared" si="5"/>
        <v>34_13</v>
      </c>
    </row>
    <row r="286" spans="1:4">
      <c r="A286">
        <v>34</v>
      </c>
      <c r="B286">
        <v>14</v>
      </c>
      <c r="C286" s="45">
        <v>45894</v>
      </c>
      <c r="D286" t="str">
        <f t="shared" si="5"/>
        <v>34_14</v>
      </c>
    </row>
    <row r="287" spans="1:4">
      <c r="A287">
        <v>34</v>
      </c>
      <c r="B287">
        <v>15</v>
      </c>
      <c r="C287" s="45">
        <v>45894</v>
      </c>
      <c r="D287" t="str">
        <f t="shared" si="5"/>
        <v>34_15</v>
      </c>
    </row>
    <row r="288" spans="1:4">
      <c r="A288">
        <v>34</v>
      </c>
      <c r="B288">
        <v>16</v>
      </c>
      <c r="C288" s="45">
        <v>45894</v>
      </c>
      <c r="D288" t="str">
        <f t="shared" si="5"/>
        <v>34_16</v>
      </c>
    </row>
    <row r="289" spans="1:4">
      <c r="A289">
        <v>34</v>
      </c>
      <c r="B289">
        <v>17</v>
      </c>
      <c r="C289" s="45">
        <v>45894</v>
      </c>
      <c r="D289" t="str">
        <f t="shared" si="5"/>
        <v>34_17</v>
      </c>
    </row>
    <row r="290" spans="1:4">
      <c r="A290">
        <v>34</v>
      </c>
      <c r="B290">
        <v>18</v>
      </c>
      <c r="C290" s="45">
        <v>45894</v>
      </c>
      <c r="D290" t="str">
        <f t="shared" si="5"/>
        <v>34_18</v>
      </c>
    </row>
    <row r="291" spans="1:4">
      <c r="A291">
        <v>34</v>
      </c>
      <c r="B291">
        <v>19</v>
      </c>
      <c r="C291" s="45">
        <v>45894</v>
      </c>
      <c r="D291" t="str">
        <f t="shared" si="5"/>
        <v>34_19</v>
      </c>
    </row>
    <row r="292" spans="1:4">
      <c r="A292">
        <v>34</v>
      </c>
      <c r="B292">
        <v>20</v>
      </c>
      <c r="C292" s="45">
        <v>45894</v>
      </c>
      <c r="D292" t="str">
        <f t="shared" si="5"/>
        <v>34_20</v>
      </c>
    </row>
    <row r="293" spans="1:4">
      <c r="A293">
        <v>34</v>
      </c>
      <c r="B293">
        <v>22</v>
      </c>
      <c r="C293" s="45">
        <v>45894</v>
      </c>
      <c r="D293" t="str">
        <f t="shared" si="5"/>
        <v>34_22</v>
      </c>
    </row>
    <row r="294" spans="1:4">
      <c r="A294">
        <v>35</v>
      </c>
      <c r="B294">
        <v>2</v>
      </c>
      <c r="C294" s="45">
        <v>45894</v>
      </c>
      <c r="D294" t="str">
        <f t="shared" si="4"/>
        <v>35_2</v>
      </c>
    </row>
    <row r="295" spans="1:4">
      <c r="A295">
        <v>35</v>
      </c>
      <c r="B295">
        <v>5</v>
      </c>
      <c r="C295" s="45">
        <v>45894</v>
      </c>
      <c r="D295" t="str">
        <f t="shared" si="4"/>
        <v>35_5</v>
      </c>
    </row>
    <row r="296" spans="1:4">
      <c r="A296">
        <v>35</v>
      </c>
      <c r="B296">
        <v>6</v>
      </c>
      <c r="C296" s="45">
        <v>45894</v>
      </c>
      <c r="D296" t="str">
        <f t="shared" si="4"/>
        <v>35_6</v>
      </c>
    </row>
    <row r="297" spans="1:4">
      <c r="A297">
        <v>36</v>
      </c>
      <c r="B297">
        <v>1</v>
      </c>
      <c r="C297" s="45">
        <v>45894</v>
      </c>
      <c r="D297" t="str">
        <f t="shared" si="4"/>
        <v>36_1</v>
      </c>
    </row>
    <row r="298" spans="1:4">
      <c r="A298">
        <v>36</v>
      </c>
      <c r="B298">
        <v>2</v>
      </c>
      <c r="C298" s="45">
        <v>45894</v>
      </c>
      <c r="D298" t="str">
        <f t="shared" si="4"/>
        <v>36_2</v>
      </c>
    </row>
    <row r="299" spans="1:4">
      <c r="A299">
        <v>36</v>
      </c>
      <c r="B299">
        <v>4</v>
      </c>
      <c r="C299" s="45">
        <v>45894</v>
      </c>
      <c r="D299" t="str">
        <f t="shared" si="4"/>
        <v>36_4</v>
      </c>
    </row>
    <row r="300" spans="1:4">
      <c r="A300">
        <v>36</v>
      </c>
      <c r="B300">
        <v>6</v>
      </c>
      <c r="C300" s="45">
        <v>45894</v>
      </c>
      <c r="D300" t="str">
        <f t="shared" si="4"/>
        <v>36_6</v>
      </c>
    </row>
    <row r="301" spans="1:4">
      <c r="A301">
        <v>36</v>
      </c>
      <c r="B301">
        <v>7</v>
      </c>
      <c r="C301" s="45">
        <v>45894</v>
      </c>
      <c r="D301" t="str">
        <f t="shared" si="4"/>
        <v>36_7</v>
      </c>
    </row>
    <row r="302" spans="1:4">
      <c r="A302">
        <v>36</v>
      </c>
      <c r="B302">
        <v>8</v>
      </c>
      <c r="C302" s="45">
        <v>45894</v>
      </c>
      <c r="D302" t="str">
        <f t="shared" si="4"/>
        <v>36_8</v>
      </c>
    </row>
    <row r="303" spans="1:4">
      <c r="A303">
        <v>36</v>
      </c>
      <c r="B303">
        <v>9</v>
      </c>
      <c r="C303" s="45">
        <v>45894</v>
      </c>
      <c r="D303" t="str">
        <f t="shared" si="4"/>
        <v>36_9</v>
      </c>
    </row>
    <row r="304" spans="1:4">
      <c r="A304">
        <v>36</v>
      </c>
      <c r="B304">
        <v>10</v>
      </c>
      <c r="C304" s="45">
        <v>45894</v>
      </c>
      <c r="D304" t="str">
        <f t="shared" si="4"/>
        <v>36_10</v>
      </c>
    </row>
    <row r="305" spans="1:6">
      <c r="A305">
        <v>36</v>
      </c>
      <c r="B305">
        <v>11</v>
      </c>
      <c r="C305" s="45">
        <v>45894</v>
      </c>
      <c r="D305" t="str">
        <f t="shared" si="4"/>
        <v>36_11</v>
      </c>
    </row>
    <row r="306" spans="1:6">
      <c r="A306">
        <v>36</v>
      </c>
      <c r="B306">
        <v>12</v>
      </c>
      <c r="C306" s="45">
        <v>45894</v>
      </c>
      <c r="D306" t="str">
        <f t="shared" si="4"/>
        <v>36_12</v>
      </c>
    </row>
    <row r="307" spans="1:6">
      <c r="A307">
        <v>36</v>
      </c>
      <c r="B307">
        <v>13</v>
      </c>
      <c r="C307" s="45">
        <v>45894</v>
      </c>
      <c r="D307" t="str">
        <f t="shared" si="4"/>
        <v>36_13</v>
      </c>
    </row>
    <row r="308" spans="1:6">
      <c r="A308">
        <v>36</v>
      </c>
      <c r="B308">
        <v>14</v>
      </c>
      <c r="C308" s="45">
        <v>45894</v>
      </c>
      <c r="D308" t="str">
        <f t="shared" si="4"/>
        <v>36_14</v>
      </c>
    </row>
    <row r="309" spans="1:6">
      <c r="A309">
        <v>36</v>
      </c>
      <c r="B309">
        <v>15</v>
      </c>
      <c r="C309" s="45">
        <v>45894</v>
      </c>
      <c r="D309" t="str">
        <f t="shared" si="4"/>
        <v>36_15</v>
      </c>
    </row>
    <row r="310" spans="1:6">
      <c r="A310">
        <v>37</v>
      </c>
      <c r="B310">
        <v>2</v>
      </c>
      <c r="C310" s="45">
        <v>45894</v>
      </c>
      <c r="D310" t="str">
        <f t="shared" si="4"/>
        <v>37_2</v>
      </c>
    </row>
    <row r="311" spans="1:6">
      <c r="A311">
        <v>39</v>
      </c>
      <c r="B311">
        <v>1</v>
      </c>
      <c r="C311" s="45">
        <v>45894</v>
      </c>
      <c r="D311" t="str">
        <f t="shared" si="4"/>
        <v>39_1</v>
      </c>
    </row>
    <row r="312" spans="1:6">
      <c r="A312">
        <v>39</v>
      </c>
      <c r="B312">
        <v>2</v>
      </c>
      <c r="C312" s="45">
        <v>45894</v>
      </c>
      <c r="D312" t="str">
        <f t="shared" si="4"/>
        <v>39_2</v>
      </c>
    </row>
    <row r="313" spans="1:6">
      <c r="A313">
        <v>10</v>
      </c>
      <c r="B313">
        <v>6</v>
      </c>
      <c r="C313" s="45">
        <v>45894</v>
      </c>
      <c r="D313" t="str">
        <f t="shared" si="4"/>
        <v>10_6</v>
      </c>
    </row>
    <row r="314" spans="1:6">
      <c r="A314">
        <v>30</v>
      </c>
      <c r="B314">
        <v>1001</v>
      </c>
      <c r="C314" s="45">
        <v>45894</v>
      </c>
      <c r="D314" t="str">
        <f t="shared" si="4"/>
        <v>30_1001</v>
      </c>
    </row>
    <row r="315" spans="1:6">
      <c r="A315">
        <v>1</v>
      </c>
      <c r="B315">
        <v>11</v>
      </c>
      <c r="C315" s="45">
        <v>45894</v>
      </c>
      <c r="D315" t="str">
        <f t="shared" si="4"/>
        <v>1_11</v>
      </c>
    </row>
    <row r="316" spans="1:6">
      <c r="A316">
        <v>20</v>
      </c>
      <c r="B316">
        <v>1</v>
      </c>
      <c r="C316" s="45">
        <v>45983</v>
      </c>
      <c r="D316" t="str">
        <f t="shared" si="4"/>
        <v>20_1</v>
      </c>
      <c r="E316" s="45">
        <v>45984</v>
      </c>
      <c r="F316" t="str">
        <f>_xlfn.CONCAT(A316,"_",B316)</f>
        <v>20_1</v>
      </c>
    </row>
    <row r="317" spans="1:6">
      <c r="A317">
        <v>20</v>
      </c>
      <c r="B317">
        <v>8</v>
      </c>
      <c r="C317" s="45">
        <v>45983</v>
      </c>
      <c r="D317" t="str">
        <f t="shared" si="4"/>
        <v>20_8</v>
      </c>
      <c r="E317" s="45">
        <v>45984</v>
      </c>
      <c r="F317" t="str">
        <f t="shared" ref="F317:F380" si="6">_xlfn.CONCAT(A317,"_",B317)</f>
        <v>20_8</v>
      </c>
    </row>
    <row r="318" spans="1:6">
      <c r="A318">
        <v>19</v>
      </c>
      <c r="B318">
        <v>1</v>
      </c>
      <c r="C318" s="45">
        <v>45983</v>
      </c>
      <c r="D318" t="str">
        <f t="shared" si="4"/>
        <v>19_1</v>
      </c>
      <c r="E318" s="45">
        <v>45984</v>
      </c>
      <c r="F318" t="str">
        <f t="shared" si="6"/>
        <v>19_1</v>
      </c>
    </row>
    <row r="319" spans="1:6">
      <c r="A319">
        <v>16</v>
      </c>
      <c r="B319">
        <v>3</v>
      </c>
      <c r="C319" s="45">
        <v>45983</v>
      </c>
      <c r="D319" t="str">
        <f t="shared" si="4"/>
        <v>16_3</v>
      </c>
      <c r="E319" s="45">
        <v>45984</v>
      </c>
      <c r="F319" t="str">
        <f t="shared" si="6"/>
        <v>16_3</v>
      </c>
    </row>
    <row r="320" spans="1:6">
      <c r="A320">
        <v>17</v>
      </c>
      <c r="B320">
        <v>22</v>
      </c>
      <c r="C320" s="45">
        <v>45983</v>
      </c>
      <c r="D320" t="str">
        <f t="shared" si="4"/>
        <v>17_22</v>
      </c>
      <c r="E320" s="45">
        <v>45984</v>
      </c>
      <c r="F320" t="str">
        <f t="shared" si="6"/>
        <v>17_22</v>
      </c>
    </row>
    <row r="321" spans="1:6">
      <c r="A321">
        <v>17</v>
      </c>
      <c r="B321" t="s">
        <v>282</v>
      </c>
      <c r="C321" s="45">
        <v>45983</v>
      </c>
      <c r="D321" t="str">
        <f t="shared" si="4"/>
        <v>17_11A</v>
      </c>
      <c r="E321" s="45">
        <v>45984</v>
      </c>
      <c r="F321" t="str">
        <f t="shared" si="6"/>
        <v>17_11A</v>
      </c>
    </row>
    <row r="322" spans="1:6">
      <c r="A322">
        <v>17</v>
      </c>
      <c r="B322">
        <v>11</v>
      </c>
      <c r="C322" s="45">
        <v>45983</v>
      </c>
      <c r="D322" t="str">
        <f t="shared" ref="D322:D385" si="7">_xlfn.CONCAT(A322,"_",B322)</f>
        <v>17_11</v>
      </c>
      <c r="E322" s="45">
        <v>45984</v>
      </c>
      <c r="F322" t="str">
        <f t="shared" si="6"/>
        <v>17_11</v>
      </c>
    </row>
    <row r="323" spans="1:6">
      <c r="A323">
        <v>17</v>
      </c>
      <c r="B323">
        <v>17</v>
      </c>
      <c r="C323" s="45">
        <v>45983</v>
      </c>
      <c r="D323" t="str">
        <f t="shared" si="7"/>
        <v>17_17</v>
      </c>
      <c r="E323" s="45">
        <v>45984</v>
      </c>
      <c r="F323" t="str">
        <f t="shared" si="6"/>
        <v>17_17</v>
      </c>
    </row>
    <row r="324" spans="1:6">
      <c r="A324">
        <v>16</v>
      </c>
      <c r="B324">
        <v>8</v>
      </c>
      <c r="C324" s="45">
        <v>45983</v>
      </c>
      <c r="D324" t="str">
        <f t="shared" si="7"/>
        <v>16_8</v>
      </c>
      <c r="E324" s="45">
        <v>45984</v>
      </c>
      <c r="F324" t="str">
        <f t="shared" si="6"/>
        <v>16_8</v>
      </c>
    </row>
    <row r="325" spans="1:6">
      <c r="A325">
        <v>17</v>
      </c>
      <c r="B325">
        <v>14</v>
      </c>
      <c r="C325" s="45">
        <v>45990</v>
      </c>
      <c r="D325" t="str">
        <f t="shared" si="7"/>
        <v>17_14</v>
      </c>
      <c r="E325" s="45">
        <v>45991</v>
      </c>
      <c r="F325" t="str">
        <f t="shared" si="6"/>
        <v>17_14</v>
      </c>
    </row>
    <row r="326" spans="1:6">
      <c r="A326">
        <v>17</v>
      </c>
      <c r="B326">
        <v>16</v>
      </c>
      <c r="C326" s="45">
        <v>45990</v>
      </c>
      <c r="D326" t="str">
        <f t="shared" si="7"/>
        <v>17_16</v>
      </c>
      <c r="E326" s="45">
        <v>45991</v>
      </c>
      <c r="F326" t="str">
        <f t="shared" si="6"/>
        <v>17_16</v>
      </c>
    </row>
    <row r="327" spans="1:6">
      <c r="A327">
        <v>20</v>
      </c>
      <c r="B327">
        <v>6</v>
      </c>
      <c r="C327" s="45">
        <v>45990</v>
      </c>
      <c r="D327" t="str">
        <f t="shared" si="7"/>
        <v>20_6</v>
      </c>
      <c r="E327" s="45">
        <v>45991</v>
      </c>
      <c r="F327" t="str">
        <f t="shared" si="6"/>
        <v>20_6</v>
      </c>
    </row>
    <row r="328" spans="1:6">
      <c r="A328">
        <v>20</v>
      </c>
      <c r="B328">
        <v>2</v>
      </c>
      <c r="C328" s="45">
        <v>45990</v>
      </c>
      <c r="D328" t="str">
        <f t="shared" si="7"/>
        <v>20_2</v>
      </c>
      <c r="E328" s="45">
        <v>45991</v>
      </c>
      <c r="F328" t="str">
        <f t="shared" si="6"/>
        <v>20_2</v>
      </c>
    </row>
    <row r="329" spans="1:6">
      <c r="A329">
        <v>20</v>
      </c>
      <c r="B329">
        <v>9</v>
      </c>
      <c r="C329" s="45">
        <v>45990</v>
      </c>
      <c r="D329" t="str">
        <f t="shared" si="7"/>
        <v>20_9</v>
      </c>
      <c r="E329" s="45">
        <v>45991</v>
      </c>
      <c r="F329" t="str">
        <f t="shared" si="6"/>
        <v>20_9</v>
      </c>
    </row>
    <row r="330" spans="1:6">
      <c r="A330">
        <v>20</v>
      </c>
      <c r="B330" t="s">
        <v>284</v>
      </c>
      <c r="C330" s="45">
        <v>45990</v>
      </c>
      <c r="D330" t="str">
        <f t="shared" si="7"/>
        <v>20_9A</v>
      </c>
      <c r="E330" s="45">
        <v>45991</v>
      </c>
      <c r="F330" t="str">
        <f t="shared" si="6"/>
        <v>20_9A</v>
      </c>
    </row>
    <row r="331" spans="1:6">
      <c r="A331">
        <v>19</v>
      </c>
      <c r="B331">
        <v>2</v>
      </c>
      <c r="C331" s="45">
        <v>45990</v>
      </c>
      <c r="D331" t="str">
        <f t="shared" si="7"/>
        <v>19_2</v>
      </c>
      <c r="E331" s="45">
        <v>45991</v>
      </c>
      <c r="F331" t="str">
        <f t="shared" si="6"/>
        <v>19_2</v>
      </c>
    </row>
    <row r="332" spans="1:6">
      <c r="A332">
        <v>19</v>
      </c>
      <c r="B332">
        <v>4</v>
      </c>
      <c r="C332" s="45">
        <v>45990</v>
      </c>
      <c r="D332" t="str">
        <f t="shared" si="7"/>
        <v>19_4</v>
      </c>
      <c r="E332" s="45">
        <v>45991</v>
      </c>
      <c r="F332" t="str">
        <f t="shared" si="6"/>
        <v>19_4</v>
      </c>
    </row>
    <row r="333" spans="1:6">
      <c r="A333">
        <v>19</v>
      </c>
      <c r="B333">
        <v>7</v>
      </c>
      <c r="C333" s="45">
        <v>45990</v>
      </c>
      <c r="D333" t="str">
        <f t="shared" si="7"/>
        <v>19_7</v>
      </c>
      <c r="E333" s="45">
        <v>45991</v>
      </c>
      <c r="F333" t="str">
        <f t="shared" si="6"/>
        <v>19_7</v>
      </c>
    </row>
    <row r="334" spans="1:6">
      <c r="A334">
        <v>19</v>
      </c>
      <c r="B334" t="s">
        <v>285</v>
      </c>
      <c r="C334" s="45">
        <v>45990</v>
      </c>
      <c r="D334" t="str">
        <f t="shared" si="7"/>
        <v>19_7A</v>
      </c>
      <c r="E334" s="45">
        <v>45991</v>
      </c>
      <c r="F334" t="str">
        <f t="shared" si="6"/>
        <v>19_7A</v>
      </c>
    </row>
    <row r="335" spans="1:6">
      <c r="A335">
        <v>21</v>
      </c>
      <c r="B335">
        <v>16</v>
      </c>
      <c r="C335" s="45">
        <v>45990</v>
      </c>
      <c r="D335" t="str">
        <f t="shared" si="7"/>
        <v>21_16</v>
      </c>
      <c r="E335" s="45">
        <v>45991</v>
      </c>
      <c r="F335" t="str">
        <f t="shared" si="6"/>
        <v>21_16</v>
      </c>
    </row>
    <row r="336" spans="1:6">
      <c r="A336">
        <v>21</v>
      </c>
      <c r="B336">
        <v>13</v>
      </c>
      <c r="C336" s="45">
        <v>45990</v>
      </c>
      <c r="D336" t="str">
        <f t="shared" si="7"/>
        <v>21_13</v>
      </c>
      <c r="E336" s="45">
        <v>45991</v>
      </c>
      <c r="F336" t="str">
        <f t="shared" si="6"/>
        <v>21_13</v>
      </c>
    </row>
    <row r="337" spans="1:6">
      <c r="A337">
        <v>1</v>
      </c>
      <c r="B337">
        <v>12</v>
      </c>
      <c r="C337" s="45">
        <v>45990</v>
      </c>
      <c r="D337" t="str">
        <f t="shared" si="7"/>
        <v>1_12</v>
      </c>
      <c r="E337" s="45">
        <v>45991</v>
      </c>
      <c r="F337" t="str">
        <f t="shared" si="6"/>
        <v>1_12</v>
      </c>
    </row>
    <row r="338" spans="1:6">
      <c r="A338">
        <v>1</v>
      </c>
      <c r="B338">
        <v>32</v>
      </c>
      <c r="C338" s="45">
        <v>45990</v>
      </c>
      <c r="D338" t="str">
        <f t="shared" si="7"/>
        <v>1_32</v>
      </c>
      <c r="E338" s="45">
        <v>45991</v>
      </c>
      <c r="F338" t="str">
        <f t="shared" si="6"/>
        <v>1_32</v>
      </c>
    </row>
    <row r="339" spans="1:6">
      <c r="A339" t="s">
        <v>261</v>
      </c>
      <c r="B339">
        <v>36</v>
      </c>
      <c r="C339" s="45">
        <v>45990</v>
      </c>
      <c r="D339" t="str">
        <f t="shared" si="7"/>
        <v>1-1_36</v>
      </c>
      <c r="E339" s="45">
        <v>45991</v>
      </c>
      <c r="F339" t="str">
        <f t="shared" si="6"/>
        <v>1-1_36</v>
      </c>
    </row>
    <row r="340" spans="1:6">
      <c r="A340" t="s">
        <v>261</v>
      </c>
      <c r="B340">
        <v>37</v>
      </c>
      <c r="C340" s="45">
        <v>45990</v>
      </c>
      <c r="D340" t="str">
        <f t="shared" si="7"/>
        <v>1-1_37</v>
      </c>
      <c r="E340" s="45">
        <v>45991</v>
      </c>
      <c r="F340" t="str">
        <f t="shared" si="6"/>
        <v>1-1_37</v>
      </c>
    </row>
    <row r="341" spans="1:6">
      <c r="A341">
        <v>13</v>
      </c>
      <c r="B341">
        <v>4</v>
      </c>
      <c r="C341" s="45">
        <v>45990</v>
      </c>
      <c r="D341" t="str">
        <f t="shared" si="7"/>
        <v>13_4</v>
      </c>
      <c r="E341" s="45">
        <v>45991</v>
      </c>
      <c r="F341" t="str">
        <f t="shared" si="6"/>
        <v>13_4</v>
      </c>
    </row>
    <row r="342" spans="1:6">
      <c r="A342">
        <v>13</v>
      </c>
      <c r="B342">
        <v>6</v>
      </c>
      <c r="C342" s="45">
        <v>45990</v>
      </c>
      <c r="D342" t="str">
        <f t="shared" si="7"/>
        <v>13_6</v>
      </c>
      <c r="E342" s="45">
        <v>45991</v>
      </c>
      <c r="F342" t="str">
        <f t="shared" si="6"/>
        <v>13_6</v>
      </c>
    </row>
    <row r="343" spans="1:6">
      <c r="A343">
        <v>13</v>
      </c>
      <c r="B343">
        <v>8</v>
      </c>
      <c r="C343" s="45">
        <v>45990</v>
      </c>
      <c r="D343" t="str">
        <f t="shared" si="7"/>
        <v>13_8</v>
      </c>
      <c r="E343" s="45">
        <v>45991</v>
      </c>
      <c r="F343" t="str">
        <f t="shared" si="6"/>
        <v>13_8</v>
      </c>
    </row>
    <row r="344" spans="1:6">
      <c r="A344">
        <v>13</v>
      </c>
      <c r="B344">
        <v>10</v>
      </c>
      <c r="C344" s="45">
        <v>45990</v>
      </c>
      <c r="D344" t="str">
        <f t="shared" si="7"/>
        <v>13_10</v>
      </c>
      <c r="E344" s="45">
        <v>45991</v>
      </c>
      <c r="F344" t="str">
        <f t="shared" si="6"/>
        <v>13_10</v>
      </c>
    </row>
    <row r="345" spans="1:6">
      <c r="A345">
        <v>13</v>
      </c>
      <c r="B345">
        <v>12</v>
      </c>
      <c r="C345" s="45">
        <v>45990</v>
      </c>
      <c r="D345" t="str">
        <f t="shared" si="7"/>
        <v>13_12</v>
      </c>
      <c r="E345" s="45">
        <v>45991</v>
      </c>
      <c r="F345" t="str">
        <f t="shared" si="6"/>
        <v>13_12</v>
      </c>
    </row>
    <row r="346" spans="1:6">
      <c r="A346">
        <v>13</v>
      </c>
      <c r="B346">
        <v>15</v>
      </c>
      <c r="C346" s="45">
        <v>45990</v>
      </c>
      <c r="D346" t="str">
        <f t="shared" si="7"/>
        <v>13_15</v>
      </c>
      <c r="E346" s="45">
        <v>45991</v>
      </c>
      <c r="F346" t="str">
        <f t="shared" si="6"/>
        <v>13_15</v>
      </c>
    </row>
    <row r="347" spans="1:6">
      <c r="A347">
        <v>13</v>
      </c>
      <c r="B347">
        <v>16</v>
      </c>
      <c r="C347" s="45">
        <v>45990</v>
      </c>
      <c r="D347" t="str">
        <f t="shared" si="7"/>
        <v>13_16</v>
      </c>
      <c r="E347" s="45">
        <v>45991</v>
      </c>
      <c r="F347" t="str">
        <f t="shared" si="6"/>
        <v>13_16</v>
      </c>
    </row>
    <row r="348" spans="1:6">
      <c r="A348">
        <v>13</v>
      </c>
      <c r="B348">
        <v>17</v>
      </c>
      <c r="C348" s="45">
        <v>45990</v>
      </c>
      <c r="D348" t="str">
        <f t="shared" si="7"/>
        <v>13_17</v>
      </c>
      <c r="E348" s="45">
        <v>45991</v>
      </c>
      <c r="F348" t="str">
        <f t="shared" si="6"/>
        <v>13_17</v>
      </c>
    </row>
    <row r="349" spans="1:6">
      <c r="A349">
        <v>13</v>
      </c>
      <c r="B349">
        <v>18</v>
      </c>
      <c r="C349" s="45">
        <v>45990</v>
      </c>
      <c r="D349" t="str">
        <f t="shared" si="7"/>
        <v>13_18</v>
      </c>
      <c r="E349" s="45">
        <v>45991</v>
      </c>
      <c r="F349" t="str">
        <f t="shared" si="6"/>
        <v>13_18</v>
      </c>
    </row>
    <row r="350" spans="1:6">
      <c r="A350">
        <v>13</v>
      </c>
      <c r="B350">
        <v>19</v>
      </c>
      <c r="C350" s="45">
        <v>45990</v>
      </c>
      <c r="D350" t="str">
        <f t="shared" si="7"/>
        <v>13_19</v>
      </c>
      <c r="E350" s="45">
        <v>45991</v>
      </c>
      <c r="F350" t="str">
        <f t="shared" si="6"/>
        <v>13_19</v>
      </c>
    </row>
    <row r="351" spans="1:6">
      <c r="A351" t="s">
        <v>283</v>
      </c>
      <c r="B351">
        <v>4</v>
      </c>
      <c r="C351" s="45">
        <v>45990</v>
      </c>
      <c r="D351" t="str">
        <f t="shared" si="7"/>
        <v>14_4</v>
      </c>
      <c r="E351" s="45">
        <v>45991</v>
      </c>
      <c r="F351" t="str">
        <f t="shared" si="6"/>
        <v>14_4</v>
      </c>
    </row>
    <row r="352" spans="1:6">
      <c r="A352" t="s">
        <v>283</v>
      </c>
      <c r="B352">
        <v>6</v>
      </c>
      <c r="C352" s="45">
        <v>45990</v>
      </c>
      <c r="D352" t="str">
        <f t="shared" si="7"/>
        <v>14_6</v>
      </c>
      <c r="E352" s="45">
        <v>45991</v>
      </c>
      <c r="F352" t="str">
        <f t="shared" si="6"/>
        <v>14_6</v>
      </c>
    </row>
    <row r="353" spans="1:6">
      <c r="A353" t="s">
        <v>283</v>
      </c>
      <c r="B353">
        <v>8</v>
      </c>
      <c r="C353" s="45">
        <v>45990</v>
      </c>
      <c r="D353" t="str">
        <f t="shared" si="7"/>
        <v>14_8</v>
      </c>
      <c r="E353" s="45">
        <v>45991</v>
      </c>
      <c r="F353" t="str">
        <f t="shared" si="6"/>
        <v>14_8</v>
      </c>
    </row>
    <row r="354" spans="1:6">
      <c r="A354" t="s">
        <v>283</v>
      </c>
      <c r="B354">
        <v>10</v>
      </c>
      <c r="C354" s="45">
        <v>45990</v>
      </c>
      <c r="D354" t="str">
        <f t="shared" si="7"/>
        <v>14_10</v>
      </c>
      <c r="E354" s="45">
        <v>45991</v>
      </c>
      <c r="F354" t="str">
        <f t="shared" si="6"/>
        <v>14_10</v>
      </c>
    </row>
    <row r="355" spans="1:6">
      <c r="A355" t="s">
        <v>283</v>
      </c>
      <c r="B355">
        <v>12</v>
      </c>
      <c r="C355" s="45">
        <v>45990</v>
      </c>
      <c r="D355" t="str">
        <f t="shared" si="7"/>
        <v>14_12</v>
      </c>
      <c r="E355" s="45">
        <v>45991</v>
      </c>
      <c r="F355" t="str">
        <f t="shared" si="6"/>
        <v>14_12</v>
      </c>
    </row>
    <row r="356" spans="1:6">
      <c r="A356">
        <v>18</v>
      </c>
      <c r="B356">
        <v>14</v>
      </c>
      <c r="C356" s="45">
        <v>46004</v>
      </c>
      <c r="D356" t="str">
        <f t="shared" si="7"/>
        <v>18_14</v>
      </c>
      <c r="E356" s="45">
        <v>46005</v>
      </c>
      <c r="F356" t="str">
        <f t="shared" si="6"/>
        <v>18_14</v>
      </c>
    </row>
    <row r="357" spans="1:6">
      <c r="A357">
        <v>18</v>
      </c>
      <c r="B357" t="s">
        <v>286</v>
      </c>
      <c r="C357" s="45">
        <v>46004</v>
      </c>
      <c r="D357" t="str">
        <f t="shared" si="7"/>
        <v>18_14A</v>
      </c>
      <c r="E357" s="45">
        <v>46005</v>
      </c>
      <c r="F357" t="str">
        <f t="shared" si="6"/>
        <v>18_14A</v>
      </c>
    </row>
    <row r="358" spans="1:6">
      <c r="A358">
        <v>15</v>
      </c>
      <c r="B358">
        <v>4</v>
      </c>
      <c r="C358" s="45">
        <v>46004</v>
      </c>
      <c r="D358" t="str">
        <f t="shared" si="7"/>
        <v>15_4</v>
      </c>
      <c r="E358" s="45">
        <v>46005</v>
      </c>
      <c r="F358" t="str">
        <f t="shared" si="6"/>
        <v>15_4</v>
      </c>
    </row>
    <row r="359" spans="1:6">
      <c r="A359">
        <v>10</v>
      </c>
      <c r="B359">
        <v>5</v>
      </c>
      <c r="C359" s="45">
        <v>46004</v>
      </c>
      <c r="D359" t="str">
        <f t="shared" si="7"/>
        <v>10_5</v>
      </c>
      <c r="E359" s="45">
        <v>46005</v>
      </c>
      <c r="F359" t="str">
        <f t="shared" si="6"/>
        <v>10_5</v>
      </c>
    </row>
    <row r="360" spans="1:6">
      <c r="A360">
        <v>10</v>
      </c>
      <c r="B360">
        <v>7</v>
      </c>
      <c r="C360" s="45">
        <v>46004</v>
      </c>
      <c r="D360" t="str">
        <f t="shared" si="7"/>
        <v>10_7</v>
      </c>
      <c r="E360" s="45">
        <v>46005</v>
      </c>
      <c r="F360" t="str">
        <f t="shared" si="6"/>
        <v>10_7</v>
      </c>
    </row>
    <row r="361" spans="1:6">
      <c r="A361">
        <v>31</v>
      </c>
      <c r="B361">
        <v>33</v>
      </c>
      <c r="C361" s="45">
        <v>46004</v>
      </c>
      <c r="D361" t="str">
        <f t="shared" si="7"/>
        <v>31_33</v>
      </c>
      <c r="E361" s="45">
        <v>46005</v>
      </c>
      <c r="F361" t="str">
        <f t="shared" si="6"/>
        <v>31_33</v>
      </c>
    </row>
    <row r="362" spans="1:6">
      <c r="A362">
        <v>32</v>
      </c>
      <c r="B362" t="s">
        <v>287</v>
      </c>
      <c r="C362" s="45">
        <v>46004</v>
      </c>
      <c r="D362" t="str">
        <f t="shared" si="7"/>
        <v>32_6A</v>
      </c>
      <c r="E362" s="45">
        <v>46005</v>
      </c>
      <c r="F362" t="str">
        <f t="shared" si="6"/>
        <v>32_6A</v>
      </c>
    </row>
    <row r="363" spans="1:6">
      <c r="A363">
        <v>4</v>
      </c>
      <c r="B363">
        <v>7</v>
      </c>
      <c r="C363" s="45">
        <v>46011</v>
      </c>
      <c r="D363" t="str">
        <f t="shared" si="7"/>
        <v>4_7</v>
      </c>
      <c r="E363" s="45">
        <v>46012</v>
      </c>
      <c r="F363" t="str">
        <f t="shared" si="6"/>
        <v>4_7</v>
      </c>
    </row>
    <row r="364" spans="1:6">
      <c r="A364">
        <v>4</v>
      </c>
      <c r="B364" t="s">
        <v>288</v>
      </c>
      <c r="C364" s="45">
        <v>46011</v>
      </c>
      <c r="D364" t="str">
        <f t="shared" si="7"/>
        <v>4_12A</v>
      </c>
      <c r="E364" s="45">
        <v>46012</v>
      </c>
      <c r="F364" t="str">
        <f t="shared" si="6"/>
        <v>4_12A</v>
      </c>
    </row>
    <row r="365" spans="1:6">
      <c r="A365">
        <v>4</v>
      </c>
      <c r="B365">
        <v>12</v>
      </c>
      <c r="C365" s="45">
        <v>46011</v>
      </c>
      <c r="D365" t="str">
        <f t="shared" si="7"/>
        <v>4_12</v>
      </c>
      <c r="E365" s="45">
        <v>46012</v>
      </c>
      <c r="F365" t="str">
        <f t="shared" si="6"/>
        <v>4_12</v>
      </c>
    </row>
    <row r="366" spans="1:6">
      <c r="A366">
        <v>4</v>
      </c>
      <c r="B366">
        <v>4</v>
      </c>
      <c r="C366" s="45">
        <v>46011</v>
      </c>
      <c r="D366" t="str">
        <f t="shared" si="7"/>
        <v>4_4</v>
      </c>
      <c r="E366" s="45">
        <v>46012</v>
      </c>
      <c r="F366" t="str">
        <f t="shared" si="6"/>
        <v>4_4</v>
      </c>
    </row>
    <row r="367" spans="1:6">
      <c r="A367">
        <v>2</v>
      </c>
      <c r="B367">
        <v>7</v>
      </c>
      <c r="C367" s="45">
        <v>46011</v>
      </c>
      <c r="D367" t="str">
        <f t="shared" si="7"/>
        <v>2_7</v>
      </c>
      <c r="E367" s="45">
        <v>46012</v>
      </c>
      <c r="F367" t="str">
        <f t="shared" si="6"/>
        <v>2_7</v>
      </c>
    </row>
    <row r="368" spans="1:6">
      <c r="A368">
        <v>3</v>
      </c>
      <c r="B368">
        <v>8</v>
      </c>
      <c r="C368" s="45">
        <v>46011</v>
      </c>
      <c r="D368" t="str">
        <f t="shared" si="7"/>
        <v>3_8</v>
      </c>
      <c r="E368" s="45">
        <v>46012</v>
      </c>
      <c r="F368" t="str">
        <f t="shared" si="6"/>
        <v>3_8</v>
      </c>
    </row>
    <row r="369" spans="1:6">
      <c r="A369">
        <v>3</v>
      </c>
      <c r="B369">
        <v>10</v>
      </c>
      <c r="C369" s="45">
        <v>46011</v>
      </c>
      <c r="D369" t="str">
        <f t="shared" si="7"/>
        <v>3_10</v>
      </c>
      <c r="E369" s="45">
        <v>46012</v>
      </c>
      <c r="F369" t="str">
        <f t="shared" si="6"/>
        <v>3_10</v>
      </c>
    </row>
    <row r="370" spans="1:6">
      <c r="A370">
        <v>3</v>
      </c>
      <c r="B370">
        <v>12</v>
      </c>
      <c r="C370" s="45">
        <v>46011</v>
      </c>
      <c r="D370" t="str">
        <f t="shared" si="7"/>
        <v>3_12</v>
      </c>
      <c r="E370" s="45">
        <v>46012</v>
      </c>
      <c r="F370" t="str">
        <f t="shared" si="6"/>
        <v>3_12</v>
      </c>
    </row>
    <row r="371" spans="1:6">
      <c r="A371">
        <v>3</v>
      </c>
      <c r="B371">
        <v>15</v>
      </c>
      <c r="C371" s="45">
        <v>46011</v>
      </c>
      <c r="D371" t="str">
        <f t="shared" si="7"/>
        <v>3_15</v>
      </c>
      <c r="E371" s="45">
        <v>46012</v>
      </c>
      <c r="F371" t="str">
        <f t="shared" si="6"/>
        <v>3_15</v>
      </c>
    </row>
    <row r="372" spans="1:6">
      <c r="A372">
        <v>3</v>
      </c>
      <c r="B372">
        <v>23</v>
      </c>
      <c r="C372" s="45">
        <v>46011</v>
      </c>
      <c r="D372" t="str">
        <f t="shared" si="7"/>
        <v>3_23</v>
      </c>
      <c r="E372" s="45">
        <v>46012</v>
      </c>
      <c r="F372" t="str">
        <f t="shared" si="6"/>
        <v>3_23</v>
      </c>
    </row>
    <row r="373" spans="1:6">
      <c r="A373">
        <v>8</v>
      </c>
      <c r="B373">
        <v>5</v>
      </c>
      <c r="C373" s="45">
        <v>46016</v>
      </c>
      <c r="D373" t="str">
        <f t="shared" si="7"/>
        <v>8_5</v>
      </c>
      <c r="E373" s="45">
        <v>46019</v>
      </c>
      <c r="F373" t="str">
        <f t="shared" si="6"/>
        <v>8_5</v>
      </c>
    </row>
    <row r="374" spans="1:6">
      <c r="A374">
        <v>8</v>
      </c>
      <c r="B374">
        <v>9</v>
      </c>
      <c r="C374" s="45">
        <v>46016</v>
      </c>
      <c r="D374" t="str">
        <f t="shared" si="7"/>
        <v>8_9</v>
      </c>
      <c r="E374" s="45">
        <v>46019</v>
      </c>
      <c r="F374" t="str">
        <f t="shared" si="6"/>
        <v>8_9</v>
      </c>
    </row>
    <row r="375" spans="1:6">
      <c r="A375">
        <v>8</v>
      </c>
      <c r="B375">
        <v>1010</v>
      </c>
      <c r="C375" s="45">
        <v>46016</v>
      </c>
      <c r="D375" t="str">
        <f t="shared" si="7"/>
        <v>8_1010</v>
      </c>
      <c r="E375" s="45">
        <v>46019</v>
      </c>
      <c r="F375" t="str">
        <f t="shared" si="6"/>
        <v>8_1010</v>
      </c>
    </row>
    <row r="376" spans="1:6">
      <c r="A376">
        <v>9</v>
      </c>
      <c r="B376">
        <v>20</v>
      </c>
      <c r="C376" s="45">
        <v>46016</v>
      </c>
      <c r="D376" t="str">
        <f t="shared" si="7"/>
        <v>9_20</v>
      </c>
      <c r="E376" s="45">
        <v>46019</v>
      </c>
      <c r="F376" t="str">
        <f t="shared" si="6"/>
        <v>9_20</v>
      </c>
    </row>
    <row r="377" spans="1:6">
      <c r="A377">
        <v>12</v>
      </c>
      <c r="B377">
        <v>1002</v>
      </c>
      <c r="C377" s="45">
        <v>46016</v>
      </c>
      <c r="D377" t="str">
        <f t="shared" si="7"/>
        <v>12_1002</v>
      </c>
      <c r="E377" s="45">
        <v>46019</v>
      </c>
      <c r="F377" t="str">
        <f t="shared" si="6"/>
        <v>12_1002</v>
      </c>
    </row>
    <row r="378" spans="1:6">
      <c r="A378">
        <v>12</v>
      </c>
      <c r="B378">
        <v>5</v>
      </c>
      <c r="C378" s="45">
        <v>46016</v>
      </c>
      <c r="D378" t="str">
        <f t="shared" si="7"/>
        <v>12_5</v>
      </c>
      <c r="E378" s="45">
        <v>46019</v>
      </c>
      <c r="F378" t="str">
        <f t="shared" si="6"/>
        <v>12_5</v>
      </c>
    </row>
    <row r="379" spans="1:6">
      <c r="A379">
        <v>12</v>
      </c>
      <c r="B379">
        <v>8</v>
      </c>
      <c r="C379" s="45">
        <v>46016</v>
      </c>
      <c r="D379" t="str">
        <f t="shared" si="7"/>
        <v>12_8</v>
      </c>
      <c r="E379" s="45">
        <v>46019</v>
      </c>
      <c r="F379" t="str">
        <f t="shared" si="6"/>
        <v>12_8</v>
      </c>
    </row>
    <row r="380" spans="1:6">
      <c r="A380">
        <v>12</v>
      </c>
      <c r="B380">
        <v>15</v>
      </c>
      <c r="C380" s="45">
        <v>46016</v>
      </c>
      <c r="D380" t="str">
        <f t="shared" si="7"/>
        <v>12_15</v>
      </c>
      <c r="E380" s="45">
        <v>46019</v>
      </c>
      <c r="F380" t="str">
        <f t="shared" si="6"/>
        <v>12_15</v>
      </c>
    </row>
    <row r="381" spans="1:6">
      <c r="C381" s="45"/>
      <c r="D381" t="str">
        <f t="shared" si="7"/>
        <v>_</v>
      </c>
      <c r="F381" t="str">
        <f t="shared" ref="F381:F444" si="8">_xlfn.CONCAT(A381,"_",B381)</f>
        <v>_</v>
      </c>
    </row>
    <row r="382" spans="1:6">
      <c r="C382" s="45"/>
      <c r="D382" t="str">
        <f t="shared" si="7"/>
        <v>_</v>
      </c>
      <c r="F382" t="str">
        <f t="shared" si="8"/>
        <v>_</v>
      </c>
    </row>
    <row r="383" spans="1:6">
      <c r="C383" s="45"/>
      <c r="D383" t="str">
        <f t="shared" si="7"/>
        <v>_</v>
      </c>
      <c r="F383" t="str">
        <f t="shared" si="8"/>
        <v>_</v>
      </c>
    </row>
    <row r="384" spans="1:6">
      <c r="C384" s="45"/>
      <c r="D384" t="str">
        <f t="shared" si="7"/>
        <v>_</v>
      </c>
      <c r="F384" t="str">
        <f t="shared" si="8"/>
        <v>_</v>
      </c>
    </row>
    <row r="385" spans="3:6">
      <c r="C385" s="45"/>
      <c r="D385" t="str">
        <f t="shared" si="7"/>
        <v>_</v>
      </c>
      <c r="F385" t="str">
        <f t="shared" si="8"/>
        <v>_</v>
      </c>
    </row>
    <row r="386" spans="3:6">
      <c r="C386" s="45"/>
      <c r="D386" t="str">
        <f t="shared" ref="D386:D449" si="9">_xlfn.CONCAT(A386,"_",B386)</f>
        <v>_</v>
      </c>
      <c r="F386" t="str">
        <f t="shared" si="8"/>
        <v>_</v>
      </c>
    </row>
    <row r="387" spans="3:6">
      <c r="C387" s="45"/>
      <c r="D387" t="str">
        <f t="shared" si="9"/>
        <v>_</v>
      </c>
      <c r="F387" t="str">
        <f t="shared" si="8"/>
        <v>_</v>
      </c>
    </row>
    <row r="388" spans="3:6">
      <c r="C388" s="45"/>
      <c r="D388" t="str">
        <f t="shared" si="9"/>
        <v>_</v>
      </c>
      <c r="F388" t="str">
        <f t="shared" si="8"/>
        <v>_</v>
      </c>
    </row>
    <row r="389" spans="3:6">
      <c r="C389" s="45"/>
      <c r="D389" t="str">
        <f t="shared" si="9"/>
        <v>_</v>
      </c>
      <c r="F389" t="str">
        <f t="shared" si="8"/>
        <v>_</v>
      </c>
    </row>
    <row r="390" spans="3:6">
      <c r="C390" s="45"/>
      <c r="D390" t="str">
        <f t="shared" si="9"/>
        <v>_</v>
      </c>
      <c r="F390" t="str">
        <f t="shared" si="8"/>
        <v>_</v>
      </c>
    </row>
    <row r="391" spans="3:6">
      <c r="C391" s="45"/>
      <c r="D391" t="str">
        <f t="shared" si="9"/>
        <v>_</v>
      </c>
      <c r="F391" t="str">
        <f t="shared" si="8"/>
        <v>_</v>
      </c>
    </row>
    <row r="392" spans="3:6">
      <c r="C392" s="45"/>
      <c r="D392" t="str">
        <f t="shared" si="9"/>
        <v>_</v>
      </c>
      <c r="F392" t="str">
        <f t="shared" si="8"/>
        <v>_</v>
      </c>
    </row>
    <row r="393" spans="3:6">
      <c r="C393" s="45"/>
      <c r="D393" t="str">
        <f t="shared" si="9"/>
        <v>_</v>
      </c>
      <c r="F393" t="str">
        <f t="shared" si="8"/>
        <v>_</v>
      </c>
    </row>
    <row r="394" spans="3:6">
      <c r="C394" s="45"/>
      <c r="D394" t="str">
        <f t="shared" si="9"/>
        <v>_</v>
      </c>
      <c r="F394" t="str">
        <f t="shared" si="8"/>
        <v>_</v>
      </c>
    </row>
    <row r="395" spans="3:6">
      <c r="C395" s="45"/>
      <c r="D395" t="str">
        <f t="shared" si="9"/>
        <v>_</v>
      </c>
      <c r="F395" t="str">
        <f t="shared" si="8"/>
        <v>_</v>
      </c>
    </row>
    <row r="396" spans="3:6">
      <c r="C396" s="45"/>
      <c r="D396" t="str">
        <f t="shared" si="9"/>
        <v>_</v>
      </c>
      <c r="F396" t="str">
        <f t="shared" si="8"/>
        <v>_</v>
      </c>
    </row>
    <row r="397" spans="3:6">
      <c r="C397" s="45"/>
      <c r="D397" t="str">
        <f t="shared" si="9"/>
        <v>_</v>
      </c>
      <c r="F397" t="str">
        <f t="shared" si="8"/>
        <v>_</v>
      </c>
    </row>
    <row r="398" spans="3:6">
      <c r="C398" s="45"/>
      <c r="D398" t="str">
        <f t="shared" si="9"/>
        <v>_</v>
      </c>
      <c r="F398" t="str">
        <f t="shared" si="8"/>
        <v>_</v>
      </c>
    </row>
    <row r="399" spans="3:6">
      <c r="C399" s="45"/>
      <c r="D399" t="str">
        <f t="shared" si="9"/>
        <v>_</v>
      </c>
      <c r="F399" t="str">
        <f t="shared" si="8"/>
        <v>_</v>
      </c>
    </row>
    <row r="400" spans="3:6">
      <c r="C400" s="45"/>
      <c r="D400" t="str">
        <f t="shared" si="9"/>
        <v>_</v>
      </c>
      <c r="F400" t="str">
        <f t="shared" si="8"/>
        <v>_</v>
      </c>
    </row>
    <row r="401" spans="3:6">
      <c r="C401" s="45"/>
      <c r="D401" t="str">
        <f t="shared" si="9"/>
        <v>_</v>
      </c>
      <c r="F401" t="str">
        <f t="shared" si="8"/>
        <v>_</v>
      </c>
    </row>
    <row r="402" spans="3:6">
      <c r="C402" s="45"/>
      <c r="D402" t="str">
        <f t="shared" si="9"/>
        <v>_</v>
      </c>
      <c r="F402" t="str">
        <f t="shared" si="8"/>
        <v>_</v>
      </c>
    </row>
    <row r="403" spans="3:6">
      <c r="C403" s="45"/>
      <c r="D403" t="str">
        <f t="shared" si="9"/>
        <v>_</v>
      </c>
      <c r="F403" t="str">
        <f t="shared" si="8"/>
        <v>_</v>
      </c>
    </row>
    <row r="404" spans="3:6">
      <c r="C404" s="45"/>
      <c r="D404" t="str">
        <f t="shared" si="9"/>
        <v>_</v>
      </c>
      <c r="F404" t="str">
        <f t="shared" si="8"/>
        <v>_</v>
      </c>
    </row>
    <row r="405" spans="3:6">
      <c r="C405" s="45"/>
      <c r="D405" t="str">
        <f t="shared" si="9"/>
        <v>_</v>
      </c>
      <c r="F405" t="str">
        <f t="shared" si="8"/>
        <v>_</v>
      </c>
    </row>
    <row r="406" spans="3:6">
      <c r="C406" s="45"/>
      <c r="D406" t="str">
        <f t="shared" si="9"/>
        <v>_</v>
      </c>
      <c r="F406" t="str">
        <f t="shared" si="8"/>
        <v>_</v>
      </c>
    </row>
    <row r="407" spans="3:6">
      <c r="C407" s="45"/>
      <c r="D407" t="str">
        <f t="shared" si="9"/>
        <v>_</v>
      </c>
      <c r="F407" t="str">
        <f t="shared" si="8"/>
        <v>_</v>
      </c>
    </row>
    <row r="408" spans="3:6">
      <c r="C408" s="45"/>
      <c r="D408" t="str">
        <f t="shared" si="9"/>
        <v>_</v>
      </c>
      <c r="F408" t="str">
        <f t="shared" si="8"/>
        <v>_</v>
      </c>
    </row>
    <row r="409" spans="3:6">
      <c r="C409" s="45"/>
      <c r="D409" t="str">
        <f t="shared" si="9"/>
        <v>_</v>
      </c>
      <c r="F409" t="str">
        <f t="shared" si="8"/>
        <v>_</v>
      </c>
    </row>
    <row r="410" spans="3:6">
      <c r="C410" s="45"/>
      <c r="D410" t="str">
        <f t="shared" si="9"/>
        <v>_</v>
      </c>
      <c r="F410" t="str">
        <f t="shared" si="8"/>
        <v>_</v>
      </c>
    </row>
    <row r="411" spans="3:6">
      <c r="C411" s="45"/>
      <c r="D411" t="str">
        <f t="shared" si="9"/>
        <v>_</v>
      </c>
      <c r="F411" t="str">
        <f t="shared" si="8"/>
        <v>_</v>
      </c>
    </row>
    <row r="412" spans="3:6">
      <c r="C412" s="45"/>
      <c r="D412" t="str">
        <f t="shared" si="9"/>
        <v>_</v>
      </c>
      <c r="F412" t="str">
        <f t="shared" si="8"/>
        <v>_</v>
      </c>
    </row>
    <row r="413" spans="3:6">
      <c r="C413" s="45"/>
      <c r="D413" t="str">
        <f t="shared" si="9"/>
        <v>_</v>
      </c>
      <c r="F413" t="str">
        <f t="shared" si="8"/>
        <v>_</v>
      </c>
    </row>
    <row r="414" spans="3:6">
      <c r="C414" s="45"/>
      <c r="D414" t="str">
        <f t="shared" si="9"/>
        <v>_</v>
      </c>
      <c r="F414" t="str">
        <f t="shared" si="8"/>
        <v>_</v>
      </c>
    </row>
    <row r="415" spans="3:6">
      <c r="C415" s="45"/>
      <c r="D415" t="str">
        <f t="shared" si="9"/>
        <v>_</v>
      </c>
      <c r="F415" t="str">
        <f t="shared" si="8"/>
        <v>_</v>
      </c>
    </row>
    <row r="416" spans="3:6">
      <c r="C416" s="45"/>
      <c r="D416" t="str">
        <f t="shared" si="9"/>
        <v>_</v>
      </c>
      <c r="F416" t="str">
        <f t="shared" si="8"/>
        <v>_</v>
      </c>
    </row>
    <row r="417" spans="3:6">
      <c r="C417" s="45"/>
      <c r="D417" t="str">
        <f t="shared" si="9"/>
        <v>_</v>
      </c>
      <c r="F417" t="str">
        <f t="shared" si="8"/>
        <v>_</v>
      </c>
    </row>
    <row r="418" spans="3:6">
      <c r="C418" s="45"/>
      <c r="D418" t="str">
        <f t="shared" si="9"/>
        <v>_</v>
      </c>
      <c r="F418" t="str">
        <f t="shared" si="8"/>
        <v>_</v>
      </c>
    </row>
    <row r="419" spans="3:6">
      <c r="C419" s="45"/>
      <c r="D419" t="str">
        <f t="shared" si="9"/>
        <v>_</v>
      </c>
      <c r="F419" t="str">
        <f t="shared" si="8"/>
        <v>_</v>
      </c>
    </row>
    <row r="420" spans="3:6">
      <c r="C420" s="45"/>
      <c r="D420" t="str">
        <f t="shared" si="9"/>
        <v>_</v>
      </c>
      <c r="F420" t="str">
        <f t="shared" si="8"/>
        <v>_</v>
      </c>
    </row>
    <row r="421" spans="3:6">
      <c r="C421" s="45"/>
      <c r="D421" t="str">
        <f t="shared" si="9"/>
        <v>_</v>
      </c>
      <c r="F421" t="str">
        <f t="shared" si="8"/>
        <v>_</v>
      </c>
    </row>
    <row r="422" spans="3:6">
      <c r="C422" s="45"/>
      <c r="D422" t="str">
        <f t="shared" si="9"/>
        <v>_</v>
      </c>
      <c r="F422" t="str">
        <f t="shared" si="8"/>
        <v>_</v>
      </c>
    </row>
    <row r="423" spans="3:6">
      <c r="C423" s="45"/>
      <c r="D423" t="str">
        <f t="shared" si="9"/>
        <v>_</v>
      </c>
      <c r="F423" t="str">
        <f t="shared" si="8"/>
        <v>_</v>
      </c>
    </row>
    <row r="424" spans="3:6">
      <c r="C424" s="45"/>
      <c r="D424" t="str">
        <f t="shared" si="9"/>
        <v>_</v>
      </c>
      <c r="F424" t="str">
        <f t="shared" si="8"/>
        <v>_</v>
      </c>
    </row>
    <row r="425" spans="3:6">
      <c r="C425" s="45"/>
      <c r="D425" t="str">
        <f t="shared" si="9"/>
        <v>_</v>
      </c>
      <c r="F425" t="str">
        <f t="shared" si="8"/>
        <v>_</v>
      </c>
    </row>
    <row r="426" spans="3:6">
      <c r="C426" s="45"/>
      <c r="D426" t="str">
        <f t="shared" si="9"/>
        <v>_</v>
      </c>
      <c r="F426" t="str">
        <f t="shared" si="8"/>
        <v>_</v>
      </c>
    </row>
    <row r="427" spans="3:6">
      <c r="C427" s="45"/>
      <c r="D427" t="str">
        <f t="shared" si="9"/>
        <v>_</v>
      </c>
      <c r="F427" t="str">
        <f t="shared" si="8"/>
        <v>_</v>
      </c>
    </row>
    <row r="428" spans="3:6">
      <c r="C428" s="45"/>
      <c r="D428" t="str">
        <f t="shared" si="9"/>
        <v>_</v>
      </c>
      <c r="F428" t="str">
        <f t="shared" si="8"/>
        <v>_</v>
      </c>
    </row>
    <row r="429" spans="3:6">
      <c r="C429" s="45"/>
      <c r="D429" t="str">
        <f t="shared" si="9"/>
        <v>_</v>
      </c>
      <c r="F429" t="str">
        <f t="shared" si="8"/>
        <v>_</v>
      </c>
    </row>
    <row r="430" spans="3:6">
      <c r="C430" s="45"/>
      <c r="D430" t="str">
        <f t="shared" si="9"/>
        <v>_</v>
      </c>
      <c r="F430" t="str">
        <f t="shared" si="8"/>
        <v>_</v>
      </c>
    </row>
    <row r="431" spans="3:6">
      <c r="C431" s="45"/>
      <c r="D431" t="str">
        <f t="shared" si="9"/>
        <v>_</v>
      </c>
      <c r="F431" t="str">
        <f t="shared" si="8"/>
        <v>_</v>
      </c>
    </row>
    <row r="432" spans="3:6">
      <c r="C432" s="45"/>
      <c r="D432" t="str">
        <f t="shared" si="9"/>
        <v>_</v>
      </c>
      <c r="F432" t="str">
        <f t="shared" si="8"/>
        <v>_</v>
      </c>
    </row>
    <row r="433" spans="3:6">
      <c r="C433" s="45"/>
      <c r="D433" t="str">
        <f t="shared" si="9"/>
        <v>_</v>
      </c>
      <c r="F433" t="str">
        <f t="shared" si="8"/>
        <v>_</v>
      </c>
    </row>
    <row r="434" spans="3:6">
      <c r="C434" s="45"/>
      <c r="D434" t="str">
        <f t="shared" si="9"/>
        <v>_</v>
      </c>
      <c r="F434" t="str">
        <f t="shared" si="8"/>
        <v>_</v>
      </c>
    </row>
    <row r="435" spans="3:6">
      <c r="C435" s="45"/>
      <c r="D435" t="str">
        <f t="shared" si="9"/>
        <v>_</v>
      </c>
      <c r="F435" t="str">
        <f t="shared" si="8"/>
        <v>_</v>
      </c>
    </row>
    <row r="436" spans="3:6">
      <c r="C436" s="45"/>
      <c r="D436" t="str">
        <f t="shared" si="9"/>
        <v>_</v>
      </c>
      <c r="F436" t="str">
        <f t="shared" si="8"/>
        <v>_</v>
      </c>
    </row>
    <row r="437" spans="3:6">
      <c r="C437" s="45"/>
      <c r="D437" t="str">
        <f t="shared" si="9"/>
        <v>_</v>
      </c>
      <c r="F437" t="str">
        <f t="shared" si="8"/>
        <v>_</v>
      </c>
    </row>
    <row r="438" spans="3:6">
      <c r="C438" s="45"/>
      <c r="D438" t="str">
        <f t="shared" si="9"/>
        <v>_</v>
      </c>
      <c r="F438" t="str">
        <f t="shared" si="8"/>
        <v>_</v>
      </c>
    </row>
    <row r="439" spans="3:6">
      <c r="C439" s="45"/>
      <c r="D439" t="str">
        <f t="shared" si="9"/>
        <v>_</v>
      </c>
      <c r="F439" t="str">
        <f t="shared" si="8"/>
        <v>_</v>
      </c>
    </row>
    <row r="440" spans="3:6">
      <c r="C440" s="45"/>
      <c r="D440" t="str">
        <f t="shared" si="9"/>
        <v>_</v>
      </c>
      <c r="F440" t="str">
        <f t="shared" si="8"/>
        <v>_</v>
      </c>
    </row>
    <row r="441" spans="3:6">
      <c r="C441" s="45"/>
      <c r="D441" t="str">
        <f t="shared" si="9"/>
        <v>_</v>
      </c>
      <c r="F441" t="str">
        <f t="shared" si="8"/>
        <v>_</v>
      </c>
    </row>
    <row r="442" spans="3:6">
      <c r="C442" s="45"/>
      <c r="D442" t="str">
        <f t="shared" si="9"/>
        <v>_</v>
      </c>
      <c r="F442" t="str">
        <f t="shared" si="8"/>
        <v>_</v>
      </c>
    </row>
    <row r="443" spans="3:6">
      <c r="C443" s="45"/>
      <c r="D443" t="str">
        <f t="shared" si="9"/>
        <v>_</v>
      </c>
      <c r="F443" t="str">
        <f t="shared" si="8"/>
        <v>_</v>
      </c>
    </row>
    <row r="444" spans="3:6">
      <c r="C444" s="45"/>
      <c r="D444" t="str">
        <f t="shared" si="9"/>
        <v>_</v>
      </c>
      <c r="F444" t="str">
        <f t="shared" si="8"/>
        <v>_</v>
      </c>
    </row>
    <row r="445" spans="3:6">
      <c r="C445" s="45"/>
      <c r="D445" t="str">
        <f t="shared" si="9"/>
        <v>_</v>
      </c>
      <c r="F445" t="str">
        <f t="shared" ref="F445:F508" si="10">_xlfn.CONCAT(A445,"_",B445)</f>
        <v>_</v>
      </c>
    </row>
    <row r="446" spans="3:6">
      <c r="C446" s="45"/>
      <c r="D446" t="str">
        <f t="shared" si="9"/>
        <v>_</v>
      </c>
      <c r="F446" t="str">
        <f t="shared" si="10"/>
        <v>_</v>
      </c>
    </row>
    <row r="447" spans="3:6">
      <c r="C447" s="45"/>
      <c r="D447" t="str">
        <f t="shared" si="9"/>
        <v>_</v>
      </c>
      <c r="F447" t="str">
        <f t="shared" si="10"/>
        <v>_</v>
      </c>
    </row>
    <row r="448" spans="3:6">
      <c r="C448" s="45"/>
      <c r="D448" t="str">
        <f t="shared" si="9"/>
        <v>_</v>
      </c>
      <c r="F448" t="str">
        <f t="shared" si="10"/>
        <v>_</v>
      </c>
    </row>
    <row r="449" spans="3:6">
      <c r="C449" s="45"/>
      <c r="D449" t="str">
        <f t="shared" si="9"/>
        <v>_</v>
      </c>
      <c r="F449" t="str">
        <f t="shared" si="10"/>
        <v>_</v>
      </c>
    </row>
    <row r="450" spans="3:6">
      <c r="C450" s="45"/>
      <c r="D450" t="str">
        <f t="shared" ref="D450:D513" si="11">_xlfn.CONCAT(A450,"_",B450)</f>
        <v>_</v>
      </c>
      <c r="F450" t="str">
        <f t="shared" si="10"/>
        <v>_</v>
      </c>
    </row>
    <row r="451" spans="3:6">
      <c r="C451" s="45"/>
      <c r="D451" t="str">
        <f t="shared" si="11"/>
        <v>_</v>
      </c>
      <c r="F451" t="str">
        <f t="shared" si="10"/>
        <v>_</v>
      </c>
    </row>
    <row r="452" spans="3:6">
      <c r="C452" s="45"/>
      <c r="D452" t="str">
        <f t="shared" si="11"/>
        <v>_</v>
      </c>
      <c r="F452" t="str">
        <f t="shared" si="10"/>
        <v>_</v>
      </c>
    </row>
    <row r="453" spans="3:6">
      <c r="C453" s="45"/>
      <c r="D453" t="str">
        <f t="shared" si="11"/>
        <v>_</v>
      </c>
      <c r="F453" t="str">
        <f t="shared" si="10"/>
        <v>_</v>
      </c>
    </row>
    <row r="454" spans="3:6">
      <c r="C454" s="45"/>
      <c r="D454" t="str">
        <f t="shared" si="11"/>
        <v>_</v>
      </c>
      <c r="F454" t="str">
        <f t="shared" si="10"/>
        <v>_</v>
      </c>
    </row>
    <row r="455" spans="3:6">
      <c r="C455" s="45"/>
      <c r="D455" t="str">
        <f t="shared" si="11"/>
        <v>_</v>
      </c>
      <c r="F455" t="str">
        <f t="shared" si="10"/>
        <v>_</v>
      </c>
    </row>
    <row r="456" spans="3:6">
      <c r="C456" s="45"/>
      <c r="D456" t="str">
        <f t="shared" si="11"/>
        <v>_</v>
      </c>
      <c r="F456" t="str">
        <f t="shared" si="10"/>
        <v>_</v>
      </c>
    </row>
    <row r="457" spans="3:6">
      <c r="C457" s="45"/>
      <c r="D457" t="str">
        <f t="shared" si="11"/>
        <v>_</v>
      </c>
      <c r="F457" t="str">
        <f t="shared" si="10"/>
        <v>_</v>
      </c>
    </row>
    <row r="458" spans="3:6">
      <c r="C458" s="45"/>
      <c r="D458" t="str">
        <f t="shared" si="11"/>
        <v>_</v>
      </c>
      <c r="F458" t="str">
        <f t="shared" si="10"/>
        <v>_</v>
      </c>
    </row>
    <row r="459" spans="3:6">
      <c r="C459" s="45"/>
      <c r="D459" t="str">
        <f t="shared" si="11"/>
        <v>_</v>
      </c>
      <c r="F459" t="str">
        <f t="shared" si="10"/>
        <v>_</v>
      </c>
    </row>
    <row r="460" spans="3:6">
      <c r="C460" s="45"/>
      <c r="D460" t="str">
        <f t="shared" si="11"/>
        <v>_</v>
      </c>
      <c r="F460" t="str">
        <f t="shared" si="10"/>
        <v>_</v>
      </c>
    </row>
    <row r="461" spans="3:6">
      <c r="C461" s="45"/>
      <c r="D461" t="str">
        <f t="shared" si="11"/>
        <v>_</v>
      </c>
      <c r="F461" t="str">
        <f t="shared" si="10"/>
        <v>_</v>
      </c>
    </row>
    <row r="462" spans="3:6">
      <c r="C462" s="45"/>
      <c r="D462" t="str">
        <f t="shared" si="11"/>
        <v>_</v>
      </c>
      <c r="F462" t="str">
        <f t="shared" si="10"/>
        <v>_</v>
      </c>
    </row>
    <row r="463" spans="3:6">
      <c r="C463" s="45"/>
      <c r="D463" t="str">
        <f t="shared" si="11"/>
        <v>_</v>
      </c>
      <c r="F463" t="str">
        <f t="shared" si="10"/>
        <v>_</v>
      </c>
    </row>
    <row r="464" spans="3:6">
      <c r="C464" s="45"/>
      <c r="D464" t="str">
        <f t="shared" si="11"/>
        <v>_</v>
      </c>
      <c r="F464" t="str">
        <f t="shared" si="10"/>
        <v>_</v>
      </c>
    </row>
    <row r="465" spans="3:6">
      <c r="C465" s="45"/>
      <c r="D465" t="str">
        <f t="shared" si="11"/>
        <v>_</v>
      </c>
      <c r="F465" t="str">
        <f t="shared" si="10"/>
        <v>_</v>
      </c>
    </row>
    <row r="466" spans="3:6">
      <c r="C466" s="45"/>
      <c r="D466" t="str">
        <f t="shared" si="11"/>
        <v>_</v>
      </c>
      <c r="F466" t="str">
        <f t="shared" si="10"/>
        <v>_</v>
      </c>
    </row>
    <row r="467" spans="3:6">
      <c r="C467" s="45"/>
      <c r="D467" t="str">
        <f t="shared" si="11"/>
        <v>_</v>
      </c>
      <c r="F467" t="str">
        <f t="shared" si="10"/>
        <v>_</v>
      </c>
    </row>
    <row r="468" spans="3:6">
      <c r="C468" s="45"/>
      <c r="D468" t="str">
        <f t="shared" si="11"/>
        <v>_</v>
      </c>
      <c r="F468" t="str">
        <f t="shared" si="10"/>
        <v>_</v>
      </c>
    </row>
    <row r="469" spans="3:6">
      <c r="C469" s="45"/>
      <c r="D469" t="str">
        <f t="shared" si="11"/>
        <v>_</v>
      </c>
      <c r="F469" t="str">
        <f t="shared" si="10"/>
        <v>_</v>
      </c>
    </row>
    <row r="470" spans="3:6">
      <c r="C470" s="45"/>
      <c r="D470" t="str">
        <f t="shared" si="11"/>
        <v>_</v>
      </c>
      <c r="F470" t="str">
        <f t="shared" si="10"/>
        <v>_</v>
      </c>
    </row>
    <row r="471" spans="3:6">
      <c r="C471" s="45"/>
      <c r="D471" t="str">
        <f t="shared" si="11"/>
        <v>_</v>
      </c>
      <c r="F471" t="str">
        <f t="shared" si="10"/>
        <v>_</v>
      </c>
    </row>
    <row r="472" spans="3:6">
      <c r="C472" s="45"/>
      <c r="D472" t="str">
        <f t="shared" si="11"/>
        <v>_</v>
      </c>
      <c r="F472" t="str">
        <f t="shared" si="10"/>
        <v>_</v>
      </c>
    </row>
    <row r="473" spans="3:6">
      <c r="C473" s="45"/>
      <c r="D473" t="str">
        <f t="shared" si="11"/>
        <v>_</v>
      </c>
      <c r="F473" t="str">
        <f t="shared" si="10"/>
        <v>_</v>
      </c>
    </row>
    <row r="474" spans="3:6">
      <c r="C474" s="45"/>
      <c r="D474" t="str">
        <f t="shared" si="11"/>
        <v>_</v>
      </c>
      <c r="F474" t="str">
        <f t="shared" si="10"/>
        <v>_</v>
      </c>
    </row>
    <row r="475" spans="3:6">
      <c r="C475" s="45"/>
      <c r="D475" t="str">
        <f t="shared" si="11"/>
        <v>_</v>
      </c>
      <c r="F475" t="str">
        <f t="shared" si="10"/>
        <v>_</v>
      </c>
    </row>
    <row r="476" spans="3:6">
      <c r="C476" s="45"/>
      <c r="D476" t="str">
        <f t="shared" si="11"/>
        <v>_</v>
      </c>
      <c r="F476" t="str">
        <f t="shared" si="10"/>
        <v>_</v>
      </c>
    </row>
    <row r="477" spans="3:6">
      <c r="C477" s="45"/>
      <c r="D477" t="str">
        <f t="shared" si="11"/>
        <v>_</v>
      </c>
      <c r="F477" t="str">
        <f t="shared" si="10"/>
        <v>_</v>
      </c>
    </row>
    <row r="478" spans="3:6">
      <c r="C478" s="45"/>
      <c r="D478" t="str">
        <f t="shared" si="11"/>
        <v>_</v>
      </c>
      <c r="F478" t="str">
        <f t="shared" si="10"/>
        <v>_</v>
      </c>
    </row>
    <row r="479" spans="3:6">
      <c r="C479" s="45"/>
      <c r="D479" t="str">
        <f t="shared" si="11"/>
        <v>_</v>
      </c>
      <c r="F479" t="str">
        <f t="shared" si="10"/>
        <v>_</v>
      </c>
    </row>
    <row r="480" spans="3:6">
      <c r="C480" s="45"/>
      <c r="D480" t="str">
        <f t="shared" si="11"/>
        <v>_</v>
      </c>
      <c r="F480" t="str">
        <f t="shared" si="10"/>
        <v>_</v>
      </c>
    </row>
    <row r="481" spans="3:6">
      <c r="C481" s="45"/>
      <c r="D481" t="str">
        <f t="shared" si="11"/>
        <v>_</v>
      </c>
      <c r="F481" t="str">
        <f t="shared" si="10"/>
        <v>_</v>
      </c>
    </row>
    <row r="482" spans="3:6">
      <c r="C482" s="45"/>
      <c r="D482" t="str">
        <f t="shared" si="11"/>
        <v>_</v>
      </c>
      <c r="F482" t="str">
        <f t="shared" si="10"/>
        <v>_</v>
      </c>
    </row>
    <row r="483" spans="3:6">
      <c r="C483" s="45"/>
      <c r="D483" t="str">
        <f t="shared" si="11"/>
        <v>_</v>
      </c>
      <c r="F483" t="str">
        <f t="shared" si="10"/>
        <v>_</v>
      </c>
    </row>
    <row r="484" spans="3:6">
      <c r="C484" s="45"/>
      <c r="D484" t="str">
        <f t="shared" si="11"/>
        <v>_</v>
      </c>
      <c r="F484" t="str">
        <f t="shared" si="10"/>
        <v>_</v>
      </c>
    </row>
    <row r="485" spans="3:6">
      <c r="C485" s="45"/>
      <c r="D485" t="str">
        <f t="shared" si="11"/>
        <v>_</v>
      </c>
      <c r="F485" t="str">
        <f t="shared" si="10"/>
        <v>_</v>
      </c>
    </row>
    <row r="486" spans="3:6">
      <c r="C486" s="45"/>
      <c r="D486" t="str">
        <f t="shared" si="11"/>
        <v>_</v>
      </c>
      <c r="F486" t="str">
        <f t="shared" si="10"/>
        <v>_</v>
      </c>
    </row>
    <row r="487" spans="3:6">
      <c r="C487" s="45"/>
      <c r="D487" t="str">
        <f t="shared" si="11"/>
        <v>_</v>
      </c>
      <c r="F487" t="str">
        <f t="shared" si="10"/>
        <v>_</v>
      </c>
    </row>
    <row r="488" spans="3:6">
      <c r="C488" s="45"/>
      <c r="D488" t="str">
        <f t="shared" si="11"/>
        <v>_</v>
      </c>
      <c r="F488" t="str">
        <f t="shared" si="10"/>
        <v>_</v>
      </c>
    </row>
    <row r="489" spans="3:6">
      <c r="C489" s="45"/>
      <c r="D489" t="str">
        <f t="shared" si="11"/>
        <v>_</v>
      </c>
      <c r="F489" t="str">
        <f t="shared" si="10"/>
        <v>_</v>
      </c>
    </row>
    <row r="490" spans="3:6">
      <c r="C490" s="45"/>
      <c r="D490" t="str">
        <f t="shared" si="11"/>
        <v>_</v>
      </c>
      <c r="F490" t="str">
        <f t="shared" si="10"/>
        <v>_</v>
      </c>
    </row>
    <row r="491" spans="3:6">
      <c r="C491" s="45"/>
      <c r="D491" t="str">
        <f t="shared" si="11"/>
        <v>_</v>
      </c>
      <c r="F491" t="str">
        <f t="shared" si="10"/>
        <v>_</v>
      </c>
    </row>
    <row r="492" spans="3:6">
      <c r="C492" s="45"/>
      <c r="D492" t="str">
        <f t="shared" si="11"/>
        <v>_</v>
      </c>
      <c r="F492" t="str">
        <f t="shared" si="10"/>
        <v>_</v>
      </c>
    </row>
    <row r="493" spans="3:6">
      <c r="C493" s="45"/>
      <c r="D493" t="str">
        <f t="shared" si="11"/>
        <v>_</v>
      </c>
      <c r="F493" t="str">
        <f t="shared" si="10"/>
        <v>_</v>
      </c>
    </row>
    <row r="494" spans="3:6">
      <c r="C494" s="45"/>
      <c r="D494" t="str">
        <f t="shared" si="11"/>
        <v>_</v>
      </c>
      <c r="F494" t="str">
        <f t="shared" si="10"/>
        <v>_</v>
      </c>
    </row>
    <row r="495" spans="3:6">
      <c r="C495" s="45"/>
      <c r="D495" t="str">
        <f t="shared" si="11"/>
        <v>_</v>
      </c>
      <c r="F495" t="str">
        <f t="shared" si="10"/>
        <v>_</v>
      </c>
    </row>
    <row r="496" spans="3:6">
      <c r="C496" s="45"/>
      <c r="D496" t="str">
        <f t="shared" si="11"/>
        <v>_</v>
      </c>
      <c r="F496" t="str">
        <f t="shared" si="10"/>
        <v>_</v>
      </c>
    </row>
    <row r="497" spans="3:6">
      <c r="C497" s="45"/>
      <c r="D497" t="str">
        <f t="shared" si="11"/>
        <v>_</v>
      </c>
      <c r="F497" t="str">
        <f t="shared" si="10"/>
        <v>_</v>
      </c>
    </row>
    <row r="498" spans="3:6">
      <c r="C498" s="45"/>
      <c r="D498" t="str">
        <f t="shared" si="11"/>
        <v>_</v>
      </c>
      <c r="F498" t="str">
        <f t="shared" si="10"/>
        <v>_</v>
      </c>
    </row>
    <row r="499" spans="3:6">
      <c r="C499" s="45"/>
      <c r="D499" t="str">
        <f t="shared" si="11"/>
        <v>_</v>
      </c>
      <c r="F499" t="str">
        <f t="shared" si="10"/>
        <v>_</v>
      </c>
    </row>
    <row r="500" spans="3:6">
      <c r="C500" s="45"/>
      <c r="D500" t="str">
        <f t="shared" si="11"/>
        <v>_</v>
      </c>
      <c r="F500" t="str">
        <f t="shared" si="10"/>
        <v>_</v>
      </c>
    </row>
    <row r="501" spans="3:6">
      <c r="C501" s="45"/>
      <c r="D501" t="str">
        <f t="shared" si="11"/>
        <v>_</v>
      </c>
      <c r="F501" t="str">
        <f t="shared" si="10"/>
        <v>_</v>
      </c>
    </row>
    <row r="502" spans="3:6">
      <c r="C502" s="45"/>
      <c r="D502" t="str">
        <f t="shared" si="11"/>
        <v>_</v>
      </c>
      <c r="F502" t="str">
        <f t="shared" si="10"/>
        <v>_</v>
      </c>
    </row>
    <row r="503" spans="3:6">
      <c r="C503" s="45"/>
      <c r="D503" t="str">
        <f t="shared" si="11"/>
        <v>_</v>
      </c>
      <c r="F503" t="str">
        <f t="shared" si="10"/>
        <v>_</v>
      </c>
    </row>
    <row r="504" spans="3:6">
      <c r="C504" s="45"/>
      <c r="D504" t="str">
        <f t="shared" si="11"/>
        <v>_</v>
      </c>
      <c r="F504" t="str">
        <f t="shared" si="10"/>
        <v>_</v>
      </c>
    </row>
    <row r="505" spans="3:6">
      <c r="C505" s="45"/>
      <c r="D505" t="str">
        <f t="shared" si="11"/>
        <v>_</v>
      </c>
      <c r="F505" t="str">
        <f t="shared" si="10"/>
        <v>_</v>
      </c>
    </row>
    <row r="506" spans="3:6">
      <c r="C506" s="45"/>
      <c r="D506" t="str">
        <f t="shared" si="11"/>
        <v>_</v>
      </c>
      <c r="F506" t="str">
        <f t="shared" si="10"/>
        <v>_</v>
      </c>
    </row>
    <row r="507" spans="3:6">
      <c r="C507" s="45"/>
      <c r="D507" t="str">
        <f t="shared" si="11"/>
        <v>_</v>
      </c>
      <c r="F507" t="str">
        <f t="shared" si="10"/>
        <v>_</v>
      </c>
    </row>
    <row r="508" spans="3:6">
      <c r="C508" s="45"/>
      <c r="D508" t="str">
        <f t="shared" si="11"/>
        <v>_</v>
      </c>
      <c r="F508" t="str">
        <f t="shared" si="10"/>
        <v>_</v>
      </c>
    </row>
    <row r="509" spans="3:6">
      <c r="C509" s="45"/>
      <c r="D509" t="str">
        <f t="shared" si="11"/>
        <v>_</v>
      </c>
      <c r="F509" t="str">
        <f t="shared" ref="F509:F572" si="12">_xlfn.CONCAT(A509,"_",B509)</f>
        <v>_</v>
      </c>
    </row>
    <row r="510" spans="3:6">
      <c r="C510" s="45"/>
      <c r="D510" t="str">
        <f t="shared" si="11"/>
        <v>_</v>
      </c>
      <c r="F510" t="str">
        <f t="shared" si="12"/>
        <v>_</v>
      </c>
    </row>
    <row r="511" spans="3:6">
      <c r="C511" s="45"/>
      <c r="D511" t="str">
        <f t="shared" si="11"/>
        <v>_</v>
      </c>
      <c r="F511" t="str">
        <f t="shared" si="12"/>
        <v>_</v>
      </c>
    </row>
    <row r="512" spans="3:6">
      <c r="C512" s="45"/>
      <c r="D512" t="str">
        <f t="shared" si="11"/>
        <v>_</v>
      </c>
      <c r="F512" t="str">
        <f t="shared" si="12"/>
        <v>_</v>
      </c>
    </row>
    <row r="513" spans="3:6">
      <c r="C513" s="45"/>
      <c r="D513" t="str">
        <f t="shared" si="11"/>
        <v>_</v>
      </c>
      <c r="F513" t="str">
        <f t="shared" si="12"/>
        <v>_</v>
      </c>
    </row>
    <row r="514" spans="3:6">
      <c r="C514" s="45"/>
      <c r="D514" t="str">
        <f t="shared" ref="D514:D577" si="13">_xlfn.CONCAT(A514,"_",B514)</f>
        <v>_</v>
      </c>
      <c r="F514" t="str">
        <f t="shared" si="12"/>
        <v>_</v>
      </c>
    </row>
    <row r="515" spans="3:6">
      <c r="C515" s="45"/>
      <c r="D515" t="str">
        <f t="shared" si="13"/>
        <v>_</v>
      </c>
      <c r="F515" t="str">
        <f t="shared" si="12"/>
        <v>_</v>
      </c>
    </row>
    <row r="516" spans="3:6">
      <c r="C516" s="45"/>
      <c r="D516" t="str">
        <f t="shared" si="13"/>
        <v>_</v>
      </c>
      <c r="F516" t="str">
        <f t="shared" si="12"/>
        <v>_</v>
      </c>
    </row>
    <row r="517" spans="3:6">
      <c r="C517" s="45"/>
      <c r="D517" t="str">
        <f t="shared" si="13"/>
        <v>_</v>
      </c>
      <c r="F517" t="str">
        <f t="shared" si="12"/>
        <v>_</v>
      </c>
    </row>
    <row r="518" spans="3:6">
      <c r="C518" s="45"/>
      <c r="D518" t="str">
        <f t="shared" si="13"/>
        <v>_</v>
      </c>
      <c r="F518" t="str">
        <f t="shared" si="12"/>
        <v>_</v>
      </c>
    </row>
    <row r="519" spans="3:6">
      <c r="C519" s="45"/>
      <c r="D519" t="str">
        <f t="shared" si="13"/>
        <v>_</v>
      </c>
      <c r="F519" t="str">
        <f t="shared" si="12"/>
        <v>_</v>
      </c>
    </row>
    <row r="520" spans="3:6">
      <c r="C520" s="45"/>
      <c r="D520" t="str">
        <f t="shared" si="13"/>
        <v>_</v>
      </c>
      <c r="F520" t="str">
        <f t="shared" si="12"/>
        <v>_</v>
      </c>
    </row>
    <row r="521" spans="3:6">
      <c r="C521" s="45"/>
      <c r="D521" t="str">
        <f t="shared" si="13"/>
        <v>_</v>
      </c>
      <c r="F521" t="str">
        <f t="shared" si="12"/>
        <v>_</v>
      </c>
    </row>
    <row r="522" spans="3:6">
      <c r="C522" s="45"/>
      <c r="D522" t="str">
        <f t="shared" si="13"/>
        <v>_</v>
      </c>
      <c r="F522" t="str">
        <f t="shared" si="12"/>
        <v>_</v>
      </c>
    </row>
    <row r="523" spans="3:6">
      <c r="C523" s="45"/>
      <c r="D523" t="str">
        <f t="shared" si="13"/>
        <v>_</v>
      </c>
      <c r="F523" t="str">
        <f t="shared" si="12"/>
        <v>_</v>
      </c>
    </row>
    <row r="524" spans="3:6">
      <c r="C524" s="45"/>
      <c r="D524" t="str">
        <f t="shared" si="13"/>
        <v>_</v>
      </c>
      <c r="F524" t="str">
        <f t="shared" si="12"/>
        <v>_</v>
      </c>
    </row>
    <row r="525" spans="3:6">
      <c r="C525" s="45"/>
      <c r="D525" t="str">
        <f t="shared" si="13"/>
        <v>_</v>
      </c>
      <c r="F525" t="str">
        <f t="shared" si="12"/>
        <v>_</v>
      </c>
    </row>
    <row r="526" spans="3:6">
      <c r="C526" s="45"/>
      <c r="D526" t="str">
        <f t="shared" si="13"/>
        <v>_</v>
      </c>
      <c r="F526" t="str">
        <f t="shared" si="12"/>
        <v>_</v>
      </c>
    </row>
    <row r="527" spans="3:6">
      <c r="C527" s="45"/>
      <c r="D527" t="str">
        <f t="shared" si="13"/>
        <v>_</v>
      </c>
      <c r="F527" t="str">
        <f t="shared" si="12"/>
        <v>_</v>
      </c>
    </row>
    <row r="528" spans="3:6">
      <c r="C528" s="45"/>
      <c r="D528" t="str">
        <f t="shared" si="13"/>
        <v>_</v>
      </c>
      <c r="F528" t="str">
        <f t="shared" si="12"/>
        <v>_</v>
      </c>
    </row>
    <row r="529" spans="3:6">
      <c r="C529" s="45"/>
      <c r="D529" t="str">
        <f t="shared" si="13"/>
        <v>_</v>
      </c>
      <c r="F529" t="str">
        <f t="shared" si="12"/>
        <v>_</v>
      </c>
    </row>
    <row r="530" spans="3:6">
      <c r="C530" s="45"/>
      <c r="D530" t="str">
        <f t="shared" si="13"/>
        <v>_</v>
      </c>
      <c r="F530" t="str">
        <f t="shared" si="12"/>
        <v>_</v>
      </c>
    </row>
    <row r="531" spans="3:6">
      <c r="C531" s="45"/>
      <c r="D531" t="str">
        <f t="shared" si="13"/>
        <v>_</v>
      </c>
      <c r="F531" t="str">
        <f t="shared" si="12"/>
        <v>_</v>
      </c>
    </row>
    <row r="532" spans="3:6">
      <c r="C532" s="45"/>
      <c r="D532" t="str">
        <f t="shared" si="13"/>
        <v>_</v>
      </c>
      <c r="F532" t="str">
        <f t="shared" si="12"/>
        <v>_</v>
      </c>
    </row>
    <row r="533" spans="3:6">
      <c r="C533" s="45"/>
      <c r="D533" t="str">
        <f t="shared" si="13"/>
        <v>_</v>
      </c>
      <c r="F533" t="str">
        <f t="shared" si="12"/>
        <v>_</v>
      </c>
    </row>
    <row r="534" spans="3:6">
      <c r="C534" s="45"/>
      <c r="D534" t="str">
        <f t="shared" si="13"/>
        <v>_</v>
      </c>
      <c r="F534" t="str">
        <f t="shared" si="12"/>
        <v>_</v>
      </c>
    </row>
    <row r="535" spans="3:6">
      <c r="C535" s="45"/>
      <c r="D535" t="str">
        <f t="shared" si="13"/>
        <v>_</v>
      </c>
      <c r="F535" t="str">
        <f t="shared" si="12"/>
        <v>_</v>
      </c>
    </row>
    <row r="536" spans="3:6">
      <c r="C536" s="45"/>
      <c r="D536" t="str">
        <f t="shared" si="13"/>
        <v>_</v>
      </c>
      <c r="F536" t="str">
        <f t="shared" si="12"/>
        <v>_</v>
      </c>
    </row>
    <row r="537" spans="3:6">
      <c r="C537" s="45"/>
      <c r="D537" t="str">
        <f t="shared" si="13"/>
        <v>_</v>
      </c>
      <c r="F537" t="str">
        <f t="shared" si="12"/>
        <v>_</v>
      </c>
    </row>
    <row r="538" spans="3:6">
      <c r="C538" s="45"/>
      <c r="D538" t="str">
        <f t="shared" si="13"/>
        <v>_</v>
      </c>
      <c r="F538" t="str">
        <f t="shared" si="12"/>
        <v>_</v>
      </c>
    </row>
    <row r="539" spans="3:6">
      <c r="C539" s="45"/>
      <c r="D539" t="str">
        <f t="shared" si="13"/>
        <v>_</v>
      </c>
      <c r="F539" t="str">
        <f t="shared" si="12"/>
        <v>_</v>
      </c>
    </row>
    <row r="540" spans="3:6">
      <c r="C540" s="45"/>
      <c r="D540" t="str">
        <f t="shared" si="13"/>
        <v>_</v>
      </c>
      <c r="F540" t="str">
        <f t="shared" si="12"/>
        <v>_</v>
      </c>
    </row>
    <row r="541" spans="3:6">
      <c r="C541" s="45"/>
      <c r="D541" t="str">
        <f t="shared" si="13"/>
        <v>_</v>
      </c>
      <c r="F541" t="str">
        <f t="shared" si="12"/>
        <v>_</v>
      </c>
    </row>
    <row r="542" spans="3:6">
      <c r="C542" s="45"/>
      <c r="D542" t="str">
        <f t="shared" si="13"/>
        <v>_</v>
      </c>
      <c r="F542" t="str">
        <f t="shared" si="12"/>
        <v>_</v>
      </c>
    </row>
    <row r="543" spans="3:6">
      <c r="C543" s="45"/>
      <c r="D543" t="str">
        <f t="shared" si="13"/>
        <v>_</v>
      </c>
      <c r="F543" t="str">
        <f t="shared" si="12"/>
        <v>_</v>
      </c>
    </row>
    <row r="544" spans="3:6">
      <c r="C544" s="45"/>
      <c r="D544" t="str">
        <f t="shared" si="13"/>
        <v>_</v>
      </c>
      <c r="F544" t="str">
        <f t="shared" si="12"/>
        <v>_</v>
      </c>
    </row>
    <row r="545" spans="3:6">
      <c r="C545" s="45"/>
      <c r="D545" t="str">
        <f t="shared" si="13"/>
        <v>_</v>
      </c>
      <c r="F545" t="str">
        <f t="shared" si="12"/>
        <v>_</v>
      </c>
    </row>
    <row r="546" spans="3:6">
      <c r="C546" s="45"/>
      <c r="D546" t="str">
        <f t="shared" si="13"/>
        <v>_</v>
      </c>
      <c r="F546" t="str">
        <f t="shared" si="12"/>
        <v>_</v>
      </c>
    </row>
    <row r="547" spans="3:6">
      <c r="C547" s="45"/>
      <c r="D547" t="str">
        <f t="shared" si="13"/>
        <v>_</v>
      </c>
      <c r="F547" t="str">
        <f t="shared" si="12"/>
        <v>_</v>
      </c>
    </row>
    <row r="548" spans="3:6">
      <c r="C548" s="45"/>
      <c r="D548" t="str">
        <f t="shared" si="13"/>
        <v>_</v>
      </c>
      <c r="F548" t="str">
        <f t="shared" si="12"/>
        <v>_</v>
      </c>
    </row>
    <row r="549" spans="3:6">
      <c r="C549" s="45"/>
      <c r="D549" t="str">
        <f t="shared" si="13"/>
        <v>_</v>
      </c>
      <c r="F549" t="str">
        <f t="shared" si="12"/>
        <v>_</v>
      </c>
    </row>
    <row r="550" spans="3:6">
      <c r="C550" s="45"/>
      <c r="D550" t="str">
        <f t="shared" si="13"/>
        <v>_</v>
      </c>
      <c r="F550" t="str">
        <f t="shared" si="12"/>
        <v>_</v>
      </c>
    </row>
    <row r="551" spans="3:6">
      <c r="C551" s="45"/>
      <c r="D551" t="str">
        <f t="shared" si="13"/>
        <v>_</v>
      </c>
      <c r="F551" t="str">
        <f t="shared" si="12"/>
        <v>_</v>
      </c>
    </row>
    <row r="552" spans="3:6">
      <c r="C552" s="45"/>
      <c r="D552" t="str">
        <f t="shared" si="13"/>
        <v>_</v>
      </c>
      <c r="F552" t="str">
        <f t="shared" si="12"/>
        <v>_</v>
      </c>
    </row>
    <row r="553" spans="3:6">
      <c r="C553" s="45"/>
      <c r="D553" t="str">
        <f t="shared" si="13"/>
        <v>_</v>
      </c>
      <c r="F553" t="str">
        <f t="shared" si="12"/>
        <v>_</v>
      </c>
    </row>
    <row r="554" spans="3:6">
      <c r="C554" s="45"/>
      <c r="D554" t="str">
        <f t="shared" si="13"/>
        <v>_</v>
      </c>
      <c r="F554" t="str">
        <f t="shared" si="12"/>
        <v>_</v>
      </c>
    </row>
    <row r="555" spans="3:6">
      <c r="C555" s="45"/>
      <c r="D555" t="str">
        <f t="shared" si="13"/>
        <v>_</v>
      </c>
      <c r="F555" t="str">
        <f t="shared" si="12"/>
        <v>_</v>
      </c>
    </row>
    <row r="556" spans="3:6">
      <c r="C556" s="45"/>
      <c r="D556" t="str">
        <f t="shared" si="13"/>
        <v>_</v>
      </c>
      <c r="F556" t="str">
        <f t="shared" si="12"/>
        <v>_</v>
      </c>
    </row>
    <row r="557" spans="3:6">
      <c r="C557" s="45"/>
      <c r="D557" t="str">
        <f t="shared" si="13"/>
        <v>_</v>
      </c>
      <c r="F557" t="str">
        <f t="shared" si="12"/>
        <v>_</v>
      </c>
    </row>
    <row r="558" spans="3:6">
      <c r="C558" s="45"/>
      <c r="D558" t="str">
        <f t="shared" si="13"/>
        <v>_</v>
      </c>
      <c r="F558" t="str">
        <f t="shared" si="12"/>
        <v>_</v>
      </c>
    </row>
    <row r="559" spans="3:6">
      <c r="C559" s="45"/>
      <c r="D559" t="str">
        <f t="shared" si="13"/>
        <v>_</v>
      </c>
      <c r="F559" t="str">
        <f t="shared" si="12"/>
        <v>_</v>
      </c>
    </row>
    <row r="560" spans="3:6">
      <c r="C560" s="45"/>
      <c r="D560" t="str">
        <f t="shared" si="13"/>
        <v>_</v>
      </c>
      <c r="F560" t="str">
        <f t="shared" si="12"/>
        <v>_</v>
      </c>
    </row>
    <row r="561" spans="3:6">
      <c r="C561" s="45"/>
      <c r="D561" t="str">
        <f t="shared" si="13"/>
        <v>_</v>
      </c>
      <c r="F561" t="str">
        <f t="shared" si="12"/>
        <v>_</v>
      </c>
    </row>
    <row r="562" spans="3:6">
      <c r="C562" s="45"/>
      <c r="D562" t="str">
        <f t="shared" si="13"/>
        <v>_</v>
      </c>
      <c r="F562" t="str">
        <f t="shared" si="12"/>
        <v>_</v>
      </c>
    </row>
    <row r="563" spans="3:6">
      <c r="C563" s="45"/>
      <c r="D563" t="str">
        <f t="shared" si="13"/>
        <v>_</v>
      </c>
      <c r="F563" t="str">
        <f t="shared" si="12"/>
        <v>_</v>
      </c>
    </row>
    <row r="564" spans="3:6">
      <c r="C564" s="45"/>
      <c r="D564" t="str">
        <f t="shared" si="13"/>
        <v>_</v>
      </c>
      <c r="F564" t="str">
        <f t="shared" si="12"/>
        <v>_</v>
      </c>
    </row>
    <row r="565" spans="3:6">
      <c r="C565" s="45"/>
      <c r="D565" t="str">
        <f t="shared" si="13"/>
        <v>_</v>
      </c>
      <c r="F565" t="str">
        <f t="shared" si="12"/>
        <v>_</v>
      </c>
    </row>
    <row r="566" spans="3:6">
      <c r="C566" s="45"/>
      <c r="D566" t="str">
        <f t="shared" si="13"/>
        <v>_</v>
      </c>
      <c r="F566" t="str">
        <f t="shared" si="12"/>
        <v>_</v>
      </c>
    </row>
    <row r="567" spans="3:6">
      <c r="C567" s="45"/>
      <c r="D567" t="str">
        <f t="shared" si="13"/>
        <v>_</v>
      </c>
      <c r="F567" t="str">
        <f t="shared" si="12"/>
        <v>_</v>
      </c>
    </row>
    <row r="568" spans="3:6">
      <c r="C568" s="45"/>
      <c r="D568" t="str">
        <f t="shared" si="13"/>
        <v>_</v>
      </c>
      <c r="F568" t="str">
        <f t="shared" si="12"/>
        <v>_</v>
      </c>
    </row>
    <row r="569" spans="3:6">
      <c r="C569" s="45"/>
      <c r="D569" t="str">
        <f t="shared" si="13"/>
        <v>_</v>
      </c>
      <c r="F569" t="str">
        <f t="shared" si="12"/>
        <v>_</v>
      </c>
    </row>
    <row r="570" spans="3:6">
      <c r="C570" s="45"/>
      <c r="D570" t="str">
        <f t="shared" si="13"/>
        <v>_</v>
      </c>
      <c r="F570" t="str">
        <f t="shared" si="12"/>
        <v>_</v>
      </c>
    </row>
    <row r="571" spans="3:6">
      <c r="C571" s="45"/>
      <c r="D571" t="str">
        <f t="shared" si="13"/>
        <v>_</v>
      </c>
      <c r="F571" t="str">
        <f t="shared" si="12"/>
        <v>_</v>
      </c>
    </row>
    <row r="572" spans="3:6">
      <c r="C572" s="45"/>
      <c r="D572" t="str">
        <f t="shared" si="13"/>
        <v>_</v>
      </c>
      <c r="F572" t="str">
        <f t="shared" si="12"/>
        <v>_</v>
      </c>
    </row>
    <row r="573" spans="3:6">
      <c r="C573" s="45"/>
      <c r="D573" t="str">
        <f t="shared" si="13"/>
        <v>_</v>
      </c>
      <c r="F573" t="str">
        <f t="shared" ref="F573:F636" si="14">_xlfn.CONCAT(A573,"_",B573)</f>
        <v>_</v>
      </c>
    </row>
    <row r="574" spans="3:6">
      <c r="C574" s="45"/>
      <c r="D574" t="str">
        <f t="shared" si="13"/>
        <v>_</v>
      </c>
      <c r="F574" t="str">
        <f t="shared" si="14"/>
        <v>_</v>
      </c>
    </row>
    <row r="575" spans="3:6">
      <c r="C575" s="45"/>
      <c r="D575" t="str">
        <f t="shared" si="13"/>
        <v>_</v>
      </c>
      <c r="F575" t="str">
        <f t="shared" si="14"/>
        <v>_</v>
      </c>
    </row>
    <row r="576" spans="3:6">
      <c r="C576" s="45"/>
      <c r="D576" t="str">
        <f t="shared" si="13"/>
        <v>_</v>
      </c>
      <c r="F576" t="str">
        <f t="shared" si="14"/>
        <v>_</v>
      </c>
    </row>
    <row r="577" spans="3:6">
      <c r="C577" s="45"/>
      <c r="D577" t="str">
        <f t="shared" si="13"/>
        <v>_</v>
      </c>
      <c r="F577" t="str">
        <f t="shared" si="14"/>
        <v>_</v>
      </c>
    </row>
    <row r="578" spans="3:6">
      <c r="C578" s="45"/>
      <c r="D578" t="str">
        <f t="shared" ref="D578:D641" si="15">_xlfn.CONCAT(A578,"_",B578)</f>
        <v>_</v>
      </c>
      <c r="F578" t="str">
        <f t="shared" si="14"/>
        <v>_</v>
      </c>
    </row>
    <row r="579" spans="3:6">
      <c r="C579" s="45"/>
      <c r="D579" t="str">
        <f t="shared" si="15"/>
        <v>_</v>
      </c>
      <c r="F579" t="str">
        <f t="shared" si="14"/>
        <v>_</v>
      </c>
    </row>
    <row r="580" spans="3:6">
      <c r="C580" s="45"/>
      <c r="D580" t="str">
        <f t="shared" si="15"/>
        <v>_</v>
      </c>
      <c r="F580" t="str">
        <f t="shared" si="14"/>
        <v>_</v>
      </c>
    </row>
    <row r="581" spans="3:6">
      <c r="C581" s="45"/>
      <c r="D581" t="str">
        <f t="shared" si="15"/>
        <v>_</v>
      </c>
      <c r="F581" t="str">
        <f t="shared" si="14"/>
        <v>_</v>
      </c>
    </row>
    <row r="582" spans="3:6">
      <c r="C582" s="45"/>
      <c r="D582" t="str">
        <f t="shared" si="15"/>
        <v>_</v>
      </c>
      <c r="F582" t="str">
        <f t="shared" si="14"/>
        <v>_</v>
      </c>
    </row>
    <row r="583" spans="3:6">
      <c r="C583" s="45"/>
      <c r="D583" t="str">
        <f t="shared" si="15"/>
        <v>_</v>
      </c>
      <c r="F583" t="str">
        <f t="shared" si="14"/>
        <v>_</v>
      </c>
    </row>
    <row r="584" spans="3:6">
      <c r="C584" s="45"/>
      <c r="D584" t="str">
        <f t="shared" si="15"/>
        <v>_</v>
      </c>
      <c r="F584" t="str">
        <f t="shared" si="14"/>
        <v>_</v>
      </c>
    </row>
    <row r="585" spans="3:6">
      <c r="C585" s="45"/>
      <c r="D585" t="str">
        <f t="shared" si="15"/>
        <v>_</v>
      </c>
      <c r="F585" t="str">
        <f t="shared" si="14"/>
        <v>_</v>
      </c>
    </row>
    <row r="586" spans="3:6">
      <c r="C586" s="45"/>
      <c r="D586" t="str">
        <f t="shared" si="15"/>
        <v>_</v>
      </c>
      <c r="F586" t="str">
        <f t="shared" si="14"/>
        <v>_</v>
      </c>
    </row>
    <row r="587" spans="3:6">
      <c r="C587" s="45"/>
      <c r="D587" t="str">
        <f t="shared" si="15"/>
        <v>_</v>
      </c>
      <c r="F587" t="str">
        <f t="shared" si="14"/>
        <v>_</v>
      </c>
    </row>
    <row r="588" spans="3:6">
      <c r="C588" s="45"/>
      <c r="D588" t="str">
        <f t="shared" si="15"/>
        <v>_</v>
      </c>
      <c r="F588" t="str">
        <f t="shared" si="14"/>
        <v>_</v>
      </c>
    </row>
    <row r="589" spans="3:6">
      <c r="C589" s="45"/>
      <c r="D589" t="str">
        <f t="shared" si="15"/>
        <v>_</v>
      </c>
      <c r="F589" t="str">
        <f t="shared" si="14"/>
        <v>_</v>
      </c>
    </row>
    <row r="590" spans="3:6">
      <c r="C590" s="45"/>
      <c r="D590" t="str">
        <f t="shared" si="15"/>
        <v>_</v>
      </c>
      <c r="F590" t="str">
        <f t="shared" si="14"/>
        <v>_</v>
      </c>
    </row>
    <row r="591" spans="3:6">
      <c r="C591" s="45"/>
      <c r="D591" t="str">
        <f t="shared" si="15"/>
        <v>_</v>
      </c>
      <c r="F591" t="str">
        <f t="shared" si="14"/>
        <v>_</v>
      </c>
    </row>
    <row r="592" spans="3:6">
      <c r="C592" s="45"/>
      <c r="D592" t="str">
        <f t="shared" si="15"/>
        <v>_</v>
      </c>
      <c r="F592" t="str">
        <f t="shared" si="14"/>
        <v>_</v>
      </c>
    </row>
    <row r="593" spans="3:6">
      <c r="C593" s="45"/>
      <c r="D593" t="str">
        <f t="shared" si="15"/>
        <v>_</v>
      </c>
      <c r="F593" t="str">
        <f t="shared" si="14"/>
        <v>_</v>
      </c>
    </row>
    <row r="594" spans="3:6">
      <c r="C594" s="45"/>
      <c r="D594" t="str">
        <f t="shared" si="15"/>
        <v>_</v>
      </c>
      <c r="F594" t="str">
        <f t="shared" si="14"/>
        <v>_</v>
      </c>
    </row>
    <row r="595" spans="3:6">
      <c r="C595" s="45"/>
      <c r="D595" t="str">
        <f t="shared" si="15"/>
        <v>_</v>
      </c>
      <c r="F595" t="str">
        <f t="shared" si="14"/>
        <v>_</v>
      </c>
    </row>
    <row r="596" spans="3:6">
      <c r="C596" s="45"/>
      <c r="D596" t="str">
        <f t="shared" si="15"/>
        <v>_</v>
      </c>
      <c r="F596" t="str">
        <f t="shared" si="14"/>
        <v>_</v>
      </c>
    </row>
    <row r="597" spans="3:6">
      <c r="C597" s="45"/>
      <c r="D597" t="str">
        <f t="shared" si="15"/>
        <v>_</v>
      </c>
      <c r="F597" t="str">
        <f t="shared" si="14"/>
        <v>_</v>
      </c>
    </row>
    <row r="598" spans="3:6">
      <c r="C598" s="45"/>
      <c r="D598" t="str">
        <f t="shared" si="15"/>
        <v>_</v>
      </c>
      <c r="F598" t="str">
        <f t="shared" si="14"/>
        <v>_</v>
      </c>
    </row>
    <row r="599" spans="3:6">
      <c r="C599" s="45"/>
      <c r="D599" t="str">
        <f t="shared" si="15"/>
        <v>_</v>
      </c>
      <c r="F599" t="str">
        <f t="shared" si="14"/>
        <v>_</v>
      </c>
    </row>
    <row r="600" spans="3:6">
      <c r="C600" s="45"/>
      <c r="D600" t="str">
        <f t="shared" si="15"/>
        <v>_</v>
      </c>
      <c r="F600" t="str">
        <f t="shared" si="14"/>
        <v>_</v>
      </c>
    </row>
    <row r="601" spans="3:6">
      <c r="C601" s="45"/>
      <c r="D601" t="str">
        <f t="shared" si="15"/>
        <v>_</v>
      </c>
      <c r="F601" t="str">
        <f t="shared" si="14"/>
        <v>_</v>
      </c>
    </row>
    <row r="602" spans="3:6">
      <c r="C602" s="45"/>
      <c r="D602" t="str">
        <f t="shared" si="15"/>
        <v>_</v>
      </c>
      <c r="F602" t="str">
        <f t="shared" si="14"/>
        <v>_</v>
      </c>
    </row>
    <row r="603" spans="3:6">
      <c r="C603" s="45"/>
      <c r="D603" t="str">
        <f t="shared" si="15"/>
        <v>_</v>
      </c>
      <c r="F603" t="str">
        <f t="shared" si="14"/>
        <v>_</v>
      </c>
    </row>
    <row r="604" spans="3:6">
      <c r="C604" s="45"/>
      <c r="D604" t="str">
        <f t="shared" si="15"/>
        <v>_</v>
      </c>
      <c r="F604" t="str">
        <f t="shared" si="14"/>
        <v>_</v>
      </c>
    </row>
    <row r="605" spans="3:6">
      <c r="C605" s="45"/>
      <c r="D605" t="str">
        <f t="shared" si="15"/>
        <v>_</v>
      </c>
      <c r="F605" t="str">
        <f t="shared" si="14"/>
        <v>_</v>
      </c>
    </row>
    <row r="606" spans="3:6">
      <c r="C606" s="45"/>
      <c r="D606" t="str">
        <f t="shared" si="15"/>
        <v>_</v>
      </c>
      <c r="F606" t="str">
        <f t="shared" si="14"/>
        <v>_</v>
      </c>
    </row>
    <row r="607" spans="3:6">
      <c r="C607" s="45"/>
      <c r="D607" t="str">
        <f t="shared" si="15"/>
        <v>_</v>
      </c>
      <c r="F607" t="str">
        <f t="shared" si="14"/>
        <v>_</v>
      </c>
    </row>
    <row r="608" spans="3:6">
      <c r="C608" s="45"/>
      <c r="D608" t="str">
        <f t="shared" si="15"/>
        <v>_</v>
      </c>
      <c r="F608" t="str">
        <f t="shared" si="14"/>
        <v>_</v>
      </c>
    </row>
    <row r="609" spans="3:6">
      <c r="C609" s="45"/>
      <c r="D609" t="str">
        <f t="shared" si="15"/>
        <v>_</v>
      </c>
      <c r="F609" t="str">
        <f t="shared" si="14"/>
        <v>_</v>
      </c>
    </row>
    <row r="610" spans="3:6">
      <c r="C610" s="45"/>
      <c r="D610" t="str">
        <f t="shared" si="15"/>
        <v>_</v>
      </c>
      <c r="F610" t="str">
        <f t="shared" si="14"/>
        <v>_</v>
      </c>
    </row>
    <row r="611" spans="3:6">
      <c r="C611" s="45"/>
      <c r="D611" t="str">
        <f t="shared" si="15"/>
        <v>_</v>
      </c>
      <c r="F611" t="str">
        <f t="shared" si="14"/>
        <v>_</v>
      </c>
    </row>
    <row r="612" spans="3:6">
      <c r="C612" s="45"/>
      <c r="D612" t="str">
        <f t="shared" si="15"/>
        <v>_</v>
      </c>
      <c r="F612" t="str">
        <f t="shared" si="14"/>
        <v>_</v>
      </c>
    </row>
    <row r="613" spans="3:6">
      <c r="C613" s="45"/>
      <c r="D613" t="str">
        <f t="shared" si="15"/>
        <v>_</v>
      </c>
      <c r="F613" t="str">
        <f t="shared" si="14"/>
        <v>_</v>
      </c>
    </row>
    <row r="614" spans="3:6">
      <c r="C614" s="45"/>
      <c r="D614" t="str">
        <f t="shared" si="15"/>
        <v>_</v>
      </c>
      <c r="F614" t="str">
        <f t="shared" si="14"/>
        <v>_</v>
      </c>
    </row>
    <row r="615" spans="3:6">
      <c r="C615" s="45"/>
      <c r="D615" t="str">
        <f t="shared" si="15"/>
        <v>_</v>
      </c>
      <c r="F615" t="str">
        <f t="shared" si="14"/>
        <v>_</v>
      </c>
    </row>
    <row r="616" spans="3:6">
      <c r="C616" s="45"/>
      <c r="D616" t="str">
        <f t="shared" si="15"/>
        <v>_</v>
      </c>
      <c r="F616" t="str">
        <f t="shared" si="14"/>
        <v>_</v>
      </c>
    </row>
    <row r="617" spans="3:6">
      <c r="C617" s="45"/>
      <c r="D617" t="str">
        <f t="shared" si="15"/>
        <v>_</v>
      </c>
      <c r="F617" t="str">
        <f t="shared" si="14"/>
        <v>_</v>
      </c>
    </row>
    <row r="618" spans="3:6">
      <c r="C618" s="45"/>
      <c r="D618" t="str">
        <f t="shared" si="15"/>
        <v>_</v>
      </c>
      <c r="F618" t="str">
        <f t="shared" si="14"/>
        <v>_</v>
      </c>
    </row>
    <row r="619" spans="3:6">
      <c r="C619" s="45"/>
      <c r="D619" t="str">
        <f t="shared" si="15"/>
        <v>_</v>
      </c>
      <c r="F619" t="str">
        <f t="shared" si="14"/>
        <v>_</v>
      </c>
    </row>
    <row r="620" spans="3:6">
      <c r="C620" s="45"/>
      <c r="D620" t="str">
        <f t="shared" si="15"/>
        <v>_</v>
      </c>
      <c r="F620" t="str">
        <f t="shared" si="14"/>
        <v>_</v>
      </c>
    </row>
    <row r="621" spans="3:6">
      <c r="C621" s="45"/>
      <c r="D621" t="str">
        <f t="shared" si="15"/>
        <v>_</v>
      </c>
      <c r="F621" t="str">
        <f t="shared" si="14"/>
        <v>_</v>
      </c>
    </row>
    <row r="622" spans="3:6">
      <c r="C622" s="45"/>
      <c r="D622" t="str">
        <f t="shared" si="15"/>
        <v>_</v>
      </c>
      <c r="F622" t="str">
        <f t="shared" si="14"/>
        <v>_</v>
      </c>
    </row>
    <row r="623" spans="3:6">
      <c r="C623" s="45"/>
      <c r="D623" t="str">
        <f t="shared" si="15"/>
        <v>_</v>
      </c>
      <c r="F623" t="str">
        <f t="shared" si="14"/>
        <v>_</v>
      </c>
    </row>
    <row r="624" spans="3:6">
      <c r="C624" s="45"/>
      <c r="D624" t="str">
        <f t="shared" si="15"/>
        <v>_</v>
      </c>
      <c r="F624" t="str">
        <f t="shared" si="14"/>
        <v>_</v>
      </c>
    </row>
    <row r="625" spans="3:6">
      <c r="C625" s="45"/>
      <c r="D625" t="str">
        <f t="shared" si="15"/>
        <v>_</v>
      </c>
      <c r="F625" t="str">
        <f t="shared" si="14"/>
        <v>_</v>
      </c>
    </row>
    <row r="626" spans="3:6">
      <c r="C626" s="45"/>
      <c r="D626" t="str">
        <f t="shared" si="15"/>
        <v>_</v>
      </c>
      <c r="F626" t="str">
        <f t="shared" si="14"/>
        <v>_</v>
      </c>
    </row>
    <row r="627" spans="3:6">
      <c r="C627" s="45"/>
      <c r="D627" t="str">
        <f t="shared" si="15"/>
        <v>_</v>
      </c>
      <c r="F627" t="str">
        <f t="shared" si="14"/>
        <v>_</v>
      </c>
    </row>
    <row r="628" spans="3:6">
      <c r="C628" s="45"/>
      <c r="D628" t="str">
        <f t="shared" si="15"/>
        <v>_</v>
      </c>
      <c r="F628" t="str">
        <f t="shared" si="14"/>
        <v>_</v>
      </c>
    </row>
    <row r="629" spans="3:6">
      <c r="C629" s="45"/>
      <c r="D629" t="str">
        <f t="shared" si="15"/>
        <v>_</v>
      </c>
      <c r="F629" t="str">
        <f t="shared" si="14"/>
        <v>_</v>
      </c>
    </row>
    <row r="630" spans="3:6">
      <c r="C630" s="45"/>
      <c r="D630" t="str">
        <f t="shared" si="15"/>
        <v>_</v>
      </c>
      <c r="F630" t="str">
        <f t="shared" si="14"/>
        <v>_</v>
      </c>
    </row>
    <row r="631" spans="3:6">
      <c r="C631" s="45"/>
      <c r="D631" t="str">
        <f t="shared" si="15"/>
        <v>_</v>
      </c>
      <c r="F631" t="str">
        <f t="shared" si="14"/>
        <v>_</v>
      </c>
    </row>
    <row r="632" spans="3:6">
      <c r="C632" s="45"/>
      <c r="D632" t="str">
        <f t="shared" si="15"/>
        <v>_</v>
      </c>
      <c r="F632" t="str">
        <f t="shared" si="14"/>
        <v>_</v>
      </c>
    </row>
    <row r="633" spans="3:6">
      <c r="C633" s="45"/>
      <c r="D633" t="str">
        <f t="shared" si="15"/>
        <v>_</v>
      </c>
      <c r="F633" t="str">
        <f t="shared" si="14"/>
        <v>_</v>
      </c>
    </row>
    <row r="634" spans="3:6">
      <c r="C634" s="45"/>
      <c r="D634" t="str">
        <f t="shared" si="15"/>
        <v>_</v>
      </c>
      <c r="F634" t="str">
        <f t="shared" si="14"/>
        <v>_</v>
      </c>
    </row>
    <row r="635" spans="3:6">
      <c r="C635" s="45"/>
      <c r="D635" t="str">
        <f t="shared" si="15"/>
        <v>_</v>
      </c>
      <c r="F635" t="str">
        <f t="shared" si="14"/>
        <v>_</v>
      </c>
    </row>
    <row r="636" spans="3:6">
      <c r="C636" s="45"/>
      <c r="D636" t="str">
        <f t="shared" si="15"/>
        <v>_</v>
      </c>
      <c r="F636" t="str">
        <f t="shared" si="14"/>
        <v>_</v>
      </c>
    </row>
    <row r="637" spans="3:6">
      <c r="C637" s="45"/>
      <c r="D637" t="str">
        <f t="shared" si="15"/>
        <v>_</v>
      </c>
      <c r="F637" t="str">
        <f t="shared" ref="F637:F700" si="16">_xlfn.CONCAT(A637,"_",B637)</f>
        <v>_</v>
      </c>
    </row>
    <row r="638" spans="3:6">
      <c r="C638" s="45"/>
      <c r="D638" t="str">
        <f t="shared" si="15"/>
        <v>_</v>
      </c>
      <c r="F638" t="str">
        <f t="shared" si="16"/>
        <v>_</v>
      </c>
    </row>
    <row r="639" spans="3:6">
      <c r="C639" s="45"/>
      <c r="D639" t="str">
        <f t="shared" si="15"/>
        <v>_</v>
      </c>
      <c r="F639" t="str">
        <f t="shared" si="16"/>
        <v>_</v>
      </c>
    </row>
    <row r="640" spans="3:6">
      <c r="C640" s="45"/>
      <c r="D640" t="str">
        <f t="shared" si="15"/>
        <v>_</v>
      </c>
      <c r="F640" t="str">
        <f t="shared" si="16"/>
        <v>_</v>
      </c>
    </row>
    <row r="641" spans="3:6">
      <c r="C641" s="45"/>
      <c r="D641" t="str">
        <f t="shared" si="15"/>
        <v>_</v>
      </c>
      <c r="F641" t="str">
        <f t="shared" si="16"/>
        <v>_</v>
      </c>
    </row>
    <row r="642" spans="3:6">
      <c r="C642" s="45"/>
      <c r="D642" t="str">
        <f t="shared" ref="D642:D705" si="17">_xlfn.CONCAT(A642,"_",B642)</f>
        <v>_</v>
      </c>
      <c r="F642" t="str">
        <f t="shared" si="16"/>
        <v>_</v>
      </c>
    </row>
    <row r="643" spans="3:6">
      <c r="C643" s="45"/>
      <c r="D643" t="str">
        <f t="shared" si="17"/>
        <v>_</v>
      </c>
      <c r="F643" t="str">
        <f t="shared" si="16"/>
        <v>_</v>
      </c>
    </row>
    <row r="644" spans="3:6">
      <c r="C644" s="45"/>
      <c r="D644" t="str">
        <f t="shared" si="17"/>
        <v>_</v>
      </c>
      <c r="F644" t="str">
        <f t="shared" si="16"/>
        <v>_</v>
      </c>
    </row>
    <row r="645" spans="3:6">
      <c r="C645" s="45"/>
      <c r="D645" t="str">
        <f t="shared" si="17"/>
        <v>_</v>
      </c>
      <c r="F645" t="str">
        <f t="shared" si="16"/>
        <v>_</v>
      </c>
    </row>
    <row r="646" spans="3:6">
      <c r="C646" s="45"/>
      <c r="D646" t="str">
        <f t="shared" si="17"/>
        <v>_</v>
      </c>
      <c r="F646" t="str">
        <f t="shared" si="16"/>
        <v>_</v>
      </c>
    </row>
    <row r="647" spans="3:6">
      <c r="C647" s="45"/>
      <c r="D647" t="str">
        <f t="shared" si="17"/>
        <v>_</v>
      </c>
      <c r="F647" t="str">
        <f t="shared" si="16"/>
        <v>_</v>
      </c>
    </row>
    <row r="648" spans="3:6">
      <c r="C648" s="45"/>
      <c r="D648" t="str">
        <f t="shared" si="17"/>
        <v>_</v>
      </c>
      <c r="F648" t="str">
        <f t="shared" si="16"/>
        <v>_</v>
      </c>
    </row>
    <row r="649" spans="3:6">
      <c r="C649" s="45"/>
      <c r="D649" t="str">
        <f t="shared" si="17"/>
        <v>_</v>
      </c>
      <c r="F649" t="str">
        <f t="shared" si="16"/>
        <v>_</v>
      </c>
    </row>
    <row r="650" spans="3:6">
      <c r="C650" s="45"/>
      <c r="D650" t="str">
        <f t="shared" si="17"/>
        <v>_</v>
      </c>
      <c r="F650" t="str">
        <f t="shared" si="16"/>
        <v>_</v>
      </c>
    </row>
    <row r="651" spans="3:6">
      <c r="C651" s="45"/>
      <c r="D651" t="str">
        <f t="shared" si="17"/>
        <v>_</v>
      </c>
      <c r="F651" t="str">
        <f t="shared" si="16"/>
        <v>_</v>
      </c>
    </row>
    <row r="652" spans="3:6">
      <c r="C652" s="45"/>
      <c r="D652" t="str">
        <f t="shared" si="17"/>
        <v>_</v>
      </c>
      <c r="F652" t="str">
        <f t="shared" si="16"/>
        <v>_</v>
      </c>
    </row>
    <row r="653" spans="3:6">
      <c r="C653" s="45"/>
      <c r="D653" t="str">
        <f t="shared" si="17"/>
        <v>_</v>
      </c>
      <c r="F653" t="str">
        <f t="shared" si="16"/>
        <v>_</v>
      </c>
    </row>
    <row r="654" spans="3:6">
      <c r="C654" s="45"/>
      <c r="D654" t="str">
        <f t="shared" si="17"/>
        <v>_</v>
      </c>
      <c r="F654" t="str">
        <f t="shared" si="16"/>
        <v>_</v>
      </c>
    </row>
    <row r="655" spans="3:6">
      <c r="C655" s="45"/>
      <c r="D655" t="str">
        <f t="shared" si="17"/>
        <v>_</v>
      </c>
      <c r="F655" t="str">
        <f t="shared" si="16"/>
        <v>_</v>
      </c>
    </row>
    <row r="656" spans="3:6">
      <c r="C656" s="45"/>
      <c r="D656" t="str">
        <f t="shared" si="17"/>
        <v>_</v>
      </c>
      <c r="F656" t="str">
        <f t="shared" si="16"/>
        <v>_</v>
      </c>
    </row>
    <row r="657" spans="3:6">
      <c r="C657" s="45"/>
      <c r="D657" t="str">
        <f t="shared" si="17"/>
        <v>_</v>
      </c>
      <c r="F657" t="str">
        <f t="shared" si="16"/>
        <v>_</v>
      </c>
    </row>
    <row r="658" spans="3:6">
      <c r="C658" s="45"/>
      <c r="D658" t="str">
        <f t="shared" si="17"/>
        <v>_</v>
      </c>
      <c r="F658" t="str">
        <f t="shared" si="16"/>
        <v>_</v>
      </c>
    </row>
    <row r="659" spans="3:6">
      <c r="C659" s="45"/>
      <c r="D659" t="str">
        <f t="shared" si="17"/>
        <v>_</v>
      </c>
      <c r="F659" t="str">
        <f t="shared" si="16"/>
        <v>_</v>
      </c>
    </row>
    <row r="660" spans="3:6">
      <c r="C660" s="45"/>
      <c r="D660" t="str">
        <f t="shared" si="17"/>
        <v>_</v>
      </c>
      <c r="F660" t="str">
        <f t="shared" si="16"/>
        <v>_</v>
      </c>
    </row>
    <row r="661" spans="3:6">
      <c r="C661" s="45"/>
      <c r="D661" t="str">
        <f t="shared" si="17"/>
        <v>_</v>
      </c>
      <c r="F661" t="str">
        <f t="shared" si="16"/>
        <v>_</v>
      </c>
    </row>
    <row r="662" spans="3:6">
      <c r="C662" s="45"/>
      <c r="D662" t="str">
        <f t="shared" si="17"/>
        <v>_</v>
      </c>
      <c r="F662" t="str">
        <f t="shared" si="16"/>
        <v>_</v>
      </c>
    </row>
    <row r="663" spans="3:6">
      <c r="C663" s="45"/>
      <c r="D663" t="str">
        <f t="shared" si="17"/>
        <v>_</v>
      </c>
      <c r="F663" t="str">
        <f t="shared" si="16"/>
        <v>_</v>
      </c>
    </row>
    <row r="664" spans="3:6">
      <c r="C664" s="45"/>
      <c r="D664" t="str">
        <f t="shared" si="17"/>
        <v>_</v>
      </c>
      <c r="F664" t="str">
        <f t="shared" si="16"/>
        <v>_</v>
      </c>
    </row>
    <row r="665" spans="3:6">
      <c r="C665" s="45"/>
      <c r="D665" t="str">
        <f t="shared" si="17"/>
        <v>_</v>
      </c>
      <c r="F665" t="str">
        <f t="shared" si="16"/>
        <v>_</v>
      </c>
    </row>
    <row r="666" spans="3:6">
      <c r="C666" s="45"/>
      <c r="D666" t="str">
        <f t="shared" si="17"/>
        <v>_</v>
      </c>
      <c r="F666" t="str">
        <f t="shared" si="16"/>
        <v>_</v>
      </c>
    </row>
    <row r="667" spans="3:6">
      <c r="C667" s="45"/>
      <c r="D667" t="str">
        <f t="shared" si="17"/>
        <v>_</v>
      </c>
      <c r="F667" t="str">
        <f t="shared" si="16"/>
        <v>_</v>
      </c>
    </row>
    <row r="668" spans="3:6">
      <c r="C668" s="45"/>
      <c r="D668" t="str">
        <f t="shared" si="17"/>
        <v>_</v>
      </c>
      <c r="F668" t="str">
        <f t="shared" si="16"/>
        <v>_</v>
      </c>
    </row>
    <row r="669" spans="3:6">
      <c r="C669" s="45"/>
      <c r="D669" t="str">
        <f t="shared" si="17"/>
        <v>_</v>
      </c>
      <c r="F669" t="str">
        <f t="shared" si="16"/>
        <v>_</v>
      </c>
    </row>
    <row r="670" spans="3:6">
      <c r="C670" s="45"/>
      <c r="D670" t="str">
        <f t="shared" si="17"/>
        <v>_</v>
      </c>
      <c r="F670" t="str">
        <f t="shared" si="16"/>
        <v>_</v>
      </c>
    </row>
    <row r="671" spans="3:6">
      <c r="C671" s="45"/>
      <c r="D671" t="str">
        <f t="shared" si="17"/>
        <v>_</v>
      </c>
      <c r="F671" t="str">
        <f t="shared" si="16"/>
        <v>_</v>
      </c>
    </row>
    <row r="672" spans="3:6">
      <c r="C672" s="45"/>
      <c r="D672" t="str">
        <f t="shared" si="17"/>
        <v>_</v>
      </c>
      <c r="F672" t="str">
        <f t="shared" si="16"/>
        <v>_</v>
      </c>
    </row>
    <row r="673" spans="3:6">
      <c r="C673" s="45"/>
      <c r="D673" t="str">
        <f t="shared" si="17"/>
        <v>_</v>
      </c>
      <c r="F673" t="str">
        <f t="shared" si="16"/>
        <v>_</v>
      </c>
    </row>
    <row r="674" spans="3:6">
      <c r="C674" s="45"/>
      <c r="D674" t="str">
        <f t="shared" si="17"/>
        <v>_</v>
      </c>
      <c r="F674" t="str">
        <f t="shared" si="16"/>
        <v>_</v>
      </c>
    </row>
    <row r="675" spans="3:6">
      <c r="C675" s="45"/>
      <c r="D675" t="str">
        <f t="shared" si="17"/>
        <v>_</v>
      </c>
      <c r="F675" t="str">
        <f t="shared" si="16"/>
        <v>_</v>
      </c>
    </row>
    <row r="676" spans="3:6">
      <c r="C676" s="45"/>
      <c r="D676" t="str">
        <f t="shared" si="17"/>
        <v>_</v>
      </c>
      <c r="F676" t="str">
        <f t="shared" si="16"/>
        <v>_</v>
      </c>
    </row>
    <row r="677" spans="3:6">
      <c r="C677" s="45"/>
      <c r="D677" t="str">
        <f t="shared" si="17"/>
        <v>_</v>
      </c>
      <c r="F677" t="str">
        <f t="shared" si="16"/>
        <v>_</v>
      </c>
    </row>
    <row r="678" spans="3:6">
      <c r="C678" s="45"/>
      <c r="D678" t="str">
        <f t="shared" si="17"/>
        <v>_</v>
      </c>
      <c r="F678" t="str">
        <f t="shared" si="16"/>
        <v>_</v>
      </c>
    </row>
    <row r="679" spans="3:6">
      <c r="C679" s="45"/>
      <c r="D679" t="str">
        <f t="shared" si="17"/>
        <v>_</v>
      </c>
      <c r="F679" t="str">
        <f t="shared" si="16"/>
        <v>_</v>
      </c>
    </row>
    <row r="680" spans="3:6">
      <c r="C680" s="45"/>
      <c r="D680" t="str">
        <f t="shared" si="17"/>
        <v>_</v>
      </c>
      <c r="F680" t="str">
        <f t="shared" si="16"/>
        <v>_</v>
      </c>
    </row>
    <row r="681" spans="3:6">
      <c r="C681" s="45"/>
      <c r="D681" t="str">
        <f t="shared" si="17"/>
        <v>_</v>
      </c>
      <c r="F681" t="str">
        <f t="shared" si="16"/>
        <v>_</v>
      </c>
    </row>
    <row r="682" spans="3:6">
      <c r="C682" s="45"/>
      <c r="D682" t="str">
        <f t="shared" si="17"/>
        <v>_</v>
      </c>
      <c r="F682" t="str">
        <f t="shared" si="16"/>
        <v>_</v>
      </c>
    </row>
    <row r="683" spans="3:6">
      <c r="C683" s="45"/>
      <c r="D683" t="str">
        <f t="shared" si="17"/>
        <v>_</v>
      </c>
      <c r="F683" t="str">
        <f t="shared" si="16"/>
        <v>_</v>
      </c>
    </row>
    <row r="684" spans="3:6">
      <c r="C684" s="45"/>
      <c r="D684" t="str">
        <f t="shared" si="17"/>
        <v>_</v>
      </c>
      <c r="F684" t="str">
        <f t="shared" si="16"/>
        <v>_</v>
      </c>
    </row>
    <row r="685" spans="3:6">
      <c r="C685" s="45"/>
      <c r="D685" t="str">
        <f t="shared" si="17"/>
        <v>_</v>
      </c>
      <c r="F685" t="str">
        <f t="shared" si="16"/>
        <v>_</v>
      </c>
    </row>
    <row r="686" spans="3:6">
      <c r="C686" s="45"/>
      <c r="D686" t="str">
        <f t="shared" si="17"/>
        <v>_</v>
      </c>
      <c r="F686" t="str">
        <f t="shared" si="16"/>
        <v>_</v>
      </c>
    </row>
    <row r="687" spans="3:6">
      <c r="C687" s="45"/>
      <c r="D687" t="str">
        <f t="shared" si="17"/>
        <v>_</v>
      </c>
      <c r="F687" t="str">
        <f t="shared" si="16"/>
        <v>_</v>
      </c>
    </row>
    <row r="688" spans="3:6">
      <c r="C688" s="45"/>
      <c r="D688" t="str">
        <f t="shared" si="17"/>
        <v>_</v>
      </c>
      <c r="F688" t="str">
        <f t="shared" si="16"/>
        <v>_</v>
      </c>
    </row>
    <row r="689" spans="3:6">
      <c r="C689" s="45"/>
      <c r="D689" t="str">
        <f t="shared" si="17"/>
        <v>_</v>
      </c>
      <c r="F689" t="str">
        <f t="shared" si="16"/>
        <v>_</v>
      </c>
    </row>
    <row r="690" spans="3:6">
      <c r="C690" s="45"/>
      <c r="D690" t="str">
        <f t="shared" si="17"/>
        <v>_</v>
      </c>
      <c r="F690" t="str">
        <f t="shared" si="16"/>
        <v>_</v>
      </c>
    </row>
    <row r="691" spans="3:6">
      <c r="C691" s="45"/>
      <c r="D691" t="str">
        <f t="shared" si="17"/>
        <v>_</v>
      </c>
      <c r="F691" t="str">
        <f t="shared" si="16"/>
        <v>_</v>
      </c>
    </row>
    <row r="692" spans="3:6">
      <c r="C692" s="45"/>
      <c r="D692" t="str">
        <f t="shared" si="17"/>
        <v>_</v>
      </c>
      <c r="F692" t="str">
        <f t="shared" si="16"/>
        <v>_</v>
      </c>
    </row>
    <row r="693" spans="3:6">
      <c r="C693" s="45"/>
      <c r="D693" t="str">
        <f t="shared" si="17"/>
        <v>_</v>
      </c>
      <c r="F693" t="str">
        <f t="shared" si="16"/>
        <v>_</v>
      </c>
    </row>
    <row r="694" spans="3:6">
      <c r="C694" s="45"/>
      <c r="D694" t="str">
        <f t="shared" si="17"/>
        <v>_</v>
      </c>
      <c r="F694" t="str">
        <f t="shared" si="16"/>
        <v>_</v>
      </c>
    </row>
    <row r="695" spans="3:6">
      <c r="C695" s="45"/>
      <c r="D695" t="str">
        <f t="shared" si="17"/>
        <v>_</v>
      </c>
      <c r="F695" t="str">
        <f t="shared" si="16"/>
        <v>_</v>
      </c>
    </row>
    <row r="696" spans="3:6">
      <c r="C696" s="45"/>
      <c r="D696" t="str">
        <f t="shared" si="17"/>
        <v>_</v>
      </c>
      <c r="F696" t="str">
        <f t="shared" si="16"/>
        <v>_</v>
      </c>
    </row>
    <row r="697" spans="3:6">
      <c r="C697" s="45"/>
      <c r="D697" t="str">
        <f t="shared" si="17"/>
        <v>_</v>
      </c>
      <c r="F697" t="str">
        <f t="shared" si="16"/>
        <v>_</v>
      </c>
    </row>
    <row r="698" spans="3:6">
      <c r="C698" s="45"/>
      <c r="D698" t="str">
        <f t="shared" si="17"/>
        <v>_</v>
      </c>
      <c r="F698" t="str">
        <f t="shared" si="16"/>
        <v>_</v>
      </c>
    </row>
    <row r="699" spans="3:6">
      <c r="C699" s="45"/>
      <c r="D699" t="str">
        <f t="shared" si="17"/>
        <v>_</v>
      </c>
      <c r="F699" t="str">
        <f t="shared" si="16"/>
        <v>_</v>
      </c>
    </row>
    <row r="700" spans="3:6">
      <c r="C700" s="45"/>
      <c r="D700" t="str">
        <f t="shared" si="17"/>
        <v>_</v>
      </c>
      <c r="F700" t="str">
        <f t="shared" si="16"/>
        <v>_</v>
      </c>
    </row>
    <row r="701" spans="3:6">
      <c r="C701" s="45"/>
      <c r="D701" t="str">
        <f t="shared" si="17"/>
        <v>_</v>
      </c>
      <c r="F701" t="str">
        <f t="shared" ref="F701:F736" si="18">_xlfn.CONCAT(A701,"_",B701)</f>
        <v>_</v>
      </c>
    </row>
    <row r="702" spans="3:6">
      <c r="C702" s="45"/>
      <c r="D702" t="str">
        <f t="shared" si="17"/>
        <v>_</v>
      </c>
      <c r="F702" t="str">
        <f t="shared" si="18"/>
        <v>_</v>
      </c>
    </row>
    <row r="703" spans="3:6">
      <c r="C703" s="45"/>
      <c r="D703" t="str">
        <f t="shared" si="17"/>
        <v>_</v>
      </c>
      <c r="F703" t="str">
        <f t="shared" si="18"/>
        <v>_</v>
      </c>
    </row>
    <row r="704" spans="3:6">
      <c r="C704" s="45"/>
      <c r="D704" t="str">
        <f t="shared" si="17"/>
        <v>_</v>
      </c>
      <c r="F704" t="str">
        <f t="shared" si="18"/>
        <v>_</v>
      </c>
    </row>
    <row r="705" spans="3:6">
      <c r="C705" s="45"/>
      <c r="D705" t="str">
        <f t="shared" si="17"/>
        <v>_</v>
      </c>
      <c r="F705" t="str">
        <f t="shared" si="18"/>
        <v>_</v>
      </c>
    </row>
    <row r="706" spans="3:6">
      <c r="C706" s="45"/>
      <c r="D706" t="str">
        <f t="shared" ref="D706:D769" si="19">_xlfn.CONCAT(A706,"_",B706)</f>
        <v>_</v>
      </c>
      <c r="F706" t="str">
        <f t="shared" si="18"/>
        <v>_</v>
      </c>
    </row>
    <row r="707" spans="3:6">
      <c r="C707" s="45"/>
      <c r="D707" t="str">
        <f t="shared" si="19"/>
        <v>_</v>
      </c>
      <c r="F707" t="str">
        <f t="shared" si="18"/>
        <v>_</v>
      </c>
    </row>
    <row r="708" spans="3:6">
      <c r="C708" s="45"/>
      <c r="D708" t="str">
        <f t="shared" si="19"/>
        <v>_</v>
      </c>
      <c r="F708" t="str">
        <f t="shared" si="18"/>
        <v>_</v>
      </c>
    </row>
    <row r="709" spans="3:6">
      <c r="C709" s="45"/>
      <c r="D709" t="str">
        <f t="shared" si="19"/>
        <v>_</v>
      </c>
      <c r="F709" t="str">
        <f t="shared" si="18"/>
        <v>_</v>
      </c>
    </row>
    <row r="710" spans="3:6">
      <c r="C710" s="45"/>
      <c r="D710" t="str">
        <f t="shared" si="19"/>
        <v>_</v>
      </c>
      <c r="F710" t="str">
        <f t="shared" si="18"/>
        <v>_</v>
      </c>
    </row>
    <row r="711" spans="3:6">
      <c r="C711" s="45"/>
      <c r="D711" t="str">
        <f t="shared" si="19"/>
        <v>_</v>
      </c>
      <c r="F711" t="str">
        <f t="shared" si="18"/>
        <v>_</v>
      </c>
    </row>
    <row r="712" spans="3:6">
      <c r="C712" s="45"/>
      <c r="D712" t="str">
        <f t="shared" si="19"/>
        <v>_</v>
      </c>
      <c r="F712" t="str">
        <f t="shared" si="18"/>
        <v>_</v>
      </c>
    </row>
    <row r="713" spans="3:6">
      <c r="C713" s="45"/>
      <c r="D713" t="str">
        <f t="shared" si="19"/>
        <v>_</v>
      </c>
      <c r="F713" t="str">
        <f t="shared" si="18"/>
        <v>_</v>
      </c>
    </row>
    <row r="714" spans="3:6">
      <c r="C714" s="45"/>
      <c r="D714" t="str">
        <f t="shared" si="19"/>
        <v>_</v>
      </c>
      <c r="F714" t="str">
        <f t="shared" si="18"/>
        <v>_</v>
      </c>
    </row>
    <row r="715" spans="3:6">
      <c r="C715" s="45"/>
      <c r="D715" t="str">
        <f t="shared" si="19"/>
        <v>_</v>
      </c>
      <c r="F715" t="str">
        <f t="shared" si="18"/>
        <v>_</v>
      </c>
    </row>
    <row r="716" spans="3:6">
      <c r="C716" s="45"/>
      <c r="D716" t="str">
        <f t="shared" si="19"/>
        <v>_</v>
      </c>
      <c r="F716" t="str">
        <f t="shared" si="18"/>
        <v>_</v>
      </c>
    </row>
    <row r="717" spans="3:6">
      <c r="C717" s="45"/>
      <c r="D717" t="str">
        <f t="shared" si="19"/>
        <v>_</v>
      </c>
      <c r="F717" t="str">
        <f t="shared" si="18"/>
        <v>_</v>
      </c>
    </row>
    <row r="718" spans="3:6">
      <c r="C718" s="45"/>
      <c r="D718" t="str">
        <f t="shared" si="19"/>
        <v>_</v>
      </c>
      <c r="F718" t="str">
        <f t="shared" si="18"/>
        <v>_</v>
      </c>
    </row>
    <row r="719" spans="3:6">
      <c r="C719" s="45"/>
      <c r="D719" t="str">
        <f t="shared" si="19"/>
        <v>_</v>
      </c>
      <c r="F719" t="str">
        <f t="shared" si="18"/>
        <v>_</v>
      </c>
    </row>
    <row r="720" spans="3:6">
      <c r="C720" s="45"/>
      <c r="D720" t="str">
        <f t="shared" si="19"/>
        <v>_</v>
      </c>
      <c r="F720" t="str">
        <f t="shared" si="18"/>
        <v>_</v>
      </c>
    </row>
    <row r="721" spans="3:6">
      <c r="C721" s="45"/>
      <c r="D721" t="str">
        <f t="shared" si="19"/>
        <v>_</v>
      </c>
      <c r="F721" t="str">
        <f t="shared" si="18"/>
        <v>_</v>
      </c>
    </row>
    <row r="722" spans="3:6">
      <c r="C722" s="45"/>
      <c r="D722" t="str">
        <f t="shared" si="19"/>
        <v>_</v>
      </c>
      <c r="F722" t="str">
        <f t="shared" si="18"/>
        <v>_</v>
      </c>
    </row>
    <row r="723" spans="3:6">
      <c r="C723" s="45"/>
      <c r="D723" t="str">
        <f t="shared" si="19"/>
        <v>_</v>
      </c>
      <c r="F723" t="str">
        <f t="shared" si="18"/>
        <v>_</v>
      </c>
    </row>
    <row r="724" spans="3:6">
      <c r="C724" s="45"/>
      <c r="D724" t="str">
        <f t="shared" si="19"/>
        <v>_</v>
      </c>
      <c r="F724" t="str">
        <f t="shared" si="18"/>
        <v>_</v>
      </c>
    </row>
    <row r="725" spans="3:6">
      <c r="C725" s="45"/>
      <c r="D725" t="str">
        <f t="shared" si="19"/>
        <v>_</v>
      </c>
      <c r="F725" t="str">
        <f t="shared" si="18"/>
        <v>_</v>
      </c>
    </row>
    <row r="726" spans="3:6">
      <c r="C726" s="45"/>
      <c r="D726" t="str">
        <f t="shared" si="19"/>
        <v>_</v>
      </c>
      <c r="F726" t="str">
        <f t="shared" si="18"/>
        <v>_</v>
      </c>
    </row>
    <row r="727" spans="3:6">
      <c r="C727" s="45"/>
      <c r="D727" t="str">
        <f t="shared" si="19"/>
        <v>_</v>
      </c>
      <c r="F727" t="str">
        <f t="shared" si="18"/>
        <v>_</v>
      </c>
    </row>
    <row r="728" spans="3:6">
      <c r="C728" s="45"/>
      <c r="D728" t="str">
        <f t="shared" si="19"/>
        <v>_</v>
      </c>
      <c r="F728" t="str">
        <f t="shared" si="18"/>
        <v>_</v>
      </c>
    </row>
    <row r="729" spans="3:6">
      <c r="C729" s="45"/>
      <c r="D729" t="str">
        <f t="shared" si="19"/>
        <v>_</v>
      </c>
      <c r="F729" t="str">
        <f t="shared" si="18"/>
        <v>_</v>
      </c>
    </row>
    <row r="730" spans="3:6">
      <c r="C730" s="45"/>
      <c r="D730" t="str">
        <f t="shared" si="19"/>
        <v>_</v>
      </c>
      <c r="F730" t="str">
        <f t="shared" si="18"/>
        <v>_</v>
      </c>
    </row>
    <row r="731" spans="3:6">
      <c r="C731" s="45"/>
      <c r="D731" t="str">
        <f t="shared" si="19"/>
        <v>_</v>
      </c>
      <c r="F731" t="str">
        <f t="shared" si="18"/>
        <v>_</v>
      </c>
    </row>
    <row r="732" spans="3:6">
      <c r="C732" s="45"/>
      <c r="D732" t="str">
        <f t="shared" si="19"/>
        <v>_</v>
      </c>
      <c r="F732" t="str">
        <f t="shared" si="18"/>
        <v>_</v>
      </c>
    </row>
    <row r="733" spans="3:6">
      <c r="C733" s="45"/>
      <c r="D733" t="str">
        <f t="shared" si="19"/>
        <v>_</v>
      </c>
      <c r="F733" t="str">
        <f t="shared" si="18"/>
        <v>_</v>
      </c>
    </row>
    <row r="734" spans="3:6">
      <c r="C734" s="45"/>
      <c r="D734" t="str">
        <f t="shared" si="19"/>
        <v>_</v>
      </c>
      <c r="F734" t="str">
        <f t="shared" si="18"/>
        <v>_</v>
      </c>
    </row>
    <row r="735" spans="3:6">
      <c r="C735" s="45"/>
      <c r="D735" t="str">
        <f t="shared" si="19"/>
        <v>_</v>
      </c>
      <c r="F735" t="str">
        <f t="shared" si="18"/>
        <v>_</v>
      </c>
    </row>
    <row r="736" spans="3:6">
      <c r="C736" s="45"/>
      <c r="D736" t="str">
        <f t="shared" si="19"/>
        <v>_</v>
      </c>
      <c r="F736" t="str">
        <f t="shared" si="18"/>
        <v>_</v>
      </c>
    </row>
    <row r="737" spans="3:4">
      <c r="C737" s="45"/>
      <c r="D737" t="str">
        <f t="shared" si="19"/>
        <v>_</v>
      </c>
    </row>
    <row r="738" spans="3:4">
      <c r="C738" s="45"/>
      <c r="D738" t="str">
        <f t="shared" si="19"/>
        <v>_</v>
      </c>
    </row>
    <row r="739" spans="3:4">
      <c r="C739" s="45"/>
      <c r="D739" t="str">
        <f t="shared" si="19"/>
        <v>_</v>
      </c>
    </row>
    <row r="740" spans="3:4">
      <c r="C740" s="45"/>
      <c r="D740" t="str">
        <f t="shared" si="19"/>
        <v>_</v>
      </c>
    </row>
    <row r="741" spans="3:4">
      <c r="C741" s="45"/>
      <c r="D741" t="str">
        <f t="shared" si="19"/>
        <v>_</v>
      </c>
    </row>
    <row r="742" spans="3:4">
      <c r="C742" s="45"/>
      <c r="D742" t="str">
        <f t="shared" si="19"/>
        <v>_</v>
      </c>
    </row>
    <row r="743" spans="3:4">
      <c r="C743" s="45"/>
      <c r="D743" t="str">
        <f t="shared" si="19"/>
        <v>_</v>
      </c>
    </row>
    <row r="744" spans="3:4">
      <c r="C744" s="45"/>
      <c r="D744" t="str">
        <f t="shared" si="19"/>
        <v>_</v>
      </c>
    </row>
    <row r="745" spans="3:4">
      <c r="C745" s="45"/>
      <c r="D745" t="str">
        <f t="shared" si="19"/>
        <v>_</v>
      </c>
    </row>
    <row r="746" spans="3:4">
      <c r="C746" s="45"/>
      <c r="D746" t="str">
        <f t="shared" si="19"/>
        <v>_</v>
      </c>
    </row>
    <row r="747" spans="3:4">
      <c r="C747" s="45"/>
      <c r="D747" t="str">
        <f t="shared" si="19"/>
        <v>_</v>
      </c>
    </row>
    <row r="748" spans="3:4">
      <c r="C748" s="45"/>
      <c r="D748" t="str">
        <f t="shared" si="19"/>
        <v>_</v>
      </c>
    </row>
    <row r="749" spans="3:4">
      <c r="C749" s="45"/>
      <c r="D749" t="str">
        <f t="shared" si="19"/>
        <v>_</v>
      </c>
    </row>
    <row r="750" spans="3:4">
      <c r="C750" s="45"/>
      <c r="D750" t="str">
        <f t="shared" si="19"/>
        <v>_</v>
      </c>
    </row>
    <row r="751" spans="3:4">
      <c r="C751" s="45"/>
      <c r="D751" t="str">
        <f t="shared" si="19"/>
        <v>_</v>
      </c>
    </row>
    <row r="752" spans="3:4">
      <c r="C752" s="45"/>
      <c r="D752" t="str">
        <f t="shared" si="19"/>
        <v>_</v>
      </c>
    </row>
    <row r="753" spans="3:4">
      <c r="C753" s="45"/>
      <c r="D753" t="str">
        <f t="shared" si="19"/>
        <v>_</v>
      </c>
    </row>
    <row r="754" spans="3:4">
      <c r="C754" s="45"/>
      <c r="D754" t="str">
        <f t="shared" si="19"/>
        <v>_</v>
      </c>
    </row>
    <row r="755" spans="3:4">
      <c r="C755" s="45"/>
      <c r="D755" t="str">
        <f t="shared" si="19"/>
        <v>_</v>
      </c>
    </row>
    <row r="756" spans="3:4">
      <c r="C756" s="45"/>
      <c r="D756" t="str">
        <f t="shared" si="19"/>
        <v>_</v>
      </c>
    </row>
    <row r="757" spans="3:4">
      <c r="C757" s="45"/>
      <c r="D757" t="str">
        <f t="shared" si="19"/>
        <v>_</v>
      </c>
    </row>
    <row r="758" spans="3:4">
      <c r="C758" s="45"/>
      <c r="D758" t="str">
        <f t="shared" si="19"/>
        <v>_</v>
      </c>
    </row>
    <row r="759" spans="3:4">
      <c r="C759" s="45"/>
      <c r="D759" t="str">
        <f t="shared" si="19"/>
        <v>_</v>
      </c>
    </row>
    <row r="760" spans="3:4">
      <c r="C760" s="45"/>
      <c r="D760" t="str">
        <f t="shared" si="19"/>
        <v>_</v>
      </c>
    </row>
    <row r="761" spans="3:4">
      <c r="C761" s="45"/>
      <c r="D761" t="str">
        <f t="shared" si="19"/>
        <v>_</v>
      </c>
    </row>
    <row r="762" spans="3:4">
      <c r="C762" s="45"/>
      <c r="D762" t="str">
        <f t="shared" si="19"/>
        <v>_</v>
      </c>
    </row>
    <row r="763" spans="3:4">
      <c r="C763" s="45"/>
      <c r="D763" t="str">
        <f t="shared" si="19"/>
        <v>_</v>
      </c>
    </row>
    <row r="764" spans="3:4">
      <c r="C764" s="45"/>
      <c r="D764" t="str">
        <f t="shared" si="19"/>
        <v>_</v>
      </c>
    </row>
    <row r="765" spans="3:4">
      <c r="C765" s="45"/>
      <c r="D765" t="str">
        <f t="shared" si="19"/>
        <v>_</v>
      </c>
    </row>
    <row r="766" spans="3:4">
      <c r="C766" s="45"/>
      <c r="D766" t="str">
        <f t="shared" si="19"/>
        <v>_</v>
      </c>
    </row>
    <row r="767" spans="3:4">
      <c r="C767" s="45"/>
      <c r="D767" t="str">
        <f t="shared" si="19"/>
        <v>_</v>
      </c>
    </row>
    <row r="768" spans="3:4">
      <c r="C768" s="45"/>
      <c r="D768" t="str">
        <f t="shared" si="19"/>
        <v>_</v>
      </c>
    </row>
    <row r="769" spans="3:4">
      <c r="C769" s="45"/>
      <c r="D769" t="str">
        <f t="shared" si="19"/>
        <v>_</v>
      </c>
    </row>
    <row r="770" spans="3:4">
      <c r="C770" s="45"/>
      <c r="D770" t="str">
        <f t="shared" ref="D770:D833" si="20">_xlfn.CONCAT(A770,"_",B770)</f>
        <v>_</v>
      </c>
    </row>
    <row r="771" spans="3:4">
      <c r="C771" s="45"/>
      <c r="D771" t="str">
        <f t="shared" si="20"/>
        <v>_</v>
      </c>
    </row>
    <row r="772" spans="3:4">
      <c r="C772" s="45"/>
      <c r="D772" t="str">
        <f t="shared" si="20"/>
        <v>_</v>
      </c>
    </row>
    <row r="773" spans="3:4">
      <c r="C773" s="45"/>
      <c r="D773" t="str">
        <f t="shared" si="20"/>
        <v>_</v>
      </c>
    </row>
    <row r="774" spans="3:4">
      <c r="C774" s="45"/>
      <c r="D774" t="str">
        <f t="shared" si="20"/>
        <v>_</v>
      </c>
    </row>
    <row r="775" spans="3:4">
      <c r="C775" s="45"/>
      <c r="D775" t="str">
        <f t="shared" si="20"/>
        <v>_</v>
      </c>
    </row>
    <row r="776" spans="3:4">
      <c r="C776" s="45"/>
      <c r="D776" t="str">
        <f t="shared" si="20"/>
        <v>_</v>
      </c>
    </row>
    <row r="777" spans="3:4">
      <c r="C777" s="45"/>
      <c r="D777" t="str">
        <f t="shared" si="20"/>
        <v>_</v>
      </c>
    </row>
    <row r="778" spans="3:4">
      <c r="C778" s="45"/>
      <c r="D778" t="str">
        <f t="shared" si="20"/>
        <v>_</v>
      </c>
    </row>
    <row r="779" spans="3:4">
      <c r="C779" s="45"/>
      <c r="D779" t="str">
        <f t="shared" si="20"/>
        <v>_</v>
      </c>
    </row>
    <row r="780" spans="3:4">
      <c r="C780" s="45"/>
      <c r="D780" t="str">
        <f t="shared" si="20"/>
        <v>_</v>
      </c>
    </row>
    <row r="781" spans="3:4">
      <c r="C781" s="45"/>
      <c r="D781" t="str">
        <f t="shared" si="20"/>
        <v>_</v>
      </c>
    </row>
    <row r="782" spans="3:4">
      <c r="C782" s="45"/>
      <c r="D782" t="str">
        <f t="shared" si="20"/>
        <v>_</v>
      </c>
    </row>
    <row r="783" spans="3:4">
      <c r="C783" s="45"/>
      <c r="D783" t="str">
        <f t="shared" si="20"/>
        <v>_</v>
      </c>
    </row>
    <row r="784" spans="3:4">
      <c r="C784" s="45"/>
      <c r="D784" t="str">
        <f t="shared" si="20"/>
        <v>_</v>
      </c>
    </row>
    <row r="785" spans="3:4">
      <c r="C785" s="45"/>
      <c r="D785" t="str">
        <f t="shared" si="20"/>
        <v>_</v>
      </c>
    </row>
    <row r="786" spans="3:4">
      <c r="C786" s="45"/>
      <c r="D786" t="str">
        <f t="shared" si="20"/>
        <v>_</v>
      </c>
    </row>
    <row r="787" spans="3:4">
      <c r="C787" s="45"/>
      <c r="D787" t="str">
        <f t="shared" si="20"/>
        <v>_</v>
      </c>
    </row>
    <row r="788" spans="3:4">
      <c r="C788" s="45"/>
      <c r="D788" t="str">
        <f t="shared" si="20"/>
        <v>_</v>
      </c>
    </row>
    <row r="789" spans="3:4">
      <c r="C789" s="45"/>
      <c r="D789" t="str">
        <f t="shared" si="20"/>
        <v>_</v>
      </c>
    </row>
    <row r="790" spans="3:4">
      <c r="C790" s="45"/>
      <c r="D790" t="str">
        <f t="shared" si="20"/>
        <v>_</v>
      </c>
    </row>
    <row r="791" spans="3:4">
      <c r="C791" s="45"/>
      <c r="D791" t="str">
        <f t="shared" si="20"/>
        <v>_</v>
      </c>
    </row>
    <row r="792" spans="3:4">
      <c r="C792" s="45"/>
      <c r="D792" t="str">
        <f t="shared" si="20"/>
        <v>_</v>
      </c>
    </row>
    <row r="793" spans="3:4">
      <c r="C793" s="45"/>
      <c r="D793" t="str">
        <f t="shared" si="20"/>
        <v>_</v>
      </c>
    </row>
    <row r="794" spans="3:4">
      <c r="C794" s="45"/>
      <c r="D794" t="str">
        <f t="shared" si="20"/>
        <v>_</v>
      </c>
    </row>
    <row r="795" spans="3:4">
      <c r="C795" s="45"/>
      <c r="D795" t="str">
        <f t="shared" si="20"/>
        <v>_</v>
      </c>
    </row>
    <row r="796" spans="3:4">
      <c r="C796" s="45"/>
      <c r="D796" t="str">
        <f t="shared" si="20"/>
        <v>_</v>
      </c>
    </row>
    <row r="797" spans="3:4">
      <c r="C797" s="45"/>
      <c r="D797" t="str">
        <f t="shared" si="20"/>
        <v>_</v>
      </c>
    </row>
    <row r="798" spans="3:4">
      <c r="C798" s="45"/>
      <c r="D798" t="str">
        <f t="shared" si="20"/>
        <v>_</v>
      </c>
    </row>
    <row r="799" spans="3:4">
      <c r="C799" s="45"/>
      <c r="D799" t="str">
        <f t="shared" si="20"/>
        <v>_</v>
      </c>
    </row>
    <row r="800" spans="3:4">
      <c r="C800" s="45"/>
      <c r="D800" t="str">
        <f t="shared" si="20"/>
        <v>_</v>
      </c>
    </row>
    <row r="801" spans="3:4">
      <c r="C801" s="45"/>
      <c r="D801" t="str">
        <f t="shared" si="20"/>
        <v>_</v>
      </c>
    </row>
    <row r="802" spans="3:4">
      <c r="C802" s="45"/>
      <c r="D802" t="str">
        <f t="shared" si="20"/>
        <v>_</v>
      </c>
    </row>
    <row r="803" spans="3:4">
      <c r="C803" s="45"/>
      <c r="D803" t="str">
        <f t="shared" si="20"/>
        <v>_</v>
      </c>
    </row>
    <row r="804" spans="3:4">
      <c r="C804" s="45"/>
      <c r="D804" t="str">
        <f t="shared" si="20"/>
        <v>_</v>
      </c>
    </row>
    <row r="805" spans="3:4">
      <c r="C805" s="45"/>
      <c r="D805" t="str">
        <f t="shared" si="20"/>
        <v>_</v>
      </c>
    </row>
    <row r="806" spans="3:4">
      <c r="C806" s="45"/>
      <c r="D806" t="str">
        <f t="shared" si="20"/>
        <v>_</v>
      </c>
    </row>
    <row r="807" spans="3:4">
      <c r="C807" s="45"/>
      <c r="D807" t="str">
        <f t="shared" si="20"/>
        <v>_</v>
      </c>
    </row>
    <row r="808" spans="3:4">
      <c r="C808" s="45"/>
      <c r="D808" t="str">
        <f t="shared" si="20"/>
        <v>_</v>
      </c>
    </row>
    <row r="809" spans="3:4">
      <c r="C809" s="45"/>
      <c r="D809" t="str">
        <f t="shared" si="20"/>
        <v>_</v>
      </c>
    </row>
    <row r="810" spans="3:4">
      <c r="C810" s="45"/>
      <c r="D810" t="str">
        <f t="shared" si="20"/>
        <v>_</v>
      </c>
    </row>
    <row r="811" spans="3:4">
      <c r="C811" s="45"/>
      <c r="D811" t="str">
        <f t="shared" si="20"/>
        <v>_</v>
      </c>
    </row>
    <row r="812" spans="3:4">
      <c r="C812" s="45"/>
      <c r="D812" t="str">
        <f t="shared" si="20"/>
        <v>_</v>
      </c>
    </row>
    <row r="813" spans="3:4">
      <c r="C813" s="45"/>
      <c r="D813" t="str">
        <f t="shared" si="20"/>
        <v>_</v>
      </c>
    </row>
    <row r="814" spans="3:4">
      <c r="C814" s="45"/>
      <c r="D814" t="str">
        <f t="shared" si="20"/>
        <v>_</v>
      </c>
    </row>
    <row r="815" spans="3:4">
      <c r="C815" s="45"/>
      <c r="D815" t="str">
        <f t="shared" si="20"/>
        <v>_</v>
      </c>
    </row>
    <row r="816" spans="3:4">
      <c r="C816" s="45"/>
      <c r="D816" t="str">
        <f t="shared" si="20"/>
        <v>_</v>
      </c>
    </row>
    <row r="817" spans="3:4">
      <c r="C817" s="45"/>
      <c r="D817" t="str">
        <f t="shared" si="20"/>
        <v>_</v>
      </c>
    </row>
    <row r="818" spans="3:4">
      <c r="C818" s="45"/>
      <c r="D818" t="str">
        <f t="shared" si="20"/>
        <v>_</v>
      </c>
    </row>
    <row r="819" spans="3:4">
      <c r="C819" s="45"/>
      <c r="D819" t="str">
        <f t="shared" si="20"/>
        <v>_</v>
      </c>
    </row>
    <row r="820" spans="3:4">
      <c r="C820" s="45"/>
      <c r="D820" t="str">
        <f t="shared" si="20"/>
        <v>_</v>
      </c>
    </row>
    <row r="821" spans="3:4">
      <c r="C821" s="45"/>
      <c r="D821" t="str">
        <f t="shared" si="20"/>
        <v>_</v>
      </c>
    </row>
    <row r="822" spans="3:4">
      <c r="C822" s="45"/>
      <c r="D822" t="str">
        <f t="shared" si="20"/>
        <v>_</v>
      </c>
    </row>
    <row r="823" spans="3:4">
      <c r="C823" s="45"/>
      <c r="D823" t="str">
        <f t="shared" si="20"/>
        <v>_</v>
      </c>
    </row>
    <row r="824" spans="3:4">
      <c r="C824" s="45"/>
      <c r="D824" t="str">
        <f t="shared" si="20"/>
        <v>_</v>
      </c>
    </row>
    <row r="825" spans="3:4">
      <c r="C825" s="45"/>
      <c r="D825" t="str">
        <f t="shared" si="20"/>
        <v>_</v>
      </c>
    </row>
    <row r="826" spans="3:4">
      <c r="C826" s="45"/>
      <c r="D826" t="str">
        <f t="shared" si="20"/>
        <v>_</v>
      </c>
    </row>
    <row r="827" spans="3:4">
      <c r="C827" s="45"/>
      <c r="D827" t="str">
        <f t="shared" si="20"/>
        <v>_</v>
      </c>
    </row>
    <row r="828" spans="3:4">
      <c r="C828" s="45"/>
      <c r="D828" t="str">
        <f t="shared" si="20"/>
        <v>_</v>
      </c>
    </row>
    <row r="829" spans="3:4">
      <c r="C829" s="45"/>
      <c r="D829" t="str">
        <f t="shared" si="20"/>
        <v>_</v>
      </c>
    </row>
    <row r="830" spans="3:4">
      <c r="C830" s="45"/>
      <c r="D830" t="str">
        <f t="shared" si="20"/>
        <v>_</v>
      </c>
    </row>
    <row r="831" spans="3:4">
      <c r="C831" s="45"/>
      <c r="D831" t="str">
        <f t="shared" si="20"/>
        <v>_</v>
      </c>
    </row>
    <row r="832" spans="3:4">
      <c r="C832" s="45"/>
      <c r="D832" t="str">
        <f t="shared" si="20"/>
        <v>_</v>
      </c>
    </row>
    <row r="833" spans="3:4">
      <c r="C833" s="45"/>
      <c r="D833" t="str">
        <f t="shared" si="20"/>
        <v>_</v>
      </c>
    </row>
    <row r="834" spans="3:4">
      <c r="C834" s="45"/>
      <c r="D834" t="str">
        <f t="shared" ref="D834:D897" si="21">_xlfn.CONCAT(A834,"_",B834)</f>
        <v>_</v>
      </c>
    </row>
    <row r="835" spans="3:4">
      <c r="C835" s="45"/>
      <c r="D835" t="str">
        <f t="shared" si="21"/>
        <v>_</v>
      </c>
    </row>
    <row r="836" spans="3:4">
      <c r="C836" s="45"/>
      <c r="D836" t="str">
        <f t="shared" si="21"/>
        <v>_</v>
      </c>
    </row>
    <row r="837" spans="3:4">
      <c r="C837" s="45"/>
      <c r="D837" t="str">
        <f t="shared" si="21"/>
        <v>_</v>
      </c>
    </row>
    <row r="838" spans="3:4">
      <c r="C838" s="45"/>
      <c r="D838" t="str">
        <f t="shared" si="21"/>
        <v>_</v>
      </c>
    </row>
    <row r="839" spans="3:4">
      <c r="C839" s="45"/>
      <c r="D839" t="str">
        <f t="shared" si="21"/>
        <v>_</v>
      </c>
    </row>
    <row r="840" spans="3:4">
      <c r="C840" s="45"/>
      <c r="D840" t="str">
        <f t="shared" si="21"/>
        <v>_</v>
      </c>
    </row>
    <row r="841" spans="3:4">
      <c r="C841" s="45"/>
      <c r="D841" t="str">
        <f t="shared" si="21"/>
        <v>_</v>
      </c>
    </row>
    <row r="842" spans="3:4">
      <c r="C842" s="45"/>
      <c r="D842" t="str">
        <f t="shared" si="21"/>
        <v>_</v>
      </c>
    </row>
    <row r="843" spans="3:4">
      <c r="C843" s="45"/>
      <c r="D843" t="str">
        <f t="shared" si="21"/>
        <v>_</v>
      </c>
    </row>
    <row r="844" spans="3:4">
      <c r="C844" s="45"/>
      <c r="D844" t="str">
        <f t="shared" si="21"/>
        <v>_</v>
      </c>
    </row>
    <row r="845" spans="3:4">
      <c r="C845" s="45"/>
      <c r="D845" t="str">
        <f t="shared" si="21"/>
        <v>_</v>
      </c>
    </row>
    <row r="846" spans="3:4">
      <c r="C846" s="45"/>
      <c r="D846" t="str">
        <f t="shared" si="21"/>
        <v>_</v>
      </c>
    </row>
    <row r="847" spans="3:4">
      <c r="C847" s="45"/>
      <c r="D847" t="str">
        <f t="shared" si="21"/>
        <v>_</v>
      </c>
    </row>
    <row r="848" spans="3:4">
      <c r="C848" s="45"/>
      <c r="D848" t="str">
        <f t="shared" si="21"/>
        <v>_</v>
      </c>
    </row>
    <row r="849" spans="3:4">
      <c r="C849" s="45"/>
      <c r="D849" t="str">
        <f t="shared" si="21"/>
        <v>_</v>
      </c>
    </row>
    <row r="850" spans="3:4">
      <c r="C850" s="45"/>
      <c r="D850" t="str">
        <f t="shared" si="21"/>
        <v>_</v>
      </c>
    </row>
    <row r="851" spans="3:4">
      <c r="C851" s="45"/>
      <c r="D851" t="str">
        <f t="shared" si="21"/>
        <v>_</v>
      </c>
    </row>
    <row r="852" spans="3:4">
      <c r="C852" s="45"/>
      <c r="D852" t="str">
        <f t="shared" si="21"/>
        <v>_</v>
      </c>
    </row>
    <row r="853" spans="3:4">
      <c r="C853" s="45"/>
      <c r="D853" t="str">
        <f t="shared" si="21"/>
        <v>_</v>
      </c>
    </row>
    <row r="854" spans="3:4">
      <c r="C854" s="45"/>
      <c r="D854" t="str">
        <f t="shared" si="21"/>
        <v>_</v>
      </c>
    </row>
    <row r="855" spans="3:4">
      <c r="C855" s="45"/>
      <c r="D855" t="str">
        <f t="shared" si="21"/>
        <v>_</v>
      </c>
    </row>
    <row r="856" spans="3:4">
      <c r="C856" s="45"/>
      <c r="D856" t="str">
        <f t="shared" si="21"/>
        <v>_</v>
      </c>
    </row>
    <row r="857" spans="3:4">
      <c r="C857" s="45"/>
      <c r="D857" t="str">
        <f t="shared" si="21"/>
        <v>_</v>
      </c>
    </row>
    <row r="858" spans="3:4">
      <c r="C858" s="45"/>
      <c r="D858" t="str">
        <f t="shared" si="21"/>
        <v>_</v>
      </c>
    </row>
    <row r="859" spans="3:4">
      <c r="C859" s="45"/>
      <c r="D859" t="str">
        <f t="shared" si="21"/>
        <v>_</v>
      </c>
    </row>
    <row r="860" spans="3:4">
      <c r="C860" s="45"/>
      <c r="D860" t="str">
        <f t="shared" si="21"/>
        <v>_</v>
      </c>
    </row>
    <row r="861" spans="3:4">
      <c r="C861" s="45"/>
      <c r="D861" t="str">
        <f t="shared" si="21"/>
        <v>_</v>
      </c>
    </row>
    <row r="862" spans="3:4">
      <c r="C862" s="45"/>
      <c r="D862" t="str">
        <f t="shared" si="21"/>
        <v>_</v>
      </c>
    </row>
    <row r="863" spans="3:4">
      <c r="C863" s="45"/>
      <c r="D863" t="str">
        <f t="shared" si="21"/>
        <v>_</v>
      </c>
    </row>
    <row r="864" spans="3:4">
      <c r="C864" s="45"/>
      <c r="D864" t="str">
        <f t="shared" si="21"/>
        <v>_</v>
      </c>
    </row>
    <row r="865" spans="3:4">
      <c r="C865" s="45"/>
      <c r="D865" t="str">
        <f t="shared" si="21"/>
        <v>_</v>
      </c>
    </row>
    <row r="866" spans="3:4">
      <c r="C866" s="45"/>
      <c r="D866" t="str">
        <f t="shared" si="21"/>
        <v>_</v>
      </c>
    </row>
    <row r="867" spans="3:4">
      <c r="C867" s="45"/>
      <c r="D867" t="str">
        <f t="shared" si="21"/>
        <v>_</v>
      </c>
    </row>
    <row r="868" spans="3:4">
      <c r="C868" s="45"/>
      <c r="D868" t="str">
        <f t="shared" si="21"/>
        <v>_</v>
      </c>
    </row>
    <row r="869" spans="3:4">
      <c r="C869" s="45"/>
      <c r="D869" t="str">
        <f t="shared" si="21"/>
        <v>_</v>
      </c>
    </row>
    <row r="870" spans="3:4">
      <c r="C870" s="45"/>
      <c r="D870" t="str">
        <f t="shared" si="21"/>
        <v>_</v>
      </c>
    </row>
    <row r="871" spans="3:4">
      <c r="C871" s="45"/>
      <c r="D871" t="str">
        <f t="shared" si="21"/>
        <v>_</v>
      </c>
    </row>
    <row r="872" spans="3:4">
      <c r="C872" s="45"/>
      <c r="D872" t="str">
        <f t="shared" si="21"/>
        <v>_</v>
      </c>
    </row>
    <row r="873" spans="3:4">
      <c r="C873" s="45"/>
      <c r="D873" t="str">
        <f t="shared" si="21"/>
        <v>_</v>
      </c>
    </row>
    <row r="874" spans="3:4">
      <c r="C874" s="45"/>
      <c r="D874" t="str">
        <f t="shared" si="21"/>
        <v>_</v>
      </c>
    </row>
    <row r="875" spans="3:4">
      <c r="C875" s="45"/>
      <c r="D875" t="str">
        <f t="shared" si="21"/>
        <v>_</v>
      </c>
    </row>
    <row r="876" spans="3:4">
      <c r="C876" s="45"/>
      <c r="D876" t="str">
        <f t="shared" si="21"/>
        <v>_</v>
      </c>
    </row>
    <row r="877" spans="3:4">
      <c r="C877" s="45"/>
      <c r="D877" t="str">
        <f t="shared" si="21"/>
        <v>_</v>
      </c>
    </row>
    <row r="878" spans="3:4">
      <c r="C878" s="45"/>
      <c r="D878" t="str">
        <f t="shared" si="21"/>
        <v>_</v>
      </c>
    </row>
    <row r="879" spans="3:4">
      <c r="C879" s="45"/>
      <c r="D879" t="str">
        <f t="shared" si="21"/>
        <v>_</v>
      </c>
    </row>
    <row r="880" spans="3:4">
      <c r="C880" s="45"/>
      <c r="D880" t="str">
        <f t="shared" si="21"/>
        <v>_</v>
      </c>
    </row>
    <row r="881" spans="1:4">
      <c r="C881" s="45"/>
      <c r="D881" t="str">
        <f t="shared" si="21"/>
        <v>_</v>
      </c>
    </row>
    <row r="882" spans="1:4">
      <c r="C882" s="45"/>
      <c r="D882" t="str">
        <f t="shared" si="21"/>
        <v>_</v>
      </c>
    </row>
    <row r="883" spans="1:4">
      <c r="C883" s="45"/>
      <c r="D883" t="str">
        <f t="shared" si="21"/>
        <v>_</v>
      </c>
    </row>
    <row r="884" spans="1:4">
      <c r="C884" s="45"/>
      <c r="D884" t="str">
        <f t="shared" si="21"/>
        <v>_</v>
      </c>
    </row>
    <row r="885" spans="1:4">
      <c r="C885" s="45"/>
      <c r="D885" t="str">
        <f t="shared" si="21"/>
        <v>_</v>
      </c>
    </row>
    <row r="886" spans="1:4">
      <c r="A886" s="47"/>
      <c r="B886" s="47"/>
      <c r="C886" s="48"/>
      <c r="D886" s="47" t="str">
        <f t="shared" si="21"/>
        <v>_</v>
      </c>
    </row>
    <row r="887" spans="1:4">
      <c r="C887" s="45"/>
      <c r="D887" t="str">
        <f t="shared" si="21"/>
        <v>_</v>
      </c>
    </row>
    <row r="888" spans="1:4">
      <c r="C888" s="45"/>
      <c r="D888" t="str">
        <f t="shared" si="21"/>
        <v>_</v>
      </c>
    </row>
    <row r="889" spans="1:4">
      <c r="C889" s="45"/>
      <c r="D889" t="str">
        <f t="shared" si="21"/>
        <v>_</v>
      </c>
    </row>
    <row r="890" spans="1:4">
      <c r="C890" s="45"/>
      <c r="D890" t="str">
        <f t="shared" si="21"/>
        <v>_</v>
      </c>
    </row>
    <row r="891" spans="1:4">
      <c r="C891" s="45"/>
      <c r="D891" t="str">
        <f t="shared" si="21"/>
        <v>_</v>
      </c>
    </row>
    <row r="892" spans="1:4">
      <c r="C892" s="45"/>
      <c r="D892" t="str">
        <f t="shared" si="21"/>
        <v>_</v>
      </c>
    </row>
    <row r="893" spans="1:4">
      <c r="C893" s="45"/>
      <c r="D893" t="str">
        <f t="shared" si="21"/>
        <v>_</v>
      </c>
    </row>
    <row r="894" spans="1:4">
      <c r="C894" s="45"/>
      <c r="D894" t="str">
        <f t="shared" si="21"/>
        <v>_</v>
      </c>
    </row>
    <row r="895" spans="1:4">
      <c r="C895" s="45"/>
      <c r="D895" t="str">
        <f t="shared" si="21"/>
        <v>_</v>
      </c>
    </row>
    <row r="896" spans="1:4">
      <c r="C896" s="45"/>
      <c r="D896" t="str">
        <f t="shared" si="21"/>
        <v>_</v>
      </c>
    </row>
    <row r="897" spans="3:4">
      <c r="C897" s="45"/>
      <c r="D897" t="str">
        <f t="shared" si="21"/>
        <v>_</v>
      </c>
    </row>
    <row r="898" spans="3:4">
      <c r="C898" s="45"/>
      <c r="D898" t="str">
        <f t="shared" ref="D898:D961" si="22">_xlfn.CONCAT(A898,"_",B898)</f>
        <v>_</v>
      </c>
    </row>
    <row r="899" spans="3:4">
      <c r="C899" s="45"/>
      <c r="D899" t="str">
        <f t="shared" si="22"/>
        <v>_</v>
      </c>
    </row>
    <row r="900" spans="3:4">
      <c r="C900" s="45"/>
      <c r="D900" t="str">
        <f t="shared" si="22"/>
        <v>_</v>
      </c>
    </row>
    <row r="901" spans="3:4">
      <c r="C901" s="45"/>
      <c r="D901" t="str">
        <f t="shared" si="22"/>
        <v>_</v>
      </c>
    </row>
    <row r="902" spans="3:4">
      <c r="C902" s="45"/>
      <c r="D902" t="str">
        <f t="shared" si="22"/>
        <v>_</v>
      </c>
    </row>
    <row r="903" spans="3:4">
      <c r="C903" s="45"/>
      <c r="D903" t="str">
        <f t="shared" si="22"/>
        <v>_</v>
      </c>
    </row>
    <row r="904" spans="3:4">
      <c r="C904" s="45"/>
      <c r="D904" t="str">
        <f t="shared" si="22"/>
        <v>_</v>
      </c>
    </row>
    <row r="905" spans="3:4">
      <c r="C905" s="45"/>
      <c r="D905" t="str">
        <f t="shared" si="22"/>
        <v>_</v>
      </c>
    </row>
    <row r="906" spans="3:4">
      <c r="C906" s="45"/>
      <c r="D906" t="str">
        <f t="shared" si="22"/>
        <v>_</v>
      </c>
    </row>
    <row r="907" spans="3:4">
      <c r="C907" s="45"/>
      <c r="D907" t="str">
        <f t="shared" si="22"/>
        <v>_</v>
      </c>
    </row>
    <row r="908" spans="3:4">
      <c r="C908" s="45"/>
      <c r="D908" t="str">
        <f t="shared" si="22"/>
        <v>_</v>
      </c>
    </row>
    <row r="909" spans="3:4">
      <c r="C909" s="45"/>
      <c r="D909" t="str">
        <f t="shared" si="22"/>
        <v>_</v>
      </c>
    </row>
    <row r="910" spans="3:4">
      <c r="C910" s="45"/>
      <c r="D910" t="str">
        <f t="shared" si="22"/>
        <v>_</v>
      </c>
    </row>
    <row r="911" spans="3:4">
      <c r="C911" s="45"/>
      <c r="D911" t="str">
        <f t="shared" si="22"/>
        <v>_</v>
      </c>
    </row>
    <row r="912" spans="3:4">
      <c r="C912" s="45"/>
      <c r="D912" t="str">
        <f t="shared" si="22"/>
        <v>_</v>
      </c>
    </row>
    <row r="913" spans="3:4">
      <c r="C913" s="45"/>
      <c r="D913" t="str">
        <f t="shared" si="22"/>
        <v>_</v>
      </c>
    </row>
    <row r="914" spans="3:4">
      <c r="C914" s="45"/>
      <c r="D914" t="str">
        <f t="shared" si="22"/>
        <v>_</v>
      </c>
    </row>
    <row r="915" spans="3:4">
      <c r="C915" s="45"/>
      <c r="D915" t="str">
        <f t="shared" si="22"/>
        <v>_</v>
      </c>
    </row>
    <row r="916" spans="3:4">
      <c r="C916" s="45"/>
      <c r="D916" t="str">
        <f t="shared" si="22"/>
        <v>_</v>
      </c>
    </row>
    <row r="917" spans="3:4">
      <c r="C917" s="45"/>
      <c r="D917" t="str">
        <f t="shared" si="22"/>
        <v>_</v>
      </c>
    </row>
    <row r="918" spans="3:4">
      <c r="C918" s="45"/>
      <c r="D918" t="str">
        <f t="shared" si="22"/>
        <v>_</v>
      </c>
    </row>
    <row r="919" spans="3:4">
      <c r="C919" s="45"/>
      <c r="D919" t="str">
        <f t="shared" si="22"/>
        <v>_</v>
      </c>
    </row>
    <row r="920" spans="3:4">
      <c r="C920" s="45"/>
      <c r="D920" t="str">
        <f t="shared" si="22"/>
        <v>_</v>
      </c>
    </row>
    <row r="921" spans="3:4">
      <c r="C921" s="45"/>
      <c r="D921" t="str">
        <f t="shared" si="22"/>
        <v>_</v>
      </c>
    </row>
    <row r="922" spans="3:4">
      <c r="C922" s="45"/>
      <c r="D922" t="str">
        <f t="shared" si="22"/>
        <v>_</v>
      </c>
    </row>
    <row r="923" spans="3:4">
      <c r="C923" s="45"/>
      <c r="D923" t="str">
        <f t="shared" si="22"/>
        <v>_</v>
      </c>
    </row>
    <row r="924" spans="3:4">
      <c r="C924" s="45"/>
      <c r="D924" t="str">
        <f t="shared" si="22"/>
        <v>_</v>
      </c>
    </row>
    <row r="925" spans="3:4">
      <c r="C925" s="45"/>
      <c r="D925" t="str">
        <f t="shared" si="22"/>
        <v>_</v>
      </c>
    </row>
    <row r="926" spans="3:4">
      <c r="C926" s="45"/>
      <c r="D926" t="str">
        <f t="shared" si="22"/>
        <v>_</v>
      </c>
    </row>
    <row r="927" spans="3:4">
      <c r="C927" s="45"/>
      <c r="D927" t="str">
        <f t="shared" si="22"/>
        <v>_</v>
      </c>
    </row>
    <row r="928" spans="3:4">
      <c r="C928" s="45"/>
      <c r="D928" t="str">
        <f t="shared" si="22"/>
        <v>_</v>
      </c>
    </row>
    <row r="929" spans="3:4">
      <c r="C929" s="45"/>
      <c r="D929" t="str">
        <f t="shared" si="22"/>
        <v>_</v>
      </c>
    </row>
    <row r="930" spans="3:4">
      <c r="C930" s="45"/>
      <c r="D930" t="str">
        <f t="shared" si="22"/>
        <v>_</v>
      </c>
    </row>
    <row r="931" spans="3:4">
      <c r="C931" s="45"/>
      <c r="D931" t="str">
        <f t="shared" si="22"/>
        <v>_</v>
      </c>
    </row>
    <row r="932" spans="3:4">
      <c r="C932" s="45"/>
      <c r="D932" t="str">
        <f t="shared" si="22"/>
        <v>_</v>
      </c>
    </row>
    <row r="933" spans="3:4">
      <c r="C933" s="45"/>
      <c r="D933" t="str">
        <f t="shared" si="22"/>
        <v>_</v>
      </c>
    </row>
    <row r="934" spans="3:4">
      <c r="C934" s="45"/>
      <c r="D934" t="str">
        <f t="shared" si="22"/>
        <v>_</v>
      </c>
    </row>
    <row r="935" spans="3:4">
      <c r="C935" s="45"/>
      <c r="D935" t="str">
        <f t="shared" si="22"/>
        <v>_</v>
      </c>
    </row>
    <row r="936" spans="3:4">
      <c r="C936" s="45"/>
      <c r="D936" t="str">
        <f t="shared" si="22"/>
        <v>_</v>
      </c>
    </row>
    <row r="937" spans="3:4">
      <c r="C937" s="45"/>
      <c r="D937" t="str">
        <f t="shared" si="22"/>
        <v>_</v>
      </c>
    </row>
    <row r="938" spans="3:4">
      <c r="C938" s="45"/>
      <c r="D938" t="str">
        <f t="shared" si="22"/>
        <v>_</v>
      </c>
    </row>
    <row r="939" spans="3:4">
      <c r="C939" s="45"/>
      <c r="D939" t="str">
        <f t="shared" si="22"/>
        <v>_</v>
      </c>
    </row>
    <row r="940" spans="3:4">
      <c r="C940" s="45"/>
      <c r="D940" t="str">
        <f t="shared" si="22"/>
        <v>_</v>
      </c>
    </row>
    <row r="941" spans="3:4">
      <c r="C941" s="45"/>
      <c r="D941" t="str">
        <f t="shared" si="22"/>
        <v>_</v>
      </c>
    </row>
    <row r="942" spans="3:4">
      <c r="C942" s="45"/>
      <c r="D942" t="str">
        <f t="shared" si="22"/>
        <v>_</v>
      </c>
    </row>
    <row r="943" spans="3:4">
      <c r="C943" s="45"/>
      <c r="D943" t="str">
        <f t="shared" si="22"/>
        <v>_</v>
      </c>
    </row>
    <row r="944" spans="3:4">
      <c r="C944" s="45"/>
      <c r="D944" t="str">
        <f t="shared" si="22"/>
        <v>_</v>
      </c>
    </row>
    <row r="945" spans="3:4">
      <c r="C945" s="45"/>
      <c r="D945" t="str">
        <f t="shared" si="22"/>
        <v>_</v>
      </c>
    </row>
    <row r="946" spans="3:4">
      <c r="C946" s="45"/>
      <c r="D946" t="str">
        <f t="shared" si="22"/>
        <v>_</v>
      </c>
    </row>
    <row r="947" spans="3:4">
      <c r="C947" s="45"/>
      <c r="D947" t="str">
        <f t="shared" si="22"/>
        <v>_</v>
      </c>
    </row>
    <row r="948" spans="3:4">
      <c r="C948" s="45"/>
      <c r="D948" t="str">
        <f t="shared" si="22"/>
        <v>_</v>
      </c>
    </row>
    <row r="949" spans="3:4">
      <c r="C949" s="45"/>
      <c r="D949" t="str">
        <f t="shared" si="22"/>
        <v>_</v>
      </c>
    </row>
    <row r="950" spans="3:4">
      <c r="C950" s="45"/>
      <c r="D950" t="str">
        <f t="shared" si="22"/>
        <v>_</v>
      </c>
    </row>
    <row r="951" spans="3:4">
      <c r="C951" s="45"/>
      <c r="D951" t="str">
        <f t="shared" si="22"/>
        <v>_</v>
      </c>
    </row>
    <row r="952" spans="3:4">
      <c r="C952" s="45"/>
      <c r="D952" t="str">
        <f t="shared" si="22"/>
        <v>_</v>
      </c>
    </row>
    <row r="953" spans="3:4">
      <c r="C953" s="45"/>
      <c r="D953" t="str">
        <f t="shared" si="22"/>
        <v>_</v>
      </c>
    </row>
    <row r="954" spans="3:4">
      <c r="C954" s="45"/>
      <c r="D954" t="str">
        <f t="shared" si="22"/>
        <v>_</v>
      </c>
    </row>
    <row r="955" spans="3:4">
      <c r="C955" s="45"/>
      <c r="D955" t="str">
        <f t="shared" si="22"/>
        <v>_</v>
      </c>
    </row>
    <row r="956" spans="3:4">
      <c r="C956" s="45"/>
      <c r="D956" t="str">
        <f t="shared" si="22"/>
        <v>_</v>
      </c>
    </row>
    <row r="957" spans="3:4">
      <c r="C957" s="45"/>
      <c r="D957" t="str">
        <f t="shared" si="22"/>
        <v>_</v>
      </c>
    </row>
    <row r="958" spans="3:4">
      <c r="C958" s="45"/>
      <c r="D958" t="str">
        <f t="shared" si="22"/>
        <v>_</v>
      </c>
    </row>
    <row r="959" spans="3:4">
      <c r="C959" s="45"/>
      <c r="D959" t="str">
        <f t="shared" si="22"/>
        <v>_</v>
      </c>
    </row>
    <row r="960" spans="3:4">
      <c r="C960" s="45"/>
      <c r="D960" t="str">
        <f t="shared" si="22"/>
        <v>_</v>
      </c>
    </row>
    <row r="961" spans="3:4">
      <c r="C961" s="45"/>
      <c r="D961" t="str">
        <f t="shared" si="22"/>
        <v>_</v>
      </c>
    </row>
    <row r="962" spans="3:4">
      <c r="C962" s="45"/>
      <c r="D962" t="str">
        <f t="shared" ref="D962:D1025" si="23">_xlfn.CONCAT(A962,"_",B962)</f>
        <v>_</v>
      </c>
    </row>
    <row r="963" spans="3:4">
      <c r="C963" s="45"/>
      <c r="D963" t="str">
        <f t="shared" si="23"/>
        <v>_</v>
      </c>
    </row>
    <row r="964" spans="3:4">
      <c r="C964" s="45"/>
      <c r="D964" t="str">
        <f t="shared" si="23"/>
        <v>_</v>
      </c>
    </row>
    <row r="965" spans="3:4">
      <c r="C965" s="45"/>
      <c r="D965" t="str">
        <f t="shared" si="23"/>
        <v>_</v>
      </c>
    </row>
    <row r="966" spans="3:4">
      <c r="C966" s="45"/>
      <c r="D966" t="str">
        <f t="shared" si="23"/>
        <v>_</v>
      </c>
    </row>
    <row r="967" spans="3:4">
      <c r="C967" s="45"/>
      <c r="D967" t="str">
        <f t="shared" si="23"/>
        <v>_</v>
      </c>
    </row>
    <row r="968" spans="3:4">
      <c r="C968" s="45"/>
      <c r="D968" t="str">
        <f t="shared" si="23"/>
        <v>_</v>
      </c>
    </row>
    <row r="969" spans="3:4">
      <c r="C969" s="45"/>
      <c r="D969" t="str">
        <f t="shared" si="23"/>
        <v>_</v>
      </c>
    </row>
    <row r="970" spans="3:4">
      <c r="C970" s="45"/>
      <c r="D970" t="str">
        <f t="shared" si="23"/>
        <v>_</v>
      </c>
    </row>
    <row r="971" spans="3:4">
      <c r="C971" s="45"/>
      <c r="D971" t="str">
        <f t="shared" si="23"/>
        <v>_</v>
      </c>
    </row>
    <row r="972" spans="3:4">
      <c r="C972" s="45"/>
      <c r="D972" t="str">
        <f t="shared" si="23"/>
        <v>_</v>
      </c>
    </row>
    <row r="973" spans="3:4">
      <c r="C973" s="45"/>
      <c r="D973" t="str">
        <f t="shared" si="23"/>
        <v>_</v>
      </c>
    </row>
    <row r="974" spans="3:4">
      <c r="C974" s="45"/>
      <c r="D974" t="str">
        <f t="shared" si="23"/>
        <v>_</v>
      </c>
    </row>
    <row r="975" spans="3:4">
      <c r="C975" s="45"/>
      <c r="D975" t="str">
        <f t="shared" si="23"/>
        <v>_</v>
      </c>
    </row>
    <row r="976" spans="3:4">
      <c r="C976" s="45"/>
      <c r="D976" t="str">
        <f t="shared" si="23"/>
        <v>_</v>
      </c>
    </row>
    <row r="977" spans="3:4">
      <c r="C977" s="45"/>
      <c r="D977" t="str">
        <f t="shared" si="23"/>
        <v>_</v>
      </c>
    </row>
    <row r="978" spans="3:4">
      <c r="C978" s="45"/>
      <c r="D978" t="str">
        <f t="shared" si="23"/>
        <v>_</v>
      </c>
    </row>
    <row r="979" spans="3:4">
      <c r="C979" s="45"/>
      <c r="D979" t="str">
        <f t="shared" si="23"/>
        <v>_</v>
      </c>
    </row>
    <row r="980" spans="3:4">
      <c r="C980" s="45"/>
      <c r="D980" t="str">
        <f t="shared" si="23"/>
        <v>_</v>
      </c>
    </row>
    <row r="981" spans="3:4">
      <c r="C981" s="45"/>
      <c r="D981" t="str">
        <f t="shared" si="23"/>
        <v>_</v>
      </c>
    </row>
    <row r="982" spans="3:4">
      <c r="C982" s="45"/>
      <c r="D982" t="str">
        <f t="shared" si="23"/>
        <v>_</v>
      </c>
    </row>
    <row r="983" spans="3:4">
      <c r="C983" s="45"/>
      <c r="D983" t="str">
        <f t="shared" si="23"/>
        <v>_</v>
      </c>
    </row>
    <row r="984" spans="3:4">
      <c r="C984" s="45"/>
      <c r="D984" t="str">
        <f t="shared" si="23"/>
        <v>_</v>
      </c>
    </row>
    <row r="985" spans="3:4">
      <c r="C985" s="45"/>
      <c r="D985" t="str">
        <f t="shared" si="23"/>
        <v>_</v>
      </c>
    </row>
    <row r="986" spans="3:4">
      <c r="C986" s="45"/>
      <c r="D986" t="str">
        <f t="shared" si="23"/>
        <v>_</v>
      </c>
    </row>
    <row r="987" spans="3:4">
      <c r="C987" s="45"/>
      <c r="D987" t="str">
        <f t="shared" si="23"/>
        <v>_</v>
      </c>
    </row>
    <row r="988" spans="3:4">
      <c r="C988" s="45"/>
      <c r="D988" t="str">
        <f t="shared" si="23"/>
        <v>_</v>
      </c>
    </row>
    <row r="989" spans="3:4">
      <c r="C989" s="45"/>
      <c r="D989" t="str">
        <f t="shared" si="23"/>
        <v>_</v>
      </c>
    </row>
    <row r="990" spans="3:4">
      <c r="C990" s="45"/>
      <c r="D990" t="str">
        <f t="shared" si="23"/>
        <v>_</v>
      </c>
    </row>
    <row r="991" spans="3:4">
      <c r="C991" s="45"/>
      <c r="D991" t="str">
        <f t="shared" si="23"/>
        <v>_</v>
      </c>
    </row>
    <row r="992" spans="3:4">
      <c r="C992" s="45"/>
      <c r="D992" t="str">
        <f t="shared" si="23"/>
        <v>_</v>
      </c>
    </row>
    <row r="993" spans="3:5">
      <c r="C993" s="45"/>
      <c r="D993" t="str">
        <f t="shared" si="23"/>
        <v>_</v>
      </c>
    </row>
    <row r="994" spans="3:5">
      <c r="C994" s="45"/>
      <c r="D994" t="str">
        <f t="shared" si="23"/>
        <v>_</v>
      </c>
    </row>
    <row r="995" spans="3:5">
      <c r="C995" s="45"/>
      <c r="D995" t="str">
        <f t="shared" si="23"/>
        <v>_</v>
      </c>
    </row>
    <row r="996" spans="3:5">
      <c r="C996" s="45"/>
      <c r="D996" t="str">
        <f t="shared" si="23"/>
        <v>_</v>
      </c>
    </row>
    <row r="997" spans="3:5">
      <c r="C997" s="45"/>
      <c r="D997" t="str">
        <f t="shared" si="23"/>
        <v>_</v>
      </c>
    </row>
    <row r="998" spans="3:5">
      <c r="C998" s="45"/>
      <c r="D998" t="str">
        <f t="shared" si="23"/>
        <v>_</v>
      </c>
    </row>
    <row r="999" spans="3:5">
      <c r="C999" s="45"/>
      <c r="D999" t="str">
        <f t="shared" si="23"/>
        <v>_</v>
      </c>
    </row>
    <row r="1000" spans="3:5">
      <c r="C1000" s="45"/>
      <c r="D1000" t="str">
        <f t="shared" si="23"/>
        <v>_</v>
      </c>
    </row>
    <row r="1001" spans="3:5">
      <c r="C1001" s="45"/>
      <c r="D1001" t="str">
        <f t="shared" si="23"/>
        <v>_</v>
      </c>
    </row>
    <row r="1002" spans="3:5">
      <c r="C1002" s="45"/>
      <c r="D1002" t="str">
        <f t="shared" si="23"/>
        <v>_</v>
      </c>
    </row>
    <row r="1003" spans="3:5">
      <c r="C1003" s="45"/>
      <c r="D1003" t="str">
        <f t="shared" si="23"/>
        <v>_</v>
      </c>
    </row>
    <row r="1004" spans="3:5">
      <c r="C1004" s="45"/>
      <c r="D1004" t="str">
        <f t="shared" si="23"/>
        <v>_</v>
      </c>
    </row>
    <row r="1005" spans="3:5">
      <c r="C1005" s="45"/>
      <c r="D1005" t="str">
        <f t="shared" si="23"/>
        <v>_</v>
      </c>
    </row>
    <row r="1006" spans="3:5">
      <c r="C1006" s="45"/>
      <c r="D1006" t="str">
        <f t="shared" si="23"/>
        <v>_</v>
      </c>
      <c r="E1006" t="s">
        <v>83</v>
      </c>
    </row>
    <row r="1007" spans="3:5">
      <c r="C1007" s="45"/>
      <c r="D1007" t="str">
        <f t="shared" si="23"/>
        <v>_</v>
      </c>
    </row>
    <row r="1008" spans="3:5">
      <c r="C1008" s="45"/>
      <c r="D1008" t="str">
        <f t="shared" si="23"/>
        <v>_</v>
      </c>
    </row>
    <row r="1009" spans="3:4">
      <c r="C1009" s="45"/>
      <c r="D1009" t="str">
        <f t="shared" si="23"/>
        <v>_</v>
      </c>
    </row>
    <row r="1010" spans="3:4">
      <c r="C1010" s="45"/>
      <c r="D1010" t="str">
        <f t="shared" si="23"/>
        <v>_</v>
      </c>
    </row>
    <row r="1011" spans="3:4">
      <c r="C1011" s="45"/>
      <c r="D1011" t="str">
        <f t="shared" si="23"/>
        <v>_</v>
      </c>
    </row>
    <row r="1012" spans="3:4">
      <c r="C1012" s="45"/>
      <c r="D1012" t="str">
        <f t="shared" si="23"/>
        <v>_</v>
      </c>
    </row>
    <row r="1013" spans="3:4">
      <c r="C1013" s="45"/>
      <c r="D1013" t="str">
        <f t="shared" si="23"/>
        <v>_</v>
      </c>
    </row>
    <row r="1014" spans="3:4">
      <c r="C1014" s="45"/>
      <c r="D1014" t="str">
        <f t="shared" si="23"/>
        <v>_</v>
      </c>
    </row>
    <row r="1015" spans="3:4">
      <c r="C1015" s="45"/>
      <c r="D1015" t="str">
        <f t="shared" si="23"/>
        <v>_</v>
      </c>
    </row>
    <row r="1016" spans="3:4">
      <c r="C1016" s="45"/>
      <c r="D1016" t="str">
        <f t="shared" si="23"/>
        <v>_</v>
      </c>
    </row>
    <row r="1017" spans="3:4">
      <c r="C1017" s="45"/>
      <c r="D1017" t="str">
        <f t="shared" si="23"/>
        <v>_</v>
      </c>
    </row>
    <row r="1018" spans="3:4">
      <c r="C1018" s="45"/>
      <c r="D1018" t="str">
        <f t="shared" si="23"/>
        <v>_</v>
      </c>
    </row>
    <row r="1019" spans="3:4">
      <c r="C1019" s="45"/>
      <c r="D1019" t="str">
        <f t="shared" si="23"/>
        <v>_</v>
      </c>
    </row>
    <row r="1020" spans="3:4">
      <c r="C1020" s="45"/>
      <c r="D1020" t="str">
        <f t="shared" si="23"/>
        <v>_</v>
      </c>
    </row>
    <row r="1021" spans="3:4">
      <c r="C1021" s="45"/>
      <c r="D1021" t="str">
        <f t="shared" si="23"/>
        <v>_</v>
      </c>
    </row>
    <row r="1022" spans="3:4">
      <c r="C1022" s="45"/>
      <c r="D1022" t="str">
        <f t="shared" si="23"/>
        <v>_</v>
      </c>
    </row>
    <row r="1023" spans="3:4">
      <c r="C1023" s="45"/>
      <c r="D1023" t="str">
        <f t="shared" si="23"/>
        <v>_</v>
      </c>
    </row>
    <row r="1024" spans="3:4">
      <c r="C1024" s="45"/>
      <c r="D1024" t="str">
        <f t="shared" si="23"/>
        <v>_</v>
      </c>
    </row>
    <row r="1025" spans="3:4">
      <c r="C1025" s="45"/>
      <c r="D1025" t="str">
        <f t="shared" si="23"/>
        <v>_</v>
      </c>
    </row>
    <row r="1026" spans="3:4">
      <c r="C1026" s="45"/>
      <c r="D1026" t="str">
        <f t="shared" ref="D1026:D1089" si="24">_xlfn.CONCAT(A1026,"_",B1026)</f>
        <v>_</v>
      </c>
    </row>
    <row r="1027" spans="3:4">
      <c r="C1027" s="45"/>
      <c r="D1027" t="str">
        <f t="shared" si="24"/>
        <v>_</v>
      </c>
    </row>
    <row r="1028" spans="3:4">
      <c r="C1028" s="45"/>
      <c r="D1028" t="str">
        <f t="shared" si="24"/>
        <v>_</v>
      </c>
    </row>
    <row r="1029" spans="3:4">
      <c r="C1029" s="45"/>
      <c r="D1029" t="str">
        <f t="shared" si="24"/>
        <v>_</v>
      </c>
    </row>
    <row r="1030" spans="3:4">
      <c r="C1030" s="45"/>
      <c r="D1030" t="str">
        <f t="shared" si="24"/>
        <v>_</v>
      </c>
    </row>
    <row r="1031" spans="3:4">
      <c r="C1031" s="45"/>
      <c r="D1031" t="str">
        <f t="shared" si="24"/>
        <v>_</v>
      </c>
    </row>
    <row r="1032" spans="3:4">
      <c r="C1032" s="45"/>
      <c r="D1032" t="str">
        <f t="shared" si="24"/>
        <v>_</v>
      </c>
    </row>
    <row r="1033" spans="3:4">
      <c r="C1033" s="45"/>
      <c r="D1033" t="str">
        <f t="shared" si="24"/>
        <v>_</v>
      </c>
    </row>
    <row r="1034" spans="3:4">
      <c r="C1034" s="45"/>
      <c r="D1034" t="str">
        <f t="shared" si="24"/>
        <v>_</v>
      </c>
    </row>
    <row r="1035" spans="3:4">
      <c r="C1035" s="45"/>
      <c r="D1035" t="str">
        <f t="shared" si="24"/>
        <v>_</v>
      </c>
    </row>
    <row r="1036" spans="3:4">
      <c r="C1036" s="45"/>
      <c r="D1036" t="str">
        <f t="shared" si="24"/>
        <v>_</v>
      </c>
    </row>
    <row r="1037" spans="3:4">
      <c r="C1037" s="45"/>
      <c r="D1037" t="str">
        <f t="shared" si="24"/>
        <v>_</v>
      </c>
    </row>
    <row r="1038" spans="3:4">
      <c r="C1038" s="45"/>
      <c r="D1038" t="str">
        <f t="shared" si="24"/>
        <v>_</v>
      </c>
    </row>
    <row r="1039" spans="3:4">
      <c r="C1039" s="45"/>
      <c r="D1039" t="str">
        <f t="shared" si="24"/>
        <v>_</v>
      </c>
    </row>
    <row r="1040" spans="3:4">
      <c r="C1040" s="45"/>
      <c r="D1040" t="str">
        <f t="shared" si="24"/>
        <v>_</v>
      </c>
    </row>
    <row r="1041" spans="3:4">
      <c r="C1041" s="45"/>
      <c r="D1041" t="str">
        <f t="shared" si="24"/>
        <v>_</v>
      </c>
    </row>
    <row r="1042" spans="3:4">
      <c r="C1042" s="45"/>
      <c r="D1042" t="str">
        <f t="shared" si="24"/>
        <v>_</v>
      </c>
    </row>
    <row r="1043" spans="3:4">
      <c r="C1043" s="45"/>
      <c r="D1043" t="str">
        <f t="shared" si="24"/>
        <v>_</v>
      </c>
    </row>
    <row r="1044" spans="3:4">
      <c r="C1044" s="45"/>
      <c r="D1044" t="str">
        <f t="shared" si="24"/>
        <v>_</v>
      </c>
    </row>
    <row r="1045" spans="3:4">
      <c r="C1045" s="45"/>
      <c r="D1045" t="str">
        <f t="shared" si="24"/>
        <v>_</v>
      </c>
    </row>
    <row r="1046" spans="3:4">
      <c r="C1046" s="45"/>
      <c r="D1046" t="str">
        <f t="shared" si="24"/>
        <v>_</v>
      </c>
    </row>
    <row r="1047" spans="3:4">
      <c r="C1047" s="45"/>
      <c r="D1047" t="str">
        <f t="shared" si="24"/>
        <v>_</v>
      </c>
    </row>
    <row r="1048" spans="3:4">
      <c r="C1048" s="45"/>
      <c r="D1048" t="str">
        <f t="shared" si="24"/>
        <v>_</v>
      </c>
    </row>
    <row r="1049" spans="3:4">
      <c r="C1049" s="45"/>
      <c r="D1049" t="str">
        <f t="shared" si="24"/>
        <v>_</v>
      </c>
    </row>
    <row r="1050" spans="3:4">
      <c r="C1050" s="45"/>
      <c r="D1050" t="str">
        <f t="shared" si="24"/>
        <v>_</v>
      </c>
    </row>
    <row r="1051" spans="3:4">
      <c r="C1051" s="45"/>
      <c r="D1051" t="str">
        <f t="shared" si="24"/>
        <v>_</v>
      </c>
    </row>
    <row r="1052" spans="3:4">
      <c r="C1052" s="45"/>
      <c r="D1052" t="str">
        <f t="shared" si="24"/>
        <v>_</v>
      </c>
    </row>
    <row r="1053" spans="3:4">
      <c r="C1053" s="45"/>
      <c r="D1053" t="str">
        <f t="shared" si="24"/>
        <v>_</v>
      </c>
    </row>
    <row r="1054" spans="3:4">
      <c r="C1054" s="45"/>
      <c r="D1054" t="str">
        <f t="shared" si="24"/>
        <v>_</v>
      </c>
    </row>
    <row r="1055" spans="3:4">
      <c r="C1055" s="45"/>
      <c r="D1055" t="str">
        <f t="shared" si="24"/>
        <v>_</v>
      </c>
    </row>
    <row r="1056" spans="3:4">
      <c r="C1056" s="45"/>
      <c r="D1056" t="str">
        <f t="shared" si="24"/>
        <v>_</v>
      </c>
    </row>
    <row r="1057" spans="3:4">
      <c r="C1057" s="45"/>
      <c r="D1057" t="str">
        <f t="shared" si="24"/>
        <v>_</v>
      </c>
    </row>
    <row r="1058" spans="3:4">
      <c r="C1058" s="45"/>
      <c r="D1058" t="str">
        <f t="shared" si="24"/>
        <v>_</v>
      </c>
    </row>
    <row r="1059" spans="3:4">
      <c r="C1059" s="45"/>
      <c r="D1059" t="str">
        <f t="shared" si="24"/>
        <v>_</v>
      </c>
    </row>
    <row r="1060" spans="3:4">
      <c r="C1060" s="45"/>
      <c r="D1060" t="str">
        <f t="shared" si="24"/>
        <v>_</v>
      </c>
    </row>
    <row r="1061" spans="3:4">
      <c r="C1061" s="45"/>
      <c r="D1061" t="str">
        <f t="shared" si="24"/>
        <v>_</v>
      </c>
    </row>
    <row r="1062" spans="3:4">
      <c r="C1062" s="45"/>
      <c r="D1062" t="str">
        <f t="shared" si="24"/>
        <v>_</v>
      </c>
    </row>
    <row r="1063" spans="3:4">
      <c r="C1063" s="45"/>
      <c r="D1063" t="str">
        <f t="shared" si="24"/>
        <v>_</v>
      </c>
    </row>
    <row r="1064" spans="3:4">
      <c r="C1064" s="45"/>
      <c r="D1064" t="str">
        <f t="shared" si="24"/>
        <v>_</v>
      </c>
    </row>
    <row r="1065" spans="3:4">
      <c r="C1065" s="45"/>
      <c r="D1065" t="str">
        <f t="shared" si="24"/>
        <v>_</v>
      </c>
    </row>
    <row r="1066" spans="3:4">
      <c r="C1066" s="45"/>
      <c r="D1066" t="str">
        <f t="shared" si="24"/>
        <v>_</v>
      </c>
    </row>
    <row r="1067" spans="3:4">
      <c r="C1067" s="45"/>
      <c r="D1067" t="str">
        <f t="shared" si="24"/>
        <v>_</v>
      </c>
    </row>
    <row r="1068" spans="3:4">
      <c r="C1068" s="45"/>
      <c r="D1068" t="str">
        <f t="shared" si="24"/>
        <v>_</v>
      </c>
    </row>
    <row r="1069" spans="3:4">
      <c r="C1069" s="45"/>
      <c r="D1069" t="str">
        <f t="shared" si="24"/>
        <v>_</v>
      </c>
    </row>
    <row r="1070" spans="3:4">
      <c r="C1070" s="45"/>
      <c r="D1070" t="str">
        <f t="shared" si="24"/>
        <v>_</v>
      </c>
    </row>
    <row r="1071" spans="3:4">
      <c r="C1071" s="45"/>
      <c r="D1071" t="str">
        <f t="shared" si="24"/>
        <v>_</v>
      </c>
    </row>
    <row r="1072" spans="3:4">
      <c r="C1072" s="45"/>
      <c r="D1072" t="str">
        <f t="shared" si="24"/>
        <v>_</v>
      </c>
    </row>
    <row r="1073" spans="3:4">
      <c r="C1073" s="45"/>
      <c r="D1073" t="str">
        <f t="shared" si="24"/>
        <v>_</v>
      </c>
    </row>
    <row r="1074" spans="3:4">
      <c r="C1074" s="45"/>
      <c r="D1074" t="str">
        <f t="shared" si="24"/>
        <v>_</v>
      </c>
    </row>
    <row r="1075" spans="3:4">
      <c r="C1075" s="45"/>
      <c r="D1075" t="str">
        <f t="shared" si="24"/>
        <v>_</v>
      </c>
    </row>
    <row r="1076" spans="3:4">
      <c r="C1076" s="45"/>
      <c r="D1076" t="str">
        <f t="shared" si="24"/>
        <v>_</v>
      </c>
    </row>
    <row r="1077" spans="3:4">
      <c r="C1077" s="45"/>
      <c r="D1077" t="str">
        <f t="shared" si="24"/>
        <v>_</v>
      </c>
    </row>
    <row r="1078" spans="3:4">
      <c r="C1078" s="45"/>
      <c r="D1078" t="str">
        <f t="shared" si="24"/>
        <v>_</v>
      </c>
    </row>
    <row r="1079" spans="3:4">
      <c r="C1079" s="45"/>
      <c r="D1079" t="str">
        <f t="shared" si="24"/>
        <v>_</v>
      </c>
    </row>
    <row r="1080" spans="3:4">
      <c r="C1080" s="45"/>
      <c r="D1080" t="str">
        <f t="shared" si="24"/>
        <v>_</v>
      </c>
    </row>
    <row r="1081" spans="3:4">
      <c r="C1081" s="45"/>
      <c r="D1081" t="str">
        <f t="shared" si="24"/>
        <v>_</v>
      </c>
    </row>
    <row r="1082" spans="3:4">
      <c r="C1082" s="45"/>
      <c r="D1082" t="str">
        <f t="shared" si="24"/>
        <v>_</v>
      </c>
    </row>
    <row r="1083" spans="3:4">
      <c r="C1083" s="45"/>
      <c r="D1083" t="str">
        <f t="shared" si="24"/>
        <v>_</v>
      </c>
    </row>
    <row r="1084" spans="3:4">
      <c r="C1084" s="45"/>
      <c r="D1084" t="str">
        <f t="shared" si="24"/>
        <v>_</v>
      </c>
    </row>
    <row r="1085" spans="3:4">
      <c r="C1085" s="45"/>
      <c r="D1085" t="str">
        <f t="shared" si="24"/>
        <v>_</v>
      </c>
    </row>
    <row r="1086" spans="3:4">
      <c r="C1086" s="45"/>
      <c r="D1086" t="str">
        <f t="shared" si="24"/>
        <v>_</v>
      </c>
    </row>
    <row r="1087" spans="3:4">
      <c r="C1087" s="45"/>
      <c r="D1087" t="str">
        <f t="shared" si="24"/>
        <v>_</v>
      </c>
    </row>
    <row r="1088" spans="3:4">
      <c r="C1088" s="45"/>
      <c r="D1088" t="str">
        <f t="shared" si="24"/>
        <v>_</v>
      </c>
    </row>
    <row r="1089" spans="3:4">
      <c r="C1089" s="45"/>
      <c r="D1089" t="str">
        <f t="shared" si="24"/>
        <v>_</v>
      </c>
    </row>
    <row r="1090" spans="3:4">
      <c r="C1090" s="45"/>
      <c r="D1090" t="str">
        <f t="shared" ref="D1090:D1153" si="25">_xlfn.CONCAT(A1090,"_",B1090)</f>
        <v>_</v>
      </c>
    </row>
    <row r="1091" spans="3:4">
      <c r="C1091" s="45"/>
      <c r="D1091" t="str">
        <f t="shared" si="25"/>
        <v>_</v>
      </c>
    </row>
    <row r="1092" spans="3:4">
      <c r="C1092" s="45"/>
      <c r="D1092" t="str">
        <f t="shared" si="25"/>
        <v>_</v>
      </c>
    </row>
    <row r="1093" spans="3:4">
      <c r="C1093" s="45"/>
      <c r="D1093" t="str">
        <f t="shared" si="25"/>
        <v>_</v>
      </c>
    </row>
    <row r="1094" spans="3:4">
      <c r="C1094" s="45"/>
      <c r="D1094" t="str">
        <f t="shared" si="25"/>
        <v>_</v>
      </c>
    </row>
    <row r="1095" spans="3:4">
      <c r="C1095" s="45"/>
      <c r="D1095" t="str">
        <f t="shared" si="25"/>
        <v>_</v>
      </c>
    </row>
    <row r="1096" spans="3:4">
      <c r="C1096" s="45"/>
      <c r="D1096" t="str">
        <f t="shared" si="25"/>
        <v>_</v>
      </c>
    </row>
    <row r="1097" spans="3:4">
      <c r="C1097" s="45"/>
      <c r="D1097" t="str">
        <f t="shared" si="25"/>
        <v>_</v>
      </c>
    </row>
    <row r="1098" spans="3:4">
      <c r="C1098" s="45"/>
      <c r="D1098" t="str">
        <f t="shared" si="25"/>
        <v>_</v>
      </c>
    </row>
    <row r="1099" spans="3:4">
      <c r="C1099" s="45"/>
      <c r="D1099" t="str">
        <f t="shared" si="25"/>
        <v>_</v>
      </c>
    </row>
    <row r="1100" spans="3:4">
      <c r="C1100" s="45"/>
      <c r="D1100" t="str">
        <f t="shared" si="25"/>
        <v>_</v>
      </c>
    </row>
    <row r="1101" spans="3:4">
      <c r="C1101" s="45"/>
      <c r="D1101" t="str">
        <f t="shared" si="25"/>
        <v>_</v>
      </c>
    </row>
    <row r="1102" spans="3:4">
      <c r="C1102" s="45"/>
      <c r="D1102" t="str">
        <f t="shared" si="25"/>
        <v>_</v>
      </c>
    </row>
    <row r="1103" spans="3:4">
      <c r="C1103" s="45"/>
      <c r="D1103" t="str">
        <f t="shared" si="25"/>
        <v>_</v>
      </c>
    </row>
    <row r="1104" spans="3:4">
      <c r="C1104" s="45"/>
      <c r="D1104" t="str">
        <f t="shared" si="25"/>
        <v>_</v>
      </c>
    </row>
    <row r="1105" spans="3:4">
      <c r="C1105" s="45"/>
      <c r="D1105" t="str">
        <f t="shared" si="25"/>
        <v>_</v>
      </c>
    </row>
    <row r="1106" spans="3:4">
      <c r="C1106" s="45"/>
      <c r="D1106" t="str">
        <f t="shared" si="25"/>
        <v>_</v>
      </c>
    </row>
    <row r="1107" spans="3:4">
      <c r="C1107" s="45"/>
      <c r="D1107" t="str">
        <f t="shared" si="25"/>
        <v>_</v>
      </c>
    </row>
    <row r="1108" spans="3:4">
      <c r="C1108" s="45"/>
      <c r="D1108" t="str">
        <f t="shared" si="25"/>
        <v>_</v>
      </c>
    </row>
    <row r="1109" spans="3:4">
      <c r="C1109" s="45"/>
      <c r="D1109" t="str">
        <f t="shared" si="25"/>
        <v>_</v>
      </c>
    </row>
    <row r="1110" spans="3:4">
      <c r="C1110" s="45"/>
      <c r="D1110" t="str">
        <f t="shared" si="25"/>
        <v>_</v>
      </c>
    </row>
    <row r="1111" spans="3:4">
      <c r="C1111" s="45"/>
      <c r="D1111" t="str">
        <f t="shared" si="25"/>
        <v>_</v>
      </c>
    </row>
    <row r="1112" spans="3:4">
      <c r="C1112" s="45"/>
      <c r="D1112" t="str">
        <f t="shared" si="25"/>
        <v>_</v>
      </c>
    </row>
    <row r="1113" spans="3:4">
      <c r="C1113" s="45"/>
      <c r="D1113" t="str">
        <f t="shared" si="25"/>
        <v>_</v>
      </c>
    </row>
    <row r="1114" spans="3:4">
      <c r="C1114" s="45"/>
      <c r="D1114" t="str">
        <f t="shared" si="25"/>
        <v>_</v>
      </c>
    </row>
    <row r="1115" spans="3:4">
      <c r="C1115" s="45"/>
      <c r="D1115" t="str">
        <f t="shared" si="25"/>
        <v>_</v>
      </c>
    </row>
    <row r="1116" spans="3:4">
      <c r="C1116" s="45"/>
      <c r="D1116" t="str">
        <f t="shared" si="25"/>
        <v>_</v>
      </c>
    </row>
    <row r="1117" spans="3:4">
      <c r="C1117" s="45"/>
      <c r="D1117" t="str">
        <f t="shared" si="25"/>
        <v>_</v>
      </c>
    </row>
    <row r="1118" spans="3:4">
      <c r="C1118" s="45"/>
      <c r="D1118" t="str">
        <f t="shared" si="25"/>
        <v>_</v>
      </c>
    </row>
    <row r="1119" spans="3:4">
      <c r="C1119" s="45"/>
      <c r="D1119" t="str">
        <f t="shared" si="25"/>
        <v>_</v>
      </c>
    </row>
    <row r="1120" spans="3:4">
      <c r="C1120" s="45"/>
      <c r="D1120" t="str">
        <f t="shared" si="25"/>
        <v>_</v>
      </c>
    </row>
    <row r="1121" spans="3:4">
      <c r="C1121" s="45"/>
      <c r="D1121" t="str">
        <f t="shared" si="25"/>
        <v>_</v>
      </c>
    </row>
    <row r="1122" spans="3:4">
      <c r="C1122" s="45"/>
      <c r="D1122" t="str">
        <f t="shared" si="25"/>
        <v>_</v>
      </c>
    </row>
    <row r="1123" spans="3:4">
      <c r="C1123" s="45"/>
      <c r="D1123" t="str">
        <f t="shared" si="25"/>
        <v>_</v>
      </c>
    </row>
    <row r="1124" spans="3:4">
      <c r="C1124" s="45"/>
      <c r="D1124" t="str">
        <f t="shared" si="25"/>
        <v>_</v>
      </c>
    </row>
    <row r="1125" spans="3:4">
      <c r="C1125" s="45"/>
      <c r="D1125" t="str">
        <f t="shared" si="25"/>
        <v>_</v>
      </c>
    </row>
    <row r="1126" spans="3:4">
      <c r="C1126" s="45"/>
      <c r="D1126" t="str">
        <f t="shared" si="25"/>
        <v>_</v>
      </c>
    </row>
    <row r="1127" spans="3:4">
      <c r="C1127" s="45"/>
      <c r="D1127" t="str">
        <f t="shared" si="25"/>
        <v>_</v>
      </c>
    </row>
    <row r="1128" spans="3:4">
      <c r="C1128" s="45"/>
      <c r="D1128" t="str">
        <f t="shared" si="25"/>
        <v>_</v>
      </c>
    </row>
    <row r="1129" spans="3:4">
      <c r="C1129" s="45"/>
      <c r="D1129" t="str">
        <f t="shared" si="25"/>
        <v>_</v>
      </c>
    </row>
    <row r="1130" spans="3:4">
      <c r="C1130" s="45"/>
      <c r="D1130" t="str">
        <f t="shared" si="25"/>
        <v>_</v>
      </c>
    </row>
    <row r="1131" spans="3:4">
      <c r="C1131" s="45"/>
      <c r="D1131" t="str">
        <f t="shared" si="25"/>
        <v>_</v>
      </c>
    </row>
    <row r="1132" spans="3:4">
      <c r="C1132" s="45"/>
      <c r="D1132" t="str">
        <f t="shared" si="25"/>
        <v>_</v>
      </c>
    </row>
    <row r="1133" spans="3:4">
      <c r="C1133" s="45"/>
      <c r="D1133" t="str">
        <f t="shared" si="25"/>
        <v>_</v>
      </c>
    </row>
    <row r="1134" spans="3:4">
      <c r="C1134" s="45"/>
      <c r="D1134" t="str">
        <f t="shared" si="25"/>
        <v>_</v>
      </c>
    </row>
    <row r="1135" spans="3:4">
      <c r="C1135" s="45"/>
      <c r="D1135" t="str">
        <f t="shared" si="25"/>
        <v>_</v>
      </c>
    </row>
    <row r="1136" spans="3:4">
      <c r="C1136" s="45"/>
      <c r="D1136" t="str">
        <f t="shared" si="25"/>
        <v>_</v>
      </c>
    </row>
    <row r="1137" spans="3:4">
      <c r="C1137" s="45"/>
      <c r="D1137" t="str">
        <f t="shared" si="25"/>
        <v>_</v>
      </c>
    </row>
    <row r="1138" spans="3:4">
      <c r="C1138" s="45"/>
      <c r="D1138" t="str">
        <f t="shared" si="25"/>
        <v>_</v>
      </c>
    </row>
    <row r="1139" spans="3:4">
      <c r="C1139" s="45"/>
      <c r="D1139" t="str">
        <f t="shared" si="25"/>
        <v>_</v>
      </c>
    </row>
    <row r="1140" spans="3:4">
      <c r="C1140" s="45"/>
      <c r="D1140" t="str">
        <f t="shared" si="25"/>
        <v>_</v>
      </c>
    </row>
    <row r="1141" spans="3:4">
      <c r="C1141" s="45"/>
      <c r="D1141" t="str">
        <f t="shared" si="25"/>
        <v>_</v>
      </c>
    </row>
    <row r="1142" spans="3:4">
      <c r="C1142" s="45"/>
      <c r="D1142" t="str">
        <f t="shared" si="25"/>
        <v>_</v>
      </c>
    </row>
    <row r="1143" spans="3:4">
      <c r="C1143" s="45"/>
      <c r="D1143" t="str">
        <f t="shared" si="25"/>
        <v>_</v>
      </c>
    </row>
    <row r="1144" spans="3:4">
      <c r="C1144" s="45"/>
      <c r="D1144" t="str">
        <f t="shared" si="25"/>
        <v>_</v>
      </c>
    </row>
    <row r="1145" spans="3:4">
      <c r="C1145" s="45"/>
      <c r="D1145" t="str">
        <f t="shared" si="25"/>
        <v>_</v>
      </c>
    </row>
    <row r="1146" spans="3:4">
      <c r="C1146" s="45"/>
      <c r="D1146" t="str">
        <f t="shared" si="25"/>
        <v>_</v>
      </c>
    </row>
    <row r="1147" spans="3:4">
      <c r="C1147" s="45"/>
      <c r="D1147" t="str">
        <f t="shared" si="25"/>
        <v>_</v>
      </c>
    </row>
    <row r="1148" spans="3:4">
      <c r="C1148" s="45"/>
      <c r="D1148" t="str">
        <f t="shared" si="25"/>
        <v>_</v>
      </c>
    </row>
    <row r="1149" spans="3:4">
      <c r="C1149" s="45"/>
      <c r="D1149" t="str">
        <f t="shared" si="25"/>
        <v>_</v>
      </c>
    </row>
    <row r="1150" spans="3:4">
      <c r="C1150" s="45"/>
      <c r="D1150" t="str">
        <f t="shared" si="25"/>
        <v>_</v>
      </c>
    </row>
    <row r="1151" spans="3:4">
      <c r="C1151" s="45"/>
      <c r="D1151" t="str">
        <f t="shared" si="25"/>
        <v>_</v>
      </c>
    </row>
    <row r="1152" spans="3:4">
      <c r="C1152" s="45"/>
      <c r="D1152" t="str">
        <f t="shared" si="25"/>
        <v>_</v>
      </c>
    </row>
    <row r="1153" spans="3:4">
      <c r="C1153" s="45"/>
      <c r="D1153" t="str">
        <f t="shared" si="25"/>
        <v>_</v>
      </c>
    </row>
    <row r="1154" spans="3:4">
      <c r="C1154" s="45"/>
      <c r="D1154" t="str">
        <f t="shared" ref="D1154:D1197" si="26">_xlfn.CONCAT(A1154,"_",B1154)</f>
        <v>_</v>
      </c>
    </row>
    <row r="1155" spans="3:4">
      <c r="C1155" s="45"/>
      <c r="D1155" t="str">
        <f t="shared" si="26"/>
        <v>_</v>
      </c>
    </row>
    <row r="1156" spans="3:4">
      <c r="C1156" s="45"/>
      <c r="D1156" t="str">
        <f t="shared" si="26"/>
        <v>_</v>
      </c>
    </row>
    <row r="1157" spans="3:4">
      <c r="C1157" s="45"/>
      <c r="D1157" t="str">
        <f t="shared" si="26"/>
        <v>_</v>
      </c>
    </row>
    <row r="1158" spans="3:4">
      <c r="C1158" s="45"/>
      <c r="D1158" t="str">
        <f t="shared" si="26"/>
        <v>_</v>
      </c>
    </row>
    <row r="1159" spans="3:4">
      <c r="C1159" s="45"/>
      <c r="D1159" t="str">
        <f t="shared" si="26"/>
        <v>_</v>
      </c>
    </row>
    <row r="1160" spans="3:4">
      <c r="C1160" s="45"/>
      <c r="D1160" t="str">
        <f t="shared" si="26"/>
        <v>_</v>
      </c>
    </row>
    <row r="1161" spans="3:4">
      <c r="C1161" s="45"/>
      <c r="D1161" t="str">
        <f t="shared" si="26"/>
        <v>_</v>
      </c>
    </row>
    <row r="1162" spans="3:4">
      <c r="C1162" s="45"/>
      <c r="D1162" t="str">
        <f t="shared" si="26"/>
        <v>_</v>
      </c>
    </row>
    <row r="1163" spans="3:4">
      <c r="C1163" s="45"/>
      <c r="D1163" t="str">
        <f t="shared" si="26"/>
        <v>_</v>
      </c>
    </row>
    <row r="1164" spans="3:4">
      <c r="C1164" s="45"/>
      <c r="D1164" t="str">
        <f t="shared" si="26"/>
        <v>_</v>
      </c>
    </row>
    <row r="1165" spans="3:4">
      <c r="C1165" s="45"/>
      <c r="D1165" t="str">
        <f t="shared" si="26"/>
        <v>_</v>
      </c>
    </row>
    <row r="1166" spans="3:4">
      <c r="C1166" s="45"/>
      <c r="D1166" t="str">
        <f t="shared" si="26"/>
        <v>_</v>
      </c>
    </row>
    <row r="1167" spans="3:4">
      <c r="C1167" s="45"/>
      <c r="D1167" t="str">
        <f t="shared" si="26"/>
        <v>_</v>
      </c>
    </row>
    <row r="1168" spans="3:4">
      <c r="C1168" s="45"/>
      <c r="D1168" t="str">
        <f t="shared" si="26"/>
        <v>_</v>
      </c>
    </row>
    <row r="1169" spans="3:4">
      <c r="C1169" s="45"/>
      <c r="D1169" t="str">
        <f t="shared" si="26"/>
        <v>_</v>
      </c>
    </row>
    <row r="1170" spans="3:4">
      <c r="C1170" s="45"/>
      <c r="D1170" t="str">
        <f t="shared" si="26"/>
        <v>_</v>
      </c>
    </row>
    <row r="1171" spans="3:4">
      <c r="C1171" s="45"/>
      <c r="D1171" t="str">
        <f t="shared" si="26"/>
        <v>_</v>
      </c>
    </row>
    <row r="1172" spans="3:4">
      <c r="C1172" s="45"/>
      <c r="D1172" t="str">
        <f t="shared" si="26"/>
        <v>_</v>
      </c>
    </row>
    <row r="1173" spans="3:4">
      <c r="C1173" s="45"/>
      <c r="D1173" t="str">
        <f t="shared" si="26"/>
        <v>_</v>
      </c>
    </row>
    <row r="1174" spans="3:4">
      <c r="C1174" s="45"/>
      <c r="D1174" t="str">
        <f t="shared" si="26"/>
        <v>_</v>
      </c>
    </row>
    <row r="1175" spans="3:4">
      <c r="C1175" s="45"/>
      <c r="D1175" t="str">
        <f t="shared" si="26"/>
        <v>_</v>
      </c>
    </row>
    <row r="1176" spans="3:4">
      <c r="C1176" s="45"/>
      <c r="D1176" t="str">
        <f t="shared" si="26"/>
        <v>_</v>
      </c>
    </row>
    <row r="1177" spans="3:4">
      <c r="C1177" s="45"/>
      <c r="D1177" t="str">
        <f t="shared" si="26"/>
        <v>_</v>
      </c>
    </row>
    <row r="1178" spans="3:4">
      <c r="C1178" s="45"/>
      <c r="D1178" t="str">
        <f t="shared" si="26"/>
        <v>_</v>
      </c>
    </row>
    <row r="1179" spans="3:4">
      <c r="C1179" s="45"/>
      <c r="D1179" t="str">
        <f t="shared" si="26"/>
        <v>_</v>
      </c>
    </row>
    <row r="1180" spans="3:4">
      <c r="C1180" s="45"/>
      <c r="D1180" t="str">
        <f t="shared" si="26"/>
        <v>_</v>
      </c>
    </row>
    <row r="1181" spans="3:4">
      <c r="C1181" s="45"/>
      <c r="D1181" t="str">
        <f t="shared" si="26"/>
        <v>_</v>
      </c>
    </row>
    <row r="1182" spans="3:4">
      <c r="C1182" s="45"/>
      <c r="D1182" t="str">
        <f t="shared" si="26"/>
        <v>_</v>
      </c>
    </row>
    <row r="1183" spans="3:4">
      <c r="C1183" s="45"/>
      <c r="D1183" t="str">
        <f t="shared" si="26"/>
        <v>_</v>
      </c>
    </row>
    <row r="1184" spans="3:4">
      <c r="C1184" s="45"/>
      <c r="D1184" t="str">
        <f t="shared" si="26"/>
        <v>_</v>
      </c>
    </row>
    <row r="1185" spans="3:4">
      <c r="C1185" s="45"/>
      <c r="D1185" t="str">
        <f t="shared" si="26"/>
        <v>_</v>
      </c>
    </row>
    <row r="1186" spans="3:4">
      <c r="C1186" s="45"/>
      <c r="D1186" t="str">
        <f t="shared" si="26"/>
        <v>_</v>
      </c>
    </row>
    <row r="1187" spans="3:4">
      <c r="C1187" s="45"/>
      <c r="D1187" t="str">
        <f t="shared" si="26"/>
        <v>_</v>
      </c>
    </row>
    <row r="1188" spans="3:4">
      <c r="C1188" s="45"/>
      <c r="D1188" t="str">
        <f t="shared" si="26"/>
        <v>_</v>
      </c>
    </row>
    <row r="1189" spans="3:4">
      <c r="C1189" s="45"/>
      <c r="D1189" t="str">
        <f t="shared" si="26"/>
        <v>_</v>
      </c>
    </row>
    <row r="1190" spans="3:4">
      <c r="C1190" s="45"/>
      <c r="D1190" t="str">
        <f t="shared" si="26"/>
        <v>_</v>
      </c>
    </row>
    <row r="1191" spans="3:4">
      <c r="C1191" s="45"/>
      <c r="D1191" t="str">
        <f t="shared" si="26"/>
        <v>_</v>
      </c>
    </row>
    <row r="1192" spans="3:4">
      <c r="C1192" s="45"/>
      <c r="D1192" t="str">
        <f t="shared" si="26"/>
        <v>_</v>
      </c>
    </row>
    <row r="1193" spans="3:4">
      <c r="C1193" s="45"/>
      <c r="D1193" t="str">
        <f t="shared" si="26"/>
        <v>_</v>
      </c>
    </row>
    <row r="1194" spans="3:4">
      <c r="C1194" s="45"/>
      <c r="D1194" t="str">
        <f t="shared" si="26"/>
        <v>_</v>
      </c>
    </row>
    <row r="1195" spans="3:4">
      <c r="C1195" s="45"/>
      <c r="D1195" t="str">
        <f t="shared" si="26"/>
        <v>_</v>
      </c>
    </row>
    <row r="1196" spans="3:4">
      <c r="C1196" s="45"/>
      <c r="D1196" t="str">
        <f t="shared" si="26"/>
        <v>_</v>
      </c>
    </row>
    <row r="1197" spans="3:4">
      <c r="C1197" s="45"/>
      <c r="D1197" t="str">
        <f t="shared" si="26"/>
        <v>_</v>
      </c>
    </row>
    <row r="1198" spans="3:4">
      <c r="C1198" s="45"/>
      <c r="D1198" t="str">
        <f t="shared" ref="D1198:D1261" si="27">_xlfn.CONCAT(A1198,"_",B1198)</f>
        <v>_</v>
      </c>
    </row>
    <row r="1199" spans="3:4">
      <c r="C1199" s="45"/>
      <c r="D1199" t="str">
        <f t="shared" si="27"/>
        <v>_</v>
      </c>
    </row>
    <row r="1200" spans="3:4">
      <c r="C1200" s="45"/>
      <c r="D1200" t="str">
        <f t="shared" si="27"/>
        <v>_</v>
      </c>
    </row>
    <row r="1201" spans="3:4">
      <c r="C1201" s="45"/>
      <c r="D1201" t="str">
        <f t="shared" si="27"/>
        <v>_</v>
      </c>
    </row>
    <row r="1202" spans="3:4">
      <c r="C1202" s="45"/>
      <c r="D1202" t="str">
        <f t="shared" si="27"/>
        <v>_</v>
      </c>
    </row>
    <row r="1203" spans="3:4">
      <c r="C1203" s="45"/>
      <c r="D1203" t="str">
        <f t="shared" si="27"/>
        <v>_</v>
      </c>
    </row>
    <row r="1204" spans="3:4">
      <c r="C1204" s="45"/>
      <c r="D1204" t="str">
        <f t="shared" si="27"/>
        <v>_</v>
      </c>
    </row>
    <row r="1205" spans="3:4">
      <c r="C1205" s="45"/>
      <c r="D1205" t="str">
        <f t="shared" si="27"/>
        <v>_</v>
      </c>
    </row>
    <row r="1206" spans="3:4">
      <c r="C1206" s="45"/>
      <c r="D1206" t="str">
        <f t="shared" si="27"/>
        <v>_</v>
      </c>
    </row>
    <row r="1207" spans="3:4">
      <c r="C1207" s="45"/>
      <c r="D1207" t="str">
        <f t="shared" si="27"/>
        <v>_</v>
      </c>
    </row>
    <row r="1208" spans="3:4">
      <c r="C1208" s="45"/>
      <c r="D1208" t="str">
        <f t="shared" si="27"/>
        <v>_</v>
      </c>
    </row>
    <row r="1209" spans="3:4">
      <c r="C1209" s="45"/>
      <c r="D1209" t="str">
        <f t="shared" si="27"/>
        <v>_</v>
      </c>
    </row>
    <row r="1210" spans="3:4">
      <c r="C1210" s="45"/>
      <c r="D1210" t="str">
        <f t="shared" si="27"/>
        <v>_</v>
      </c>
    </row>
    <row r="1211" spans="3:4">
      <c r="C1211" s="45"/>
      <c r="D1211" t="str">
        <f t="shared" si="27"/>
        <v>_</v>
      </c>
    </row>
    <row r="1212" spans="3:4">
      <c r="C1212" s="45"/>
      <c r="D1212" t="str">
        <f t="shared" si="27"/>
        <v>_</v>
      </c>
    </row>
    <row r="1213" spans="3:4">
      <c r="C1213" s="45"/>
      <c r="D1213" t="str">
        <f t="shared" si="27"/>
        <v>_</v>
      </c>
    </row>
    <row r="1214" spans="3:4">
      <c r="C1214" s="45"/>
      <c r="D1214" t="str">
        <f t="shared" si="27"/>
        <v>_</v>
      </c>
    </row>
    <row r="1215" spans="3:4">
      <c r="C1215" s="45"/>
      <c r="D1215" t="str">
        <f t="shared" si="27"/>
        <v>_</v>
      </c>
    </row>
    <row r="1216" spans="3:4">
      <c r="C1216" s="45"/>
      <c r="D1216" t="str">
        <f t="shared" si="27"/>
        <v>_</v>
      </c>
    </row>
    <row r="1217" spans="3:4">
      <c r="C1217" s="45"/>
      <c r="D1217" t="str">
        <f t="shared" si="27"/>
        <v>_</v>
      </c>
    </row>
    <row r="1218" spans="3:4">
      <c r="C1218" s="45"/>
      <c r="D1218" t="str">
        <f t="shared" si="27"/>
        <v>_</v>
      </c>
    </row>
    <row r="1219" spans="3:4">
      <c r="C1219" s="45"/>
      <c r="D1219" t="str">
        <f t="shared" si="27"/>
        <v>_</v>
      </c>
    </row>
    <row r="1220" spans="3:4">
      <c r="C1220" s="45"/>
      <c r="D1220" t="str">
        <f t="shared" si="27"/>
        <v>_</v>
      </c>
    </row>
    <row r="1221" spans="3:4">
      <c r="C1221" s="45"/>
      <c r="D1221" t="str">
        <f t="shared" si="27"/>
        <v>_</v>
      </c>
    </row>
    <row r="1222" spans="3:4">
      <c r="C1222" s="45"/>
      <c r="D1222" t="str">
        <f t="shared" si="27"/>
        <v>_</v>
      </c>
    </row>
    <row r="1223" spans="3:4">
      <c r="C1223" s="45"/>
      <c r="D1223" t="str">
        <f t="shared" si="27"/>
        <v>_</v>
      </c>
    </row>
    <row r="1224" spans="3:4">
      <c r="C1224" s="45"/>
      <c r="D1224" t="str">
        <f t="shared" si="27"/>
        <v>_</v>
      </c>
    </row>
    <row r="1225" spans="3:4">
      <c r="C1225" s="45"/>
      <c r="D1225" t="str">
        <f t="shared" si="27"/>
        <v>_</v>
      </c>
    </row>
    <row r="1226" spans="3:4">
      <c r="C1226" s="45"/>
      <c r="D1226" t="str">
        <f t="shared" si="27"/>
        <v>_</v>
      </c>
    </row>
    <row r="1227" spans="3:4">
      <c r="C1227" s="45"/>
      <c r="D1227" t="str">
        <f t="shared" si="27"/>
        <v>_</v>
      </c>
    </row>
    <row r="1228" spans="3:4">
      <c r="C1228" s="45"/>
      <c r="D1228" t="str">
        <f t="shared" si="27"/>
        <v>_</v>
      </c>
    </row>
    <row r="1229" spans="3:4">
      <c r="C1229" s="45"/>
      <c r="D1229" t="str">
        <f t="shared" si="27"/>
        <v>_</v>
      </c>
    </row>
    <row r="1230" spans="3:4">
      <c r="C1230" s="45"/>
      <c r="D1230" t="str">
        <f t="shared" si="27"/>
        <v>_</v>
      </c>
    </row>
    <row r="1231" spans="3:4">
      <c r="C1231" s="45"/>
      <c r="D1231" t="str">
        <f t="shared" si="27"/>
        <v>_</v>
      </c>
    </row>
    <row r="1232" spans="3:4">
      <c r="C1232" s="45"/>
      <c r="D1232" t="str">
        <f t="shared" si="27"/>
        <v>_</v>
      </c>
    </row>
    <row r="1233" spans="3:4">
      <c r="C1233" s="45"/>
      <c r="D1233" t="str">
        <f t="shared" si="27"/>
        <v>_</v>
      </c>
    </row>
    <row r="1234" spans="3:4">
      <c r="C1234" s="45"/>
      <c r="D1234" t="str">
        <f t="shared" si="27"/>
        <v>_</v>
      </c>
    </row>
    <row r="1235" spans="3:4">
      <c r="C1235" s="45"/>
      <c r="D1235" t="str">
        <f t="shared" si="27"/>
        <v>_</v>
      </c>
    </row>
    <row r="1236" spans="3:4">
      <c r="C1236" s="45"/>
      <c r="D1236" t="str">
        <f t="shared" si="27"/>
        <v>_</v>
      </c>
    </row>
    <row r="1237" spans="3:4">
      <c r="C1237" s="45"/>
      <c r="D1237" t="str">
        <f t="shared" si="27"/>
        <v>_</v>
      </c>
    </row>
    <row r="1238" spans="3:4">
      <c r="C1238" s="45"/>
      <c r="D1238" t="str">
        <f t="shared" si="27"/>
        <v>_</v>
      </c>
    </row>
    <row r="1239" spans="3:4">
      <c r="C1239" s="45"/>
      <c r="D1239" t="str">
        <f t="shared" si="27"/>
        <v>_</v>
      </c>
    </row>
    <row r="1240" spans="3:4">
      <c r="C1240" s="45"/>
      <c r="D1240" t="str">
        <f t="shared" si="27"/>
        <v>_</v>
      </c>
    </row>
    <row r="1241" spans="3:4">
      <c r="C1241" s="45"/>
      <c r="D1241" t="str">
        <f t="shared" si="27"/>
        <v>_</v>
      </c>
    </row>
    <row r="1242" spans="3:4">
      <c r="C1242" s="45"/>
      <c r="D1242" t="str">
        <f t="shared" si="27"/>
        <v>_</v>
      </c>
    </row>
    <row r="1243" spans="3:4">
      <c r="C1243" s="45"/>
      <c r="D1243" t="str">
        <f t="shared" si="27"/>
        <v>_</v>
      </c>
    </row>
    <row r="1244" spans="3:4">
      <c r="C1244" s="45"/>
      <c r="D1244" t="str">
        <f t="shared" si="27"/>
        <v>_</v>
      </c>
    </row>
    <row r="1245" spans="3:4">
      <c r="C1245" s="45"/>
      <c r="D1245" t="str">
        <f t="shared" si="27"/>
        <v>_</v>
      </c>
    </row>
    <row r="1246" spans="3:4">
      <c r="C1246" s="45"/>
      <c r="D1246" t="str">
        <f t="shared" si="27"/>
        <v>_</v>
      </c>
    </row>
    <row r="1247" spans="3:4">
      <c r="C1247" s="45"/>
      <c r="D1247" t="str">
        <f t="shared" si="27"/>
        <v>_</v>
      </c>
    </row>
    <row r="1248" spans="3:4">
      <c r="C1248" s="45"/>
      <c r="D1248" t="str">
        <f t="shared" si="27"/>
        <v>_</v>
      </c>
    </row>
    <row r="1249" spans="3:4">
      <c r="C1249" s="45"/>
      <c r="D1249" t="str">
        <f t="shared" si="27"/>
        <v>_</v>
      </c>
    </row>
    <row r="1250" spans="3:4">
      <c r="C1250" s="45"/>
      <c r="D1250" t="str">
        <f t="shared" si="27"/>
        <v>_</v>
      </c>
    </row>
    <row r="1251" spans="3:4">
      <c r="C1251" s="45"/>
      <c r="D1251" t="str">
        <f t="shared" si="27"/>
        <v>_</v>
      </c>
    </row>
    <row r="1252" spans="3:4">
      <c r="C1252" s="45"/>
      <c r="D1252" t="str">
        <f t="shared" si="27"/>
        <v>_</v>
      </c>
    </row>
    <row r="1253" spans="3:4">
      <c r="C1253" s="45"/>
      <c r="D1253" t="str">
        <f t="shared" si="27"/>
        <v>_</v>
      </c>
    </row>
    <row r="1254" spans="3:4">
      <c r="C1254" s="45"/>
      <c r="D1254" t="str">
        <f t="shared" si="27"/>
        <v>_</v>
      </c>
    </row>
    <row r="1255" spans="3:4">
      <c r="C1255" s="45"/>
      <c r="D1255" t="str">
        <f t="shared" si="27"/>
        <v>_</v>
      </c>
    </row>
    <row r="1256" spans="3:4">
      <c r="C1256" s="45"/>
      <c r="D1256" t="str">
        <f t="shared" si="27"/>
        <v>_</v>
      </c>
    </row>
    <row r="1257" spans="3:4">
      <c r="C1257" s="45"/>
      <c r="D1257" t="str">
        <f t="shared" si="27"/>
        <v>_</v>
      </c>
    </row>
    <row r="1258" spans="3:4">
      <c r="C1258" s="45"/>
      <c r="D1258" t="str">
        <f t="shared" si="27"/>
        <v>_</v>
      </c>
    </row>
    <row r="1259" spans="3:4">
      <c r="C1259" s="45"/>
      <c r="D1259" t="str">
        <f t="shared" si="27"/>
        <v>_</v>
      </c>
    </row>
    <row r="1260" spans="3:4">
      <c r="C1260" s="45"/>
      <c r="D1260" t="str">
        <f t="shared" si="27"/>
        <v>_</v>
      </c>
    </row>
    <row r="1261" spans="3:4">
      <c r="C1261" s="45"/>
      <c r="D1261" t="str">
        <f t="shared" si="27"/>
        <v>_</v>
      </c>
    </row>
    <row r="1262" spans="3:4">
      <c r="C1262" s="45"/>
      <c r="D1262" t="str">
        <f t="shared" ref="D1262:D1325" si="28">_xlfn.CONCAT(A1262,"_",B1262)</f>
        <v>_</v>
      </c>
    </row>
    <row r="1263" spans="3:4">
      <c r="C1263" s="45"/>
      <c r="D1263" t="str">
        <f t="shared" si="28"/>
        <v>_</v>
      </c>
    </row>
    <row r="1264" spans="3:4">
      <c r="C1264" s="45"/>
      <c r="D1264" t="str">
        <f t="shared" si="28"/>
        <v>_</v>
      </c>
    </row>
    <row r="1265" spans="3:4">
      <c r="C1265" s="45"/>
      <c r="D1265" t="str">
        <f t="shared" si="28"/>
        <v>_</v>
      </c>
    </row>
    <row r="1266" spans="3:4">
      <c r="C1266" s="45"/>
      <c r="D1266" t="str">
        <f t="shared" si="28"/>
        <v>_</v>
      </c>
    </row>
    <row r="1267" spans="3:4">
      <c r="C1267" s="45"/>
      <c r="D1267" t="str">
        <f t="shared" si="28"/>
        <v>_</v>
      </c>
    </row>
    <row r="1268" spans="3:4">
      <c r="C1268" s="45"/>
      <c r="D1268" t="str">
        <f t="shared" si="28"/>
        <v>_</v>
      </c>
    </row>
    <row r="1269" spans="3:4">
      <c r="C1269" s="45"/>
      <c r="D1269" t="str">
        <f t="shared" si="28"/>
        <v>_</v>
      </c>
    </row>
    <row r="1270" spans="3:4">
      <c r="C1270" s="45"/>
      <c r="D1270" t="str">
        <f t="shared" si="28"/>
        <v>_</v>
      </c>
    </row>
    <row r="1271" spans="3:4">
      <c r="C1271" s="45"/>
      <c r="D1271" t="str">
        <f t="shared" si="28"/>
        <v>_</v>
      </c>
    </row>
    <row r="1272" spans="3:4">
      <c r="C1272" s="45"/>
      <c r="D1272" t="str">
        <f t="shared" si="28"/>
        <v>_</v>
      </c>
    </row>
    <row r="1273" spans="3:4">
      <c r="C1273" s="45"/>
      <c r="D1273" t="str">
        <f t="shared" si="28"/>
        <v>_</v>
      </c>
    </row>
    <row r="1274" spans="3:4">
      <c r="C1274" s="45"/>
      <c r="D1274" t="str">
        <f t="shared" si="28"/>
        <v>_</v>
      </c>
    </row>
    <row r="1275" spans="3:4">
      <c r="C1275" s="45"/>
      <c r="D1275" t="str">
        <f t="shared" si="28"/>
        <v>_</v>
      </c>
    </row>
    <row r="1276" spans="3:4">
      <c r="C1276" s="45"/>
      <c r="D1276" t="str">
        <f t="shared" si="28"/>
        <v>_</v>
      </c>
    </row>
    <row r="1277" spans="3:4">
      <c r="C1277" s="45"/>
      <c r="D1277" t="str">
        <f t="shared" si="28"/>
        <v>_</v>
      </c>
    </row>
    <row r="1278" spans="3:4">
      <c r="C1278" s="45"/>
      <c r="D1278" t="str">
        <f t="shared" si="28"/>
        <v>_</v>
      </c>
    </row>
    <row r="1279" spans="3:4">
      <c r="C1279" s="45"/>
      <c r="D1279" t="str">
        <f t="shared" si="28"/>
        <v>_</v>
      </c>
    </row>
    <row r="1280" spans="3:4">
      <c r="C1280" s="45"/>
      <c r="D1280" t="str">
        <f t="shared" si="28"/>
        <v>_</v>
      </c>
    </row>
    <row r="1281" spans="3:4">
      <c r="C1281" s="45"/>
      <c r="D1281" t="str">
        <f t="shared" si="28"/>
        <v>_</v>
      </c>
    </row>
    <row r="1282" spans="3:4">
      <c r="C1282" s="45"/>
      <c r="D1282" t="str">
        <f t="shared" si="28"/>
        <v>_</v>
      </c>
    </row>
    <row r="1283" spans="3:4">
      <c r="C1283" s="45"/>
      <c r="D1283" t="str">
        <f t="shared" si="28"/>
        <v>_</v>
      </c>
    </row>
    <row r="1284" spans="3:4">
      <c r="C1284" s="45"/>
      <c r="D1284" t="str">
        <f t="shared" si="28"/>
        <v>_</v>
      </c>
    </row>
    <row r="1285" spans="3:4">
      <c r="C1285" s="45"/>
      <c r="D1285" t="str">
        <f t="shared" si="28"/>
        <v>_</v>
      </c>
    </row>
    <row r="1286" spans="3:4">
      <c r="C1286" s="45"/>
      <c r="D1286" t="str">
        <f t="shared" si="28"/>
        <v>_</v>
      </c>
    </row>
    <row r="1287" spans="3:4">
      <c r="C1287" s="45"/>
      <c r="D1287" t="str">
        <f t="shared" si="28"/>
        <v>_</v>
      </c>
    </row>
    <row r="1288" spans="3:4">
      <c r="C1288" s="45"/>
      <c r="D1288" t="str">
        <f t="shared" si="28"/>
        <v>_</v>
      </c>
    </row>
    <row r="1289" spans="3:4">
      <c r="C1289" s="45"/>
      <c r="D1289" t="str">
        <f t="shared" si="28"/>
        <v>_</v>
      </c>
    </row>
    <row r="1290" spans="3:4">
      <c r="C1290" s="45"/>
      <c r="D1290" t="str">
        <f t="shared" si="28"/>
        <v>_</v>
      </c>
    </row>
    <row r="1291" spans="3:4">
      <c r="C1291" s="45"/>
      <c r="D1291" t="str">
        <f t="shared" si="28"/>
        <v>_</v>
      </c>
    </row>
    <row r="1292" spans="3:4">
      <c r="C1292" s="45"/>
      <c r="D1292" t="str">
        <f t="shared" si="28"/>
        <v>_</v>
      </c>
    </row>
    <row r="1293" spans="3:4">
      <c r="C1293" s="45"/>
      <c r="D1293" t="str">
        <f t="shared" si="28"/>
        <v>_</v>
      </c>
    </row>
    <row r="1294" spans="3:4">
      <c r="C1294" s="45"/>
      <c r="D1294" t="str">
        <f t="shared" si="28"/>
        <v>_</v>
      </c>
    </row>
    <row r="1295" spans="3:4">
      <c r="C1295" s="45"/>
      <c r="D1295" t="str">
        <f t="shared" si="28"/>
        <v>_</v>
      </c>
    </row>
    <row r="1296" spans="3:4">
      <c r="C1296" s="45"/>
      <c r="D1296" t="str">
        <f t="shared" si="28"/>
        <v>_</v>
      </c>
    </row>
    <row r="1297" spans="3:4">
      <c r="C1297" s="45"/>
      <c r="D1297" t="str">
        <f t="shared" si="28"/>
        <v>_</v>
      </c>
    </row>
    <row r="1298" spans="3:4">
      <c r="C1298" s="45"/>
      <c r="D1298" t="str">
        <f t="shared" si="28"/>
        <v>_</v>
      </c>
    </row>
    <row r="1299" spans="3:4">
      <c r="C1299" s="45"/>
      <c r="D1299" t="str">
        <f t="shared" si="28"/>
        <v>_</v>
      </c>
    </row>
    <row r="1300" spans="3:4">
      <c r="C1300" s="45"/>
      <c r="D1300" t="str">
        <f t="shared" si="28"/>
        <v>_</v>
      </c>
    </row>
    <row r="1301" spans="3:4">
      <c r="C1301" s="45"/>
      <c r="D1301" t="str">
        <f t="shared" si="28"/>
        <v>_</v>
      </c>
    </row>
    <row r="1302" spans="3:4">
      <c r="C1302" s="45"/>
      <c r="D1302" t="str">
        <f t="shared" si="28"/>
        <v>_</v>
      </c>
    </row>
    <row r="1303" spans="3:4">
      <c r="C1303" s="45"/>
      <c r="D1303" t="str">
        <f t="shared" si="28"/>
        <v>_</v>
      </c>
    </row>
    <row r="1304" spans="3:4">
      <c r="C1304" s="45"/>
      <c r="D1304" t="str">
        <f t="shared" si="28"/>
        <v>_</v>
      </c>
    </row>
    <row r="1305" spans="3:4">
      <c r="C1305" s="45"/>
      <c r="D1305" t="str">
        <f t="shared" si="28"/>
        <v>_</v>
      </c>
    </row>
    <row r="1306" spans="3:4">
      <c r="C1306" s="45"/>
      <c r="D1306" t="str">
        <f t="shared" si="28"/>
        <v>_</v>
      </c>
    </row>
    <row r="1307" spans="3:4">
      <c r="C1307" s="45"/>
      <c r="D1307" t="str">
        <f t="shared" si="28"/>
        <v>_</v>
      </c>
    </row>
    <row r="1308" spans="3:4">
      <c r="C1308" s="45"/>
      <c r="D1308" t="str">
        <f t="shared" si="28"/>
        <v>_</v>
      </c>
    </row>
    <row r="1309" spans="3:4">
      <c r="C1309" s="45"/>
      <c r="D1309" t="str">
        <f t="shared" si="28"/>
        <v>_</v>
      </c>
    </row>
    <row r="1310" spans="3:4">
      <c r="C1310" s="45"/>
      <c r="D1310" t="str">
        <f t="shared" si="28"/>
        <v>_</v>
      </c>
    </row>
    <row r="1311" spans="3:4">
      <c r="C1311" s="45"/>
      <c r="D1311" t="str">
        <f t="shared" si="28"/>
        <v>_</v>
      </c>
    </row>
    <row r="1312" spans="3:4">
      <c r="C1312" s="45"/>
      <c r="D1312" t="str">
        <f t="shared" si="28"/>
        <v>_</v>
      </c>
    </row>
    <row r="1313" spans="3:4">
      <c r="C1313" s="45"/>
      <c r="D1313" t="str">
        <f t="shared" si="28"/>
        <v>_</v>
      </c>
    </row>
    <row r="1314" spans="3:4">
      <c r="C1314" s="45"/>
      <c r="D1314" t="str">
        <f t="shared" si="28"/>
        <v>_</v>
      </c>
    </row>
    <row r="1315" spans="3:4">
      <c r="C1315" s="45"/>
      <c r="D1315" t="str">
        <f t="shared" si="28"/>
        <v>_</v>
      </c>
    </row>
    <row r="1316" spans="3:4">
      <c r="C1316" s="45"/>
      <c r="D1316" t="str">
        <f t="shared" si="28"/>
        <v>_</v>
      </c>
    </row>
    <row r="1317" spans="3:4">
      <c r="C1317" s="45"/>
      <c r="D1317" t="str">
        <f t="shared" si="28"/>
        <v>_</v>
      </c>
    </row>
    <row r="1318" spans="3:4">
      <c r="C1318" s="45"/>
      <c r="D1318" t="str">
        <f t="shared" si="28"/>
        <v>_</v>
      </c>
    </row>
    <row r="1319" spans="3:4">
      <c r="C1319" s="45"/>
      <c r="D1319" t="str">
        <f t="shared" si="28"/>
        <v>_</v>
      </c>
    </row>
    <row r="1320" spans="3:4">
      <c r="C1320" s="45"/>
      <c r="D1320" t="str">
        <f t="shared" si="28"/>
        <v>_</v>
      </c>
    </row>
    <row r="1321" spans="3:4">
      <c r="C1321" s="45"/>
      <c r="D1321" t="str">
        <f t="shared" si="28"/>
        <v>_</v>
      </c>
    </row>
    <row r="1322" spans="3:4">
      <c r="C1322" s="45"/>
      <c r="D1322" t="str">
        <f t="shared" si="28"/>
        <v>_</v>
      </c>
    </row>
    <row r="1323" spans="3:4">
      <c r="C1323" s="45"/>
      <c r="D1323" t="str">
        <f t="shared" si="28"/>
        <v>_</v>
      </c>
    </row>
    <row r="1324" spans="3:4">
      <c r="C1324" s="45"/>
      <c r="D1324" t="str">
        <f t="shared" si="28"/>
        <v>_</v>
      </c>
    </row>
    <row r="1325" spans="3:4">
      <c r="C1325" s="45"/>
      <c r="D1325" t="str">
        <f t="shared" si="28"/>
        <v>_</v>
      </c>
    </row>
    <row r="1326" spans="3:4">
      <c r="C1326" s="45"/>
      <c r="D1326" t="str">
        <f t="shared" ref="D1326:D1389" si="29">_xlfn.CONCAT(A1326,"_",B1326)</f>
        <v>_</v>
      </c>
    </row>
    <row r="1327" spans="3:4">
      <c r="C1327" s="45"/>
      <c r="D1327" t="str">
        <f t="shared" si="29"/>
        <v>_</v>
      </c>
    </row>
    <row r="1328" spans="3:4">
      <c r="C1328" s="45"/>
      <c r="D1328" t="str">
        <f t="shared" si="29"/>
        <v>_</v>
      </c>
    </row>
    <row r="1329" spans="3:4">
      <c r="C1329" s="45"/>
      <c r="D1329" t="str">
        <f t="shared" si="29"/>
        <v>_</v>
      </c>
    </row>
    <row r="1330" spans="3:4">
      <c r="C1330" s="45"/>
      <c r="D1330" t="str">
        <f t="shared" si="29"/>
        <v>_</v>
      </c>
    </row>
    <row r="1331" spans="3:4">
      <c r="C1331" s="45"/>
      <c r="D1331" t="str">
        <f t="shared" si="29"/>
        <v>_</v>
      </c>
    </row>
    <row r="1332" spans="3:4">
      <c r="C1332" s="45"/>
      <c r="D1332" t="str">
        <f t="shared" si="29"/>
        <v>_</v>
      </c>
    </row>
    <row r="1333" spans="3:4">
      <c r="C1333" s="45"/>
      <c r="D1333" t="str">
        <f t="shared" si="29"/>
        <v>_</v>
      </c>
    </row>
    <row r="1334" spans="3:4">
      <c r="C1334" s="45"/>
      <c r="D1334" t="str">
        <f t="shared" si="29"/>
        <v>_</v>
      </c>
    </row>
    <row r="1335" spans="3:4">
      <c r="C1335" s="45"/>
      <c r="D1335" t="str">
        <f t="shared" si="29"/>
        <v>_</v>
      </c>
    </row>
    <row r="1336" spans="3:4">
      <c r="C1336" s="45"/>
      <c r="D1336" t="str">
        <f t="shared" si="29"/>
        <v>_</v>
      </c>
    </row>
    <row r="1337" spans="3:4">
      <c r="C1337" s="45"/>
      <c r="D1337" t="str">
        <f t="shared" si="29"/>
        <v>_</v>
      </c>
    </row>
    <row r="1338" spans="3:4">
      <c r="C1338" s="45"/>
      <c r="D1338" t="str">
        <f t="shared" si="29"/>
        <v>_</v>
      </c>
    </row>
    <row r="1339" spans="3:4">
      <c r="C1339" s="45"/>
      <c r="D1339" t="str">
        <f t="shared" si="29"/>
        <v>_</v>
      </c>
    </row>
    <row r="1340" spans="3:4">
      <c r="C1340" s="45"/>
      <c r="D1340" t="str">
        <f t="shared" si="29"/>
        <v>_</v>
      </c>
    </row>
    <row r="1341" spans="3:4">
      <c r="C1341" s="45"/>
      <c r="D1341" t="str">
        <f t="shared" si="29"/>
        <v>_</v>
      </c>
    </row>
    <row r="1342" spans="3:4">
      <c r="C1342" s="45"/>
      <c r="D1342" t="str">
        <f t="shared" si="29"/>
        <v>_</v>
      </c>
    </row>
    <row r="1343" spans="3:4">
      <c r="C1343" s="45"/>
      <c r="D1343" t="str">
        <f t="shared" si="29"/>
        <v>_</v>
      </c>
    </row>
    <row r="1344" spans="3:4">
      <c r="C1344" s="45"/>
      <c r="D1344" t="str">
        <f t="shared" si="29"/>
        <v>_</v>
      </c>
    </row>
    <row r="1345" spans="3:4">
      <c r="C1345" s="45"/>
      <c r="D1345" t="str">
        <f t="shared" si="29"/>
        <v>_</v>
      </c>
    </row>
    <row r="1346" spans="3:4">
      <c r="C1346" s="45"/>
      <c r="D1346" t="str">
        <f t="shared" si="29"/>
        <v>_</v>
      </c>
    </row>
    <row r="1347" spans="3:4">
      <c r="C1347" s="45"/>
      <c r="D1347" t="str">
        <f t="shared" si="29"/>
        <v>_</v>
      </c>
    </row>
    <row r="1348" spans="3:4">
      <c r="C1348" s="45"/>
      <c r="D1348" t="str">
        <f t="shared" si="29"/>
        <v>_</v>
      </c>
    </row>
    <row r="1349" spans="3:4">
      <c r="C1349" s="45"/>
      <c r="D1349" t="str">
        <f t="shared" si="29"/>
        <v>_</v>
      </c>
    </row>
    <row r="1350" spans="3:4">
      <c r="C1350" s="45"/>
      <c r="D1350" t="str">
        <f t="shared" si="29"/>
        <v>_</v>
      </c>
    </row>
    <row r="1351" spans="3:4">
      <c r="C1351" s="45"/>
      <c r="D1351" t="str">
        <f t="shared" si="29"/>
        <v>_</v>
      </c>
    </row>
    <row r="1352" spans="3:4">
      <c r="C1352" s="45"/>
      <c r="D1352" t="str">
        <f t="shared" si="29"/>
        <v>_</v>
      </c>
    </row>
    <row r="1353" spans="3:4">
      <c r="C1353" s="45"/>
      <c r="D1353" t="str">
        <f t="shared" si="29"/>
        <v>_</v>
      </c>
    </row>
    <row r="1354" spans="3:4">
      <c r="C1354" s="45"/>
      <c r="D1354" t="str">
        <f t="shared" si="29"/>
        <v>_</v>
      </c>
    </row>
    <row r="1355" spans="3:4">
      <c r="C1355" s="45"/>
      <c r="D1355" t="str">
        <f t="shared" si="29"/>
        <v>_</v>
      </c>
    </row>
    <row r="1356" spans="3:4">
      <c r="C1356" s="45"/>
      <c r="D1356" t="str">
        <f t="shared" si="29"/>
        <v>_</v>
      </c>
    </row>
    <row r="1357" spans="3:4">
      <c r="C1357" s="45"/>
      <c r="D1357" t="str">
        <f t="shared" si="29"/>
        <v>_</v>
      </c>
    </row>
    <row r="1358" spans="3:4">
      <c r="C1358" s="45"/>
      <c r="D1358" t="str">
        <f t="shared" si="29"/>
        <v>_</v>
      </c>
    </row>
    <row r="1359" spans="3:4">
      <c r="C1359" s="45"/>
      <c r="D1359" t="str">
        <f t="shared" si="29"/>
        <v>_</v>
      </c>
    </row>
    <row r="1360" spans="3:4">
      <c r="C1360" s="45"/>
      <c r="D1360" t="str">
        <f t="shared" si="29"/>
        <v>_</v>
      </c>
    </row>
    <row r="1361" spans="3:4">
      <c r="C1361" s="45"/>
      <c r="D1361" t="str">
        <f t="shared" si="29"/>
        <v>_</v>
      </c>
    </row>
    <row r="1362" spans="3:4">
      <c r="C1362" s="45"/>
      <c r="D1362" t="str">
        <f t="shared" si="29"/>
        <v>_</v>
      </c>
    </row>
    <row r="1363" spans="3:4">
      <c r="C1363" s="45"/>
      <c r="D1363" t="str">
        <f t="shared" si="29"/>
        <v>_</v>
      </c>
    </row>
    <row r="1364" spans="3:4">
      <c r="C1364" s="45"/>
      <c r="D1364" t="str">
        <f t="shared" si="29"/>
        <v>_</v>
      </c>
    </row>
    <row r="1365" spans="3:4">
      <c r="C1365" s="45"/>
      <c r="D1365" t="str">
        <f t="shared" si="29"/>
        <v>_</v>
      </c>
    </row>
    <row r="1366" spans="3:4">
      <c r="C1366" s="45"/>
      <c r="D1366" t="str">
        <f t="shared" si="29"/>
        <v>_</v>
      </c>
    </row>
    <row r="1367" spans="3:4">
      <c r="C1367" s="45"/>
      <c r="D1367" t="str">
        <f t="shared" si="29"/>
        <v>_</v>
      </c>
    </row>
    <row r="1368" spans="3:4">
      <c r="C1368" s="45"/>
      <c r="D1368" t="str">
        <f t="shared" si="29"/>
        <v>_</v>
      </c>
    </row>
    <row r="1369" spans="3:4">
      <c r="C1369" s="45"/>
      <c r="D1369" t="str">
        <f t="shared" si="29"/>
        <v>_</v>
      </c>
    </row>
    <row r="1370" spans="3:4">
      <c r="C1370" s="45"/>
      <c r="D1370" t="str">
        <f t="shared" si="29"/>
        <v>_</v>
      </c>
    </row>
    <row r="1371" spans="3:4">
      <c r="C1371" s="45"/>
      <c r="D1371" t="str">
        <f t="shared" si="29"/>
        <v>_</v>
      </c>
    </row>
    <row r="1372" spans="3:4">
      <c r="C1372" s="45"/>
      <c r="D1372" t="str">
        <f t="shared" si="29"/>
        <v>_</v>
      </c>
    </row>
    <row r="1373" spans="3:4">
      <c r="C1373" s="45"/>
      <c r="D1373" t="str">
        <f t="shared" si="29"/>
        <v>_</v>
      </c>
    </row>
    <row r="1374" spans="3:4">
      <c r="C1374" s="45"/>
      <c r="D1374" t="str">
        <f t="shared" si="29"/>
        <v>_</v>
      </c>
    </row>
    <row r="1375" spans="3:4">
      <c r="C1375" s="45"/>
      <c r="D1375" t="str">
        <f t="shared" si="29"/>
        <v>_</v>
      </c>
    </row>
    <row r="1376" spans="3:4">
      <c r="C1376" s="45"/>
      <c r="D1376" t="str">
        <f t="shared" si="29"/>
        <v>_</v>
      </c>
    </row>
    <row r="1377" spans="3:4">
      <c r="C1377" s="45"/>
      <c r="D1377" t="str">
        <f t="shared" si="29"/>
        <v>_</v>
      </c>
    </row>
    <row r="1378" spans="3:4">
      <c r="C1378" s="45"/>
      <c r="D1378" t="str">
        <f t="shared" si="29"/>
        <v>_</v>
      </c>
    </row>
    <row r="1379" spans="3:4">
      <c r="C1379" s="45"/>
      <c r="D1379" t="str">
        <f t="shared" si="29"/>
        <v>_</v>
      </c>
    </row>
    <row r="1380" spans="3:4">
      <c r="C1380" s="45"/>
      <c r="D1380" t="str">
        <f t="shared" si="29"/>
        <v>_</v>
      </c>
    </row>
    <row r="1381" spans="3:4">
      <c r="C1381" s="45"/>
      <c r="D1381" t="str">
        <f t="shared" si="29"/>
        <v>_</v>
      </c>
    </row>
    <row r="1382" spans="3:4">
      <c r="C1382" s="45"/>
      <c r="D1382" t="str">
        <f t="shared" si="29"/>
        <v>_</v>
      </c>
    </row>
    <row r="1383" spans="3:4">
      <c r="C1383" s="45"/>
      <c r="D1383" t="str">
        <f t="shared" si="29"/>
        <v>_</v>
      </c>
    </row>
    <row r="1384" spans="3:4">
      <c r="C1384" s="45"/>
      <c r="D1384" t="str">
        <f t="shared" si="29"/>
        <v>_</v>
      </c>
    </row>
    <row r="1385" spans="3:4">
      <c r="C1385" s="45"/>
      <c r="D1385" t="str">
        <f t="shared" si="29"/>
        <v>_</v>
      </c>
    </row>
    <row r="1386" spans="3:4">
      <c r="C1386" s="45"/>
      <c r="D1386" t="str">
        <f t="shared" si="29"/>
        <v>_</v>
      </c>
    </row>
    <row r="1387" spans="3:4">
      <c r="C1387" s="45"/>
      <c r="D1387" t="str">
        <f t="shared" si="29"/>
        <v>_</v>
      </c>
    </row>
    <row r="1388" spans="3:4">
      <c r="C1388" s="45"/>
      <c r="D1388" t="str">
        <f t="shared" si="29"/>
        <v>_</v>
      </c>
    </row>
    <row r="1389" spans="3:4">
      <c r="C1389" s="45"/>
      <c r="D1389" t="str">
        <f t="shared" si="29"/>
        <v>_</v>
      </c>
    </row>
    <row r="1390" spans="3:4">
      <c r="C1390" s="45"/>
      <c r="D1390" t="str">
        <f t="shared" ref="D1390:D1453" si="30">_xlfn.CONCAT(A1390,"_",B1390)</f>
        <v>_</v>
      </c>
    </row>
    <row r="1391" spans="3:4">
      <c r="C1391" s="45"/>
      <c r="D1391" t="str">
        <f t="shared" si="30"/>
        <v>_</v>
      </c>
    </row>
    <row r="1392" spans="3:4">
      <c r="C1392" s="45"/>
      <c r="D1392" t="str">
        <f t="shared" si="30"/>
        <v>_</v>
      </c>
    </row>
    <row r="1393" spans="3:4">
      <c r="C1393" s="45"/>
      <c r="D1393" t="str">
        <f t="shared" si="30"/>
        <v>_</v>
      </c>
    </row>
    <row r="1394" spans="3:4">
      <c r="C1394" s="45"/>
      <c r="D1394" t="str">
        <f t="shared" si="30"/>
        <v>_</v>
      </c>
    </row>
    <row r="1395" spans="3:4">
      <c r="C1395" s="45"/>
      <c r="D1395" t="str">
        <f t="shared" si="30"/>
        <v>_</v>
      </c>
    </row>
    <row r="1396" spans="3:4">
      <c r="C1396" s="45"/>
      <c r="D1396" t="str">
        <f t="shared" si="30"/>
        <v>_</v>
      </c>
    </row>
    <row r="1397" spans="3:4">
      <c r="C1397" s="45"/>
      <c r="D1397" t="str">
        <f t="shared" si="30"/>
        <v>_</v>
      </c>
    </row>
    <row r="1398" spans="3:4">
      <c r="C1398" s="45"/>
      <c r="D1398" t="str">
        <f t="shared" si="30"/>
        <v>_</v>
      </c>
    </row>
    <row r="1399" spans="3:4">
      <c r="C1399" s="45"/>
      <c r="D1399" t="str">
        <f t="shared" si="30"/>
        <v>_</v>
      </c>
    </row>
    <row r="1400" spans="3:4">
      <c r="C1400" s="45"/>
      <c r="D1400" t="str">
        <f t="shared" si="30"/>
        <v>_</v>
      </c>
    </row>
    <row r="1401" spans="3:4">
      <c r="C1401" s="45"/>
      <c r="D1401" t="str">
        <f t="shared" si="30"/>
        <v>_</v>
      </c>
    </row>
    <row r="1402" spans="3:4">
      <c r="C1402" s="45"/>
      <c r="D1402" t="str">
        <f t="shared" si="30"/>
        <v>_</v>
      </c>
    </row>
    <row r="1403" spans="3:4">
      <c r="C1403" s="45"/>
      <c r="D1403" t="str">
        <f t="shared" si="30"/>
        <v>_</v>
      </c>
    </row>
    <row r="1404" spans="3:4">
      <c r="C1404" s="45"/>
      <c r="D1404" t="str">
        <f t="shared" si="30"/>
        <v>_</v>
      </c>
    </row>
    <row r="1405" spans="3:4">
      <c r="C1405" s="45"/>
      <c r="D1405" t="str">
        <f t="shared" si="30"/>
        <v>_</v>
      </c>
    </row>
    <row r="1406" spans="3:4">
      <c r="C1406" s="45"/>
      <c r="D1406" t="str">
        <f t="shared" si="30"/>
        <v>_</v>
      </c>
    </row>
    <row r="1407" spans="3:4">
      <c r="C1407" s="45"/>
      <c r="D1407" t="str">
        <f t="shared" si="30"/>
        <v>_</v>
      </c>
    </row>
    <row r="1408" spans="3:4">
      <c r="C1408" s="45"/>
      <c r="D1408" t="str">
        <f t="shared" si="30"/>
        <v>_</v>
      </c>
    </row>
    <row r="1409" spans="3:4">
      <c r="C1409" s="45"/>
      <c r="D1409" t="str">
        <f t="shared" si="30"/>
        <v>_</v>
      </c>
    </row>
    <row r="1410" spans="3:4">
      <c r="C1410" s="45"/>
      <c r="D1410" t="str">
        <f t="shared" si="30"/>
        <v>_</v>
      </c>
    </row>
    <row r="1411" spans="3:4">
      <c r="C1411" s="45"/>
      <c r="D1411" t="str">
        <f t="shared" si="30"/>
        <v>_</v>
      </c>
    </row>
    <row r="1412" spans="3:4">
      <c r="C1412" s="45"/>
      <c r="D1412" t="str">
        <f t="shared" si="30"/>
        <v>_</v>
      </c>
    </row>
    <row r="1413" spans="3:4">
      <c r="C1413" s="45"/>
      <c r="D1413" t="str">
        <f t="shared" si="30"/>
        <v>_</v>
      </c>
    </row>
    <row r="1414" spans="3:4">
      <c r="C1414" s="45"/>
      <c r="D1414" t="str">
        <f t="shared" si="30"/>
        <v>_</v>
      </c>
    </row>
    <row r="1415" spans="3:4">
      <c r="C1415" s="45"/>
      <c r="D1415" t="str">
        <f t="shared" si="30"/>
        <v>_</v>
      </c>
    </row>
    <row r="1416" spans="3:4">
      <c r="C1416" s="45"/>
      <c r="D1416" t="str">
        <f t="shared" si="30"/>
        <v>_</v>
      </c>
    </row>
    <row r="1417" spans="3:4">
      <c r="C1417" s="45"/>
      <c r="D1417" t="str">
        <f t="shared" si="30"/>
        <v>_</v>
      </c>
    </row>
    <row r="1418" spans="3:4">
      <c r="C1418" s="45"/>
      <c r="D1418" t="str">
        <f t="shared" si="30"/>
        <v>_</v>
      </c>
    </row>
    <row r="1419" spans="3:4">
      <c r="C1419" s="45"/>
      <c r="D1419" t="str">
        <f t="shared" si="30"/>
        <v>_</v>
      </c>
    </row>
    <row r="1420" spans="3:4">
      <c r="C1420" s="45"/>
      <c r="D1420" t="str">
        <f t="shared" si="30"/>
        <v>_</v>
      </c>
    </row>
    <row r="1421" spans="3:4">
      <c r="C1421" s="45"/>
      <c r="D1421" t="str">
        <f t="shared" si="30"/>
        <v>_</v>
      </c>
    </row>
    <row r="1422" spans="3:4">
      <c r="C1422" s="45"/>
      <c r="D1422" t="str">
        <f t="shared" si="30"/>
        <v>_</v>
      </c>
    </row>
    <row r="1423" spans="3:4">
      <c r="C1423" s="45"/>
      <c r="D1423" t="str">
        <f t="shared" si="30"/>
        <v>_</v>
      </c>
    </row>
    <row r="1424" spans="3:4">
      <c r="C1424" s="45"/>
      <c r="D1424" t="str">
        <f t="shared" si="30"/>
        <v>_</v>
      </c>
    </row>
    <row r="1425" spans="3:4">
      <c r="C1425" s="45"/>
      <c r="D1425" t="str">
        <f t="shared" si="30"/>
        <v>_</v>
      </c>
    </row>
    <row r="1426" spans="3:4">
      <c r="C1426" s="45"/>
      <c r="D1426" t="str">
        <f t="shared" si="30"/>
        <v>_</v>
      </c>
    </row>
    <row r="1427" spans="3:4">
      <c r="C1427" s="45"/>
      <c r="D1427" t="str">
        <f t="shared" si="30"/>
        <v>_</v>
      </c>
    </row>
    <row r="1428" spans="3:4">
      <c r="C1428" s="45"/>
      <c r="D1428" t="str">
        <f t="shared" si="30"/>
        <v>_</v>
      </c>
    </row>
    <row r="1429" spans="3:4">
      <c r="C1429" s="45"/>
      <c r="D1429" t="str">
        <f t="shared" si="30"/>
        <v>_</v>
      </c>
    </row>
    <row r="1430" spans="3:4">
      <c r="C1430" s="45"/>
      <c r="D1430" t="str">
        <f t="shared" si="30"/>
        <v>_</v>
      </c>
    </row>
    <row r="1431" spans="3:4">
      <c r="C1431" s="45"/>
      <c r="D1431" t="str">
        <f t="shared" si="30"/>
        <v>_</v>
      </c>
    </row>
    <row r="1432" spans="3:4">
      <c r="C1432" s="45"/>
      <c r="D1432" t="str">
        <f t="shared" si="30"/>
        <v>_</v>
      </c>
    </row>
    <row r="1433" spans="3:4">
      <c r="C1433" s="45"/>
      <c r="D1433" t="str">
        <f t="shared" si="30"/>
        <v>_</v>
      </c>
    </row>
    <row r="1434" spans="3:4">
      <c r="C1434" s="45"/>
      <c r="D1434" t="str">
        <f t="shared" si="30"/>
        <v>_</v>
      </c>
    </row>
    <row r="1435" spans="3:4">
      <c r="C1435" s="45"/>
      <c r="D1435" t="str">
        <f t="shared" si="30"/>
        <v>_</v>
      </c>
    </row>
    <row r="1436" spans="3:4">
      <c r="C1436" s="45"/>
      <c r="D1436" t="str">
        <f t="shared" si="30"/>
        <v>_</v>
      </c>
    </row>
    <row r="1437" spans="3:4">
      <c r="C1437" s="45"/>
      <c r="D1437" t="str">
        <f t="shared" si="30"/>
        <v>_</v>
      </c>
    </row>
    <row r="1438" spans="3:4">
      <c r="C1438" s="45"/>
      <c r="D1438" t="str">
        <f t="shared" si="30"/>
        <v>_</v>
      </c>
    </row>
    <row r="1439" spans="3:4">
      <c r="C1439" s="45"/>
      <c r="D1439" t="str">
        <f t="shared" si="30"/>
        <v>_</v>
      </c>
    </row>
    <row r="1440" spans="3:4">
      <c r="C1440" s="45"/>
      <c r="D1440" t="str">
        <f t="shared" si="30"/>
        <v>_</v>
      </c>
    </row>
    <row r="1441" spans="3:4">
      <c r="C1441" s="45"/>
      <c r="D1441" t="str">
        <f t="shared" si="30"/>
        <v>_</v>
      </c>
    </row>
    <row r="1442" spans="3:4">
      <c r="C1442" s="45"/>
      <c r="D1442" t="str">
        <f t="shared" si="30"/>
        <v>_</v>
      </c>
    </row>
    <row r="1443" spans="3:4">
      <c r="C1443" s="45"/>
      <c r="D1443" t="str">
        <f t="shared" si="30"/>
        <v>_</v>
      </c>
    </row>
    <row r="1444" spans="3:4">
      <c r="C1444" s="45"/>
      <c r="D1444" t="str">
        <f t="shared" si="30"/>
        <v>_</v>
      </c>
    </row>
    <row r="1445" spans="3:4">
      <c r="C1445" s="45"/>
      <c r="D1445" t="str">
        <f t="shared" si="30"/>
        <v>_</v>
      </c>
    </row>
    <row r="1446" spans="3:4">
      <c r="C1446" s="45"/>
      <c r="D1446" t="str">
        <f t="shared" si="30"/>
        <v>_</v>
      </c>
    </row>
    <row r="1447" spans="3:4">
      <c r="C1447" s="45"/>
      <c r="D1447" t="str">
        <f t="shared" si="30"/>
        <v>_</v>
      </c>
    </row>
    <row r="1448" spans="3:4">
      <c r="C1448" s="45"/>
      <c r="D1448" t="str">
        <f t="shared" si="30"/>
        <v>_</v>
      </c>
    </row>
    <row r="1449" spans="3:4">
      <c r="C1449" s="45"/>
      <c r="D1449" t="str">
        <f t="shared" si="30"/>
        <v>_</v>
      </c>
    </row>
    <row r="1450" spans="3:4">
      <c r="C1450" s="45"/>
      <c r="D1450" t="str">
        <f t="shared" si="30"/>
        <v>_</v>
      </c>
    </row>
    <row r="1451" spans="3:4">
      <c r="C1451" s="45"/>
      <c r="D1451" t="str">
        <f t="shared" si="30"/>
        <v>_</v>
      </c>
    </row>
    <row r="1452" spans="3:4">
      <c r="C1452" s="45"/>
      <c r="D1452" t="str">
        <f t="shared" si="30"/>
        <v>_</v>
      </c>
    </row>
    <row r="1453" spans="3:4">
      <c r="C1453" s="45"/>
      <c r="D1453" t="str">
        <f t="shared" si="30"/>
        <v>_</v>
      </c>
    </row>
    <row r="1454" spans="3:4">
      <c r="C1454" s="45"/>
      <c r="D1454" t="str">
        <f t="shared" ref="D1454:D1517" si="31">_xlfn.CONCAT(A1454,"_",B1454)</f>
        <v>_</v>
      </c>
    </row>
    <row r="1455" spans="3:4">
      <c r="C1455" s="45"/>
      <c r="D1455" t="str">
        <f t="shared" si="31"/>
        <v>_</v>
      </c>
    </row>
    <row r="1456" spans="3:4">
      <c r="C1456" s="45"/>
      <c r="D1456" t="str">
        <f t="shared" si="31"/>
        <v>_</v>
      </c>
    </row>
    <row r="1457" spans="3:4">
      <c r="C1457" s="45"/>
      <c r="D1457" t="str">
        <f t="shared" si="31"/>
        <v>_</v>
      </c>
    </row>
    <row r="1458" spans="3:4">
      <c r="C1458" s="45"/>
      <c r="D1458" t="str">
        <f t="shared" si="31"/>
        <v>_</v>
      </c>
    </row>
    <row r="1459" spans="3:4">
      <c r="C1459" s="45"/>
      <c r="D1459" t="str">
        <f t="shared" si="31"/>
        <v>_</v>
      </c>
    </row>
    <row r="1460" spans="3:4">
      <c r="C1460" s="45"/>
      <c r="D1460" t="str">
        <f t="shared" si="31"/>
        <v>_</v>
      </c>
    </row>
    <row r="1461" spans="3:4">
      <c r="C1461" s="45"/>
      <c r="D1461" t="str">
        <f t="shared" si="31"/>
        <v>_</v>
      </c>
    </row>
    <row r="1462" spans="3:4">
      <c r="C1462" s="45"/>
      <c r="D1462" t="str">
        <f t="shared" si="31"/>
        <v>_</v>
      </c>
    </row>
    <row r="1463" spans="3:4">
      <c r="C1463" s="45"/>
      <c r="D1463" t="str">
        <f t="shared" si="31"/>
        <v>_</v>
      </c>
    </row>
    <row r="1464" spans="3:4">
      <c r="C1464" s="45"/>
      <c r="D1464" t="str">
        <f t="shared" si="31"/>
        <v>_</v>
      </c>
    </row>
    <row r="1465" spans="3:4">
      <c r="C1465" s="45"/>
      <c r="D1465" t="str">
        <f t="shared" si="31"/>
        <v>_</v>
      </c>
    </row>
    <row r="1466" spans="3:4">
      <c r="C1466" s="45"/>
      <c r="D1466" t="str">
        <f t="shared" si="31"/>
        <v>_</v>
      </c>
    </row>
    <row r="1467" spans="3:4">
      <c r="C1467" s="45"/>
      <c r="D1467" t="str">
        <f t="shared" si="31"/>
        <v>_</v>
      </c>
    </row>
    <row r="1468" spans="3:4">
      <c r="C1468" s="45"/>
      <c r="D1468" t="str">
        <f t="shared" si="31"/>
        <v>_</v>
      </c>
    </row>
    <row r="1469" spans="3:4">
      <c r="C1469" s="45"/>
      <c r="D1469" t="str">
        <f t="shared" si="31"/>
        <v>_</v>
      </c>
    </row>
    <row r="1470" spans="3:4">
      <c r="C1470" s="45"/>
      <c r="D1470" t="str">
        <f t="shared" si="31"/>
        <v>_</v>
      </c>
    </row>
    <row r="1471" spans="3:4">
      <c r="C1471" s="45"/>
      <c r="D1471" t="str">
        <f t="shared" si="31"/>
        <v>_</v>
      </c>
    </row>
    <row r="1472" spans="3:4">
      <c r="C1472" s="45"/>
      <c r="D1472" t="str">
        <f t="shared" si="31"/>
        <v>_</v>
      </c>
    </row>
    <row r="1473" spans="3:4">
      <c r="C1473" s="45"/>
      <c r="D1473" t="str">
        <f t="shared" si="31"/>
        <v>_</v>
      </c>
    </row>
    <row r="1474" spans="3:4">
      <c r="C1474" s="45"/>
      <c r="D1474" t="str">
        <f t="shared" si="31"/>
        <v>_</v>
      </c>
    </row>
    <row r="1475" spans="3:4">
      <c r="C1475" s="45"/>
      <c r="D1475" t="str">
        <f t="shared" si="31"/>
        <v>_</v>
      </c>
    </row>
    <row r="1476" spans="3:4">
      <c r="C1476" s="45"/>
      <c r="D1476" t="str">
        <f t="shared" si="31"/>
        <v>_</v>
      </c>
    </row>
    <row r="1477" spans="3:4">
      <c r="C1477" s="45"/>
      <c r="D1477" t="str">
        <f t="shared" si="31"/>
        <v>_</v>
      </c>
    </row>
    <row r="1478" spans="3:4">
      <c r="C1478" s="45"/>
      <c r="D1478" t="str">
        <f t="shared" si="31"/>
        <v>_</v>
      </c>
    </row>
    <row r="1479" spans="3:4">
      <c r="C1479" s="45"/>
      <c r="D1479" t="str">
        <f t="shared" si="31"/>
        <v>_</v>
      </c>
    </row>
    <row r="1480" spans="3:4">
      <c r="C1480" s="45"/>
      <c r="D1480" t="str">
        <f t="shared" si="31"/>
        <v>_</v>
      </c>
    </row>
    <row r="1481" spans="3:4">
      <c r="C1481" s="45"/>
      <c r="D1481" t="str">
        <f t="shared" si="31"/>
        <v>_</v>
      </c>
    </row>
    <row r="1482" spans="3:4">
      <c r="C1482" s="45"/>
      <c r="D1482" t="str">
        <f t="shared" si="31"/>
        <v>_</v>
      </c>
    </row>
    <row r="1483" spans="3:4">
      <c r="C1483" s="45"/>
      <c r="D1483" t="str">
        <f t="shared" si="31"/>
        <v>_</v>
      </c>
    </row>
    <row r="1484" spans="3:4">
      <c r="C1484" s="45"/>
      <c r="D1484" t="str">
        <f t="shared" si="31"/>
        <v>_</v>
      </c>
    </row>
    <row r="1485" spans="3:4">
      <c r="C1485" s="45"/>
      <c r="D1485" t="str">
        <f t="shared" si="31"/>
        <v>_</v>
      </c>
    </row>
    <row r="1486" spans="3:4">
      <c r="C1486" s="45"/>
      <c r="D1486" t="str">
        <f t="shared" si="31"/>
        <v>_</v>
      </c>
    </row>
    <row r="1487" spans="3:4">
      <c r="C1487" s="45"/>
      <c r="D1487" t="str">
        <f t="shared" si="31"/>
        <v>_</v>
      </c>
    </row>
    <row r="1488" spans="3:4">
      <c r="C1488" s="45"/>
      <c r="D1488" t="str">
        <f t="shared" si="31"/>
        <v>_</v>
      </c>
    </row>
    <row r="1489" spans="3:4">
      <c r="C1489" s="45"/>
      <c r="D1489" t="str">
        <f t="shared" si="31"/>
        <v>_</v>
      </c>
    </row>
    <row r="1490" spans="3:4">
      <c r="C1490" s="45"/>
      <c r="D1490" t="str">
        <f t="shared" si="31"/>
        <v>_</v>
      </c>
    </row>
    <row r="1491" spans="3:4">
      <c r="C1491" s="45"/>
      <c r="D1491" t="str">
        <f t="shared" si="31"/>
        <v>_</v>
      </c>
    </row>
    <row r="1492" spans="3:4">
      <c r="C1492" s="45"/>
      <c r="D1492" t="str">
        <f t="shared" si="31"/>
        <v>_</v>
      </c>
    </row>
    <row r="1493" spans="3:4">
      <c r="C1493" s="45"/>
      <c r="D1493" t="str">
        <f t="shared" si="31"/>
        <v>_</v>
      </c>
    </row>
    <row r="1494" spans="3:4">
      <c r="C1494" s="45"/>
      <c r="D1494" t="str">
        <f t="shared" si="31"/>
        <v>_</v>
      </c>
    </row>
    <row r="1495" spans="3:4">
      <c r="C1495" s="45"/>
      <c r="D1495" t="str">
        <f t="shared" si="31"/>
        <v>_</v>
      </c>
    </row>
    <row r="1496" spans="3:4">
      <c r="C1496" s="45"/>
      <c r="D1496" t="str">
        <f t="shared" si="31"/>
        <v>_</v>
      </c>
    </row>
    <row r="1497" spans="3:4">
      <c r="C1497" s="45"/>
      <c r="D1497" t="str">
        <f t="shared" si="31"/>
        <v>_</v>
      </c>
    </row>
    <row r="1498" spans="3:4">
      <c r="C1498" s="45"/>
      <c r="D1498" t="str">
        <f t="shared" si="31"/>
        <v>_</v>
      </c>
    </row>
    <row r="1499" spans="3:4">
      <c r="C1499" s="45"/>
      <c r="D1499" t="str">
        <f t="shared" si="31"/>
        <v>_</v>
      </c>
    </row>
    <row r="1500" spans="3:4">
      <c r="C1500" s="45"/>
      <c r="D1500" t="str">
        <f t="shared" si="31"/>
        <v>_</v>
      </c>
    </row>
    <row r="1501" spans="3:4">
      <c r="C1501" s="45"/>
      <c r="D1501" t="str">
        <f t="shared" si="31"/>
        <v>_</v>
      </c>
    </row>
    <row r="1502" spans="3:4">
      <c r="C1502" s="45"/>
      <c r="D1502" t="str">
        <f t="shared" si="31"/>
        <v>_</v>
      </c>
    </row>
    <row r="1503" spans="3:4">
      <c r="C1503" s="45"/>
      <c r="D1503" t="str">
        <f t="shared" si="31"/>
        <v>_</v>
      </c>
    </row>
    <row r="1504" spans="3:4">
      <c r="C1504" s="45"/>
      <c r="D1504" t="str">
        <f t="shared" si="31"/>
        <v>_</v>
      </c>
    </row>
    <row r="1505" spans="3:4">
      <c r="C1505" s="45"/>
      <c r="D1505" t="str">
        <f t="shared" si="31"/>
        <v>_</v>
      </c>
    </row>
    <row r="1506" spans="3:4">
      <c r="C1506" s="45"/>
      <c r="D1506" t="str">
        <f t="shared" si="31"/>
        <v>_</v>
      </c>
    </row>
    <row r="1507" spans="3:4">
      <c r="C1507" s="45"/>
      <c r="D1507" t="str">
        <f t="shared" si="31"/>
        <v>_</v>
      </c>
    </row>
    <row r="1508" spans="3:4">
      <c r="C1508" s="45"/>
      <c r="D1508" t="str">
        <f t="shared" si="31"/>
        <v>_</v>
      </c>
    </row>
    <row r="1509" spans="3:4">
      <c r="C1509" s="45"/>
      <c r="D1509" t="str">
        <f t="shared" si="31"/>
        <v>_</v>
      </c>
    </row>
    <row r="1510" spans="3:4">
      <c r="C1510" s="45"/>
      <c r="D1510" t="str">
        <f t="shared" si="31"/>
        <v>_</v>
      </c>
    </row>
    <row r="1511" spans="3:4">
      <c r="C1511" s="45"/>
      <c r="D1511" t="str">
        <f t="shared" si="31"/>
        <v>_</v>
      </c>
    </row>
    <row r="1512" spans="3:4">
      <c r="C1512" s="45"/>
      <c r="D1512" t="str">
        <f t="shared" si="31"/>
        <v>_</v>
      </c>
    </row>
    <row r="1513" spans="3:4">
      <c r="C1513" s="45"/>
      <c r="D1513" t="str">
        <f t="shared" si="31"/>
        <v>_</v>
      </c>
    </row>
    <row r="1514" spans="3:4">
      <c r="C1514" s="45"/>
      <c r="D1514" t="str">
        <f t="shared" si="31"/>
        <v>_</v>
      </c>
    </row>
    <row r="1515" spans="3:4">
      <c r="C1515" s="45"/>
      <c r="D1515" t="str">
        <f t="shared" si="31"/>
        <v>_</v>
      </c>
    </row>
    <row r="1516" spans="3:4">
      <c r="C1516" s="45"/>
      <c r="D1516" t="str">
        <f t="shared" si="31"/>
        <v>_</v>
      </c>
    </row>
    <row r="1517" spans="3:4">
      <c r="C1517" s="45"/>
      <c r="D1517" t="str">
        <f t="shared" si="31"/>
        <v>_</v>
      </c>
    </row>
    <row r="1518" spans="3:4">
      <c r="C1518" s="45"/>
      <c r="D1518" t="str">
        <f t="shared" ref="D1518:D1581" si="32">_xlfn.CONCAT(A1518,"_",B1518)</f>
        <v>_</v>
      </c>
    </row>
    <row r="1519" spans="3:4">
      <c r="C1519" s="45"/>
      <c r="D1519" t="str">
        <f t="shared" si="32"/>
        <v>_</v>
      </c>
    </row>
    <row r="1520" spans="3:4">
      <c r="C1520" s="45"/>
      <c r="D1520" t="str">
        <f t="shared" si="32"/>
        <v>_</v>
      </c>
    </row>
    <row r="1521" spans="3:4">
      <c r="C1521" s="45"/>
      <c r="D1521" t="str">
        <f t="shared" si="32"/>
        <v>_</v>
      </c>
    </row>
    <row r="1522" spans="3:4">
      <c r="C1522" s="45"/>
      <c r="D1522" t="str">
        <f t="shared" si="32"/>
        <v>_</v>
      </c>
    </row>
    <row r="1523" spans="3:4">
      <c r="C1523" s="45"/>
      <c r="D1523" t="str">
        <f t="shared" si="32"/>
        <v>_</v>
      </c>
    </row>
    <row r="1524" spans="3:4">
      <c r="C1524" s="45"/>
      <c r="D1524" t="str">
        <f t="shared" si="32"/>
        <v>_</v>
      </c>
    </row>
    <row r="1525" spans="3:4">
      <c r="C1525" s="45"/>
      <c r="D1525" t="str">
        <f t="shared" si="32"/>
        <v>_</v>
      </c>
    </row>
    <row r="1526" spans="3:4">
      <c r="C1526" s="45"/>
      <c r="D1526" t="str">
        <f t="shared" si="32"/>
        <v>_</v>
      </c>
    </row>
    <row r="1527" spans="3:4">
      <c r="C1527" s="45"/>
      <c r="D1527" t="str">
        <f t="shared" si="32"/>
        <v>_</v>
      </c>
    </row>
    <row r="1528" spans="3:4">
      <c r="C1528" s="45"/>
      <c r="D1528" t="str">
        <f t="shared" si="32"/>
        <v>_</v>
      </c>
    </row>
    <row r="1529" spans="3:4">
      <c r="C1529" s="45"/>
      <c r="D1529" t="str">
        <f t="shared" si="32"/>
        <v>_</v>
      </c>
    </row>
    <row r="1530" spans="3:4">
      <c r="C1530" s="45"/>
      <c r="D1530" t="str">
        <f t="shared" si="32"/>
        <v>_</v>
      </c>
    </row>
    <row r="1531" spans="3:4">
      <c r="C1531" s="45"/>
      <c r="D1531" t="str">
        <f t="shared" si="32"/>
        <v>_</v>
      </c>
    </row>
    <row r="1532" spans="3:4">
      <c r="C1532" s="45"/>
      <c r="D1532" t="str">
        <f t="shared" si="32"/>
        <v>_</v>
      </c>
    </row>
    <row r="1533" spans="3:4">
      <c r="C1533" s="45"/>
      <c r="D1533" t="str">
        <f t="shared" si="32"/>
        <v>_</v>
      </c>
    </row>
    <row r="1534" spans="3:4">
      <c r="C1534" s="45"/>
      <c r="D1534" t="str">
        <f t="shared" si="32"/>
        <v>_</v>
      </c>
    </row>
    <row r="1535" spans="3:4">
      <c r="C1535" s="45"/>
      <c r="D1535" t="str">
        <f t="shared" si="32"/>
        <v>_</v>
      </c>
    </row>
    <row r="1536" spans="3:4">
      <c r="C1536" s="45"/>
      <c r="D1536" t="str">
        <f t="shared" si="32"/>
        <v>_</v>
      </c>
    </row>
    <row r="1537" spans="3:4">
      <c r="C1537" s="45"/>
      <c r="D1537" t="str">
        <f t="shared" si="32"/>
        <v>_</v>
      </c>
    </row>
    <row r="1538" spans="3:4">
      <c r="C1538" s="45"/>
      <c r="D1538" t="str">
        <f t="shared" si="32"/>
        <v>_</v>
      </c>
    </row>
    <row r="1539" spans="3:4">
      <c r="C1539" s="45"/>
      <c r="D1539" t="str">
        <f t="shared" si="32"/>
        <v>_</v>
      </c>
    </row>
    <row r="1540" spans="3:4">
      <c r="C1540" s="45"/>
      <c r="D1540" t="str">
        <f t="shared" si="32"/>
        <v>_</v>
      </c>
    </row>
    <row r="1541" spans="3:4">
      <c r="C1541" s="45"/>
      <c r="D1541" t="str">
        <f t="shared" si="32"/>
        <v>_</v>
      </c>
    </row>
    <row r="1542" spans="3:4">
      <c r="C1542" s="45"/>
      <c r="D1542" t="str">
        <f t="shared" si="32"/>
        <v>_</v>
      </c>
    </row>
    <row r="1543" spans="3:4">
      <c r="C1543" s="45"/>
      <c r="D1543" t="str">
        <f t="shared" si="32"/>
        <v>_</v>
      </c>
    </row>
    <row r="1544" spans="3:4">
      <c r="C1544" s="45"/>
      <c r="D1544" t="str">
        <f t="shared" si="32"/>
        <v>_</v>
      </c>
    </row>
    <row r="1545" spans="3:4">
      <c r="C1545" s="45"/>
      <c r="D1545" t="str">
        <f t="shared" si="32"/>
        <v>_</v>
      </c>
    </row>
    <row r="1546" spans="3:4">
      <c r="C1546" s="45"/>
      <c r="D1546" t="str">
        <f t="shared" si="32"/>
        <v>_</v>
      </c>
    </row>
    <row r="1547" spans="3:4">
      <c r="C1547" s="45"/>
      <c r="D1547" t="str">
        <f t="shared" si="32"/>
        <v>_</v>
      </c>
    </row>
    <row r="1548" spans="3:4">
      <c r="C1548" s="45"/>
      <c r="D1548" t="str">
        <f t="shared" si="32"/>
        <v>_</v>
      </c>
    </row>
    <row r="1549" spans="3:4">
      <c r="C1549" s="45"/>
      <c r="D1549" t="str">
        <f t="shared" si="32"/>
        <v>_</v>
      </c>
    </row>
    <row r="1550" spans="3:4">
      <c r="C1550" s="45"/>
      <c r="D1550" t="str">
        <f t="shared" si="32"/>
        <v>_</v>
      </c>
    </row>
    <row r="1551" spans="3:4">
      <c r="C1551" s="45"/>
      <c r="D1551" t="str">
        <f t="shared" si="32"/>
        <v>_</v>
      </c>
    </row>
    <row r="1552" spans="3:4">
      <c r="C1552" s="45"/>
      <c r="D1552" t="str">
        <f t="shared" si="32"/>
        <v>_</v>
      </c>
    </row>
    <row r="1553" spans="3:4">
      <c r="C1553" s="45"/>
      <c r="D1553" t="str">
        <f t="shared" si="32"/>
        <v>_</v>
      </c>
    </row>
    <row r="1554" spans="3:4">
      <c r="C1554" s="45"/>
      <c r="D1554" t="str">
        <f t="shared" si="32"/>
        <v>_</v>
      </c>
    </row>
    <row r="1555" spans="3:4">
      <c r="C1555" s="45"/>
      <c r="D1555" t="str">
        <f t="shared" si="32"/>
        <v>_</v>
      </c>
    </row>
    <row r="1556" spans="3:4">
      <c r="C1556" s="45"/>
      <c r="D1556" t="str">
        <f t="shared" si="32"/>
        <v>_</v>
      </c>
    </row>
    <row r="1557" spans="3:4">
      <c r="C1557" s="45"/>
      <c r="D1557" t="str">
        <f t="shared" si="32"/>
        <v>_</v>
      </c>
    </row>
    <row r="1558" spans="3:4">
      <c r="C1558" s="45"/>
      <c r="D1558" t="str">
        <f t="shared" si="32"/>
        <v>_</v>
      </c>
    </row>
    <row r="1559" spans="3:4">
      <c r="C1559" s="45"/>
      <c r="D1559" t="str">
        <f t="shared" si="32"/>
        <v>_</v>
      </c>
    </row>
    <row r="1560" spans="3:4">
      <c r="C1560" s="45"/>
      <c r="D1560" t="str">
        <f t="shared" si="32"/>
        <v>_</v>
      </c>
    </row>
    <row r="1561" spans="3:4">
      <c r="C1561" s="45"/>
      <c r="D1561" t="str">
        <f t="shared" si="32"/>
        <v>_</v>
      </c>
    </row>
    <row r="1562" spans="3:4">
      <c r="C1562" s="45"/>
      <c r="D1562" t="str">
        <f t="shared" si="32"/>
        <v>_</v>
      </c>
    </row>
    <row r="1563" spans="3:4">
      <c r="C1563" s="45"/>
      <c r="D1563" t="str">
        <f t="shared" si="32"/>
        <v>_</v>
      </c>
    </row>
    <row r="1564" spans="3:4">
      <c r="C1564" s="45"/>
      <c r="D1564" t="str">
        <f t="shared" si="32"/>
        <v>_</v>
      </c>
    </row>
    <row r="1565" spans="3:4">
      <c r="C1565" s="45"/>
      <c r="D1565" t="str">
        <f t="shared" si="32"/>
        <v>_</v>
      </c>
    </row>
    <row r="1566" spans="3:4">
      <c r="C1566" s="45"/>
      <c r="D1566" t="str">
        <f t="shared" si="32"/>
        <v>_</v>
      </c>
    </row>
    <row r="1567" spans="3:4">
      <c r="C1567" s="45"/>
      <c r="D1567" t="str">
        <f t="shared" si="32"/>
        <v>_</v>
      </c>
    </row>
    <row r="1568" spans="3:4">
      <c r="C1568" s="45"/>
      <c r="D1568" t="str">
        <f t="shared" si="32"/>
        <v>_</v>
      </c>
    </row>
    <row r="1569" spans="3:4">
      <c r="C1569" s="45"/>
      <c r="D1569" t="str">
        <f t="shared" si="32"/>
        <v>_</v>
      </c>
    </row>
    <row r="1570" spans="3:4">
      <c r="C1570" s="45"/>
      <c r="D1570" t="str">
        <f t="shared" si="32"/>
        <v>_</v>
      </c>
    </row>
    <row r="1571" spans="3:4">
      <c r="C1571" s="45"/>
      <c r="D1571" t="str">
        <f t="shared" si="32"/>
        <v>_</v>
      </c>
    </row>
    <row r="1572" spans="3:4">
      <c r="C1572" s="45"/>
      <c r="D1572" t="str">
        <f t="shared" si="32"/>
        <v>_</v>
      </c>
    </row>
    <row r="1573" spans="3:4">
      <c r="C1573" s="45"/>
      <c r="D1573" t="str">
        <f t="shared" si="32"/>
        <v>_</v>
      </c>
    </row>
    <row r="1574" spans="3:4">
      <c r="C1574" s="45"/>
      <c r="D1574" t="str">
        <f t="shared" si="32"/>
        <v>_</v>
      </c>
    </row>
    <row r="1575" spans="3:4">
      <c r="C1575" s="45"/>
      <c r="D1575" t="str">
        <f t="shared" si="32"/>
        <v>_</v>
      </c>
    </row>
    <row r="1576" spans="3:4">
      <c r="C1576" s="45"/>
      <c r="D1576" t="str">
        <f t="shared" si="32"/>
        <v>_</v>
      </c>
    </row>
    <row r="1577" spans="3:4">
      <c r="C1577" s="45"/>
      <c r="D1577" t="str">
        <f t="shared" si="32"/>
        <v>_</v>
      </c>
    </row>
    <row r="1578" spans="3:4">
      <c r="C1578" s="45"/>
      <c r="D1578" t="str">
        <f t="shared" si="32"/>
        <v>_</v>
      </c>
    </row>
    <row r="1579" spans="3:4">
      <c r="C1579" s="45"/>
      <c r="D1579" t="str">
        <f t="shared" si="32"/>
        <v>_</v>
      </c>
    </row>
    <row r="1580" spans="3:4">
      <c r="C1580" s="45"/>
      <c r="D1580" t="str">
        <f t="shared" si="32"/>
        <v>_</v>
      </c>
    </row>
    <row r="1581" spans="3:4">
      <c r="C1581" s="45"/>
      <c r="D1581" t="str">
        <f t="shared" si="32"/>
        <v>_</v>
      </c>
    </row>
    <row r="1582" spans="3:4">
      <c r="C1582" s="45"/>
      <c r="D1582" t="str">
        <f t="shared" ref="D1582:D1645" si="33">_xlfn.CONCAT(A1582,"_",B1582)</f>
        <v>_</v>
      </c>
    </row>
    <row r="1583" spans="3:4">
      <c r="C1583" s="45"/>
      <c r="D1583" t="str">
        <f t="shared" si="33"/>
        <v>_</v>
      </c>
    </row>
    <row r="1584" spans="3:4">
      <c r="C1584" s="45"/>
      <c r="D1584" t="str">
        <f t="shared" si="33"/>
        <v>_</v>
      </c>
    </row>
    <row r="1585" spans="3:4">
      <c r="C1585" s="45"/>
      <c r="D1585" t="str">
        <f t="shared" si="33"/>
        <v>_</v>
      </c>
    </row>
    <row r="1586" spans="3:4">
      <c r="C1586" s="45"/>
      <c r="D1586" t="str">
        <f t="shared" si="33"/>
        <v>_</v>
      </c>
    </row>
    <row r="1587" spans="3:4">
      <c r="C1587" s="45"/>
      <c r="D1587" t="str">
        <f t="shared" si="33"/>
        <v>_</v>
      </c>
    </row>
    <row r="1588" spans="3:4">
      <c r="C1588" s="45"/>
      <c r="D1588" t="str">
        <f t="shared" si="33"/>
        <v>_</v>
      </c>
    </row>
    <row r="1589" spans="3:4">
      <c r="C1589" s="45"/>
      <c r="D1589" t="str">
        <f t="shared" si="33"/>
        <v>_</v>
      </c>
    </row>
    <row r="1590" spans="3:4">
      <c r="C1590" s="45"/>
      <c r="D1590" t="str">
        <f t="shared" si="33"/>
        <v>_</v>
      </c>
    </row>
    <row r="1591" spans="3:4">
      <c r="C1591" s="45"/>
      <c r="D1591" t="str">
        <f t="shared" si="33"/>
        <v>_</v>
      </c>
    </row>
    <row r="1592" spans="3:4">
      <c r="C1592" s="45"/>
      <c r="D1592" t="str">
        <f t="shared" si="33"/>
        <v>_</v>
      </c>
    </row>
    <row r="1593" spans="3:4">
      <c r="C1593" s="45"/>
      <c r="D1593" t="str">
        <f t="shared" si="33"/>
        <v>_</v>
      </c>
    </row>
    <row r="1594" spans="3:4">
      <c r="C1594" s="45"/>
      <c r="D1594" t="str">
        <f t="shared" si="33"/>
        <v>_</v>
      </c>
    </row>
    <row r="1595" spans="3:4">
      <c r="C1595" s="45"/>
      <c r="D1595" t="str">
        <f t="shared" si="33"/>
        <v>_</v>
      </c>
    </row>
    <row r="1596" spans="3:4">
      <c r="C1596" s="45"/>
      <c r="D1596" t="str">
        <f t="shared" si="33"/>
        <v>_</v>
      </c>
    </row>
    <row r="1597" spans="3:4">
      <c r="C1597" s="45"/>
      <c r="D1597" t="str">
        <f t="shared" si="33"/>
        <v>_</v>
      </c>
    </row>
    <row r="1598" spans="3:4">
      <c r="C1598" s="45"/>
      <c r="D1598" t="str">
        <f t="shared" si="33"/>
        <v>_</v>
      </c>
    </row>
    <row r="1599" spans="3:4">
      <c r="C1599" s="45"/>
      <c r="D1599" t="str">
        <f t="shared" si="33"/>
        <v>_</v>
      </c>
    </row>
    <row r="1600" spans="3:4">
      <c r="C1600" s="45"/>
      <c r="D1600" t="str">
        <f t="shared" si="33"/>
        <v>_</v>
      </c>
    </row>
    <row r="1601" spans="3:4">
      <c r="C1601" s="45"/>
      <c r="D1601" t="str">
        <f t="shared" si="33"/>
        <v>_</v>
      </c>
    </row>
    <row r="1602" spans="3:4">
      <c r="C1602" s="45"/>
      <c r="D1602" t="str">
        <f t="shared" si="33"/>
        <v>_</v>
      </c>
    </row>
    <row r="1603" spans="3:4">
      <c r="C1603" s="45"/>
      <c r="D1603" t="str">
        <f t="shared" si="33"/>
        <v>_</v>
      </c>
    </row>
    <row r="1604" spans="3:4">
      <c r="C1604" s="45"/>
      <c r="D1604" t="str">
        <f t="shared" si="33"/>
        <v>_</v>
      </c>
    </row>
    <row r="1605" spans="3:4">
      <c r="C1605" s="45"/>
      <c r="D1605" t="str">
        <f t="shared" si="33"/>
        <v>_</v>
      </c>
    </row>
    <row r="1606" spans="3:4">
      <c r="C1606" s="45"/>
      <c r="D1606" t="str">
        <f t="shared" si="33"/>
        <v>_</v>
      </c>
    </row>
    <row r="1607" spans="3:4">
      <c r="C1607" s="45"/>
      <c r="D1607" t="str">
        <f t="shared" si="33"/>
        <v>_</v>
      </c>
    </row>
    <row r="1608" spans="3:4">
      <c r="C1608" s="45"/>
      <c r="D1608" t="str">
        <f t="shared" si="33"/>
        <v>_</v>
      </c>
    </row>
    <row r="1609" spans="3:4">
      <c r="C1609" s="45"/>
      <c r="D1609" t="str">
        <f t="shared" si="33"/>
        <v>_</v>
      </c>
    </row>
    <row r="1610" spans="3:4">
      <c r="C1610" s="45"/>
      <c r="D1610" t="str">
        <f t="shared" si="33"/>
        <v>_</v>
      </c>
    </row>
    <row r="1611" spans="3:4">
      <c r="C1611" s="45"/>
      <c r="D1611" t="str">
        <f t="shared" si="33"/>
        <v>_</v>
      </c>
    </row>
    <row r="1612" spans="3:4">
      <c r="C1612" s="45"/>
      <c r="D1612" t="str">
        <f t="shared" si="33"/>
        <v>_</v>
      </c>
    </row>
    <row r="1613" spans="3:4">
      <c r="C1613" s="45"/>
      <c r="D1613" t="str">
        <f t="shared" si="33"/>
        <v>_</v>
      </c>
    </row>
    <row r="1614" spans="3:4">
      <c r="C1614" s="45"/>
      <c r="D1614" t="str">
        <f t="shared" si="33"/>
        <v>_</v>
      </c>
    </row>
    <row r="1615" spans="3:4">
      <c r="C1615" s="45"/>
      <c r="D1615" t="str">
        <f t="shared" si="33"/>
        <v>_</v>
      </c>
    </row>
    <row r="1616" spans="3:4">
      <c r="C1616" s="45"/>
      <c r="D1616" t="str">
        <f t="shared" si="33"/>
        <v>_</v>
      </c>
    </row>
    <row r="1617" spans="3:4">
      <c r="C1617" s="45"/>
      <c r="D1617" t="str">
        <f t="shared" si="33"/>
        <v>_</v>
      </c>
    </row>
    <row r="1618" spans="3:4">
      <c r="C1618" s="45"/>
      <c r="D1618" t="str">
        <f t="shared" si="33"/>
        <v>_</v>
      </c>
    </row>
    <row r="1619" spans="3:4">
      <c r="C1619" s="45"/>
      <c r="D1619" t="str">
        <f t="shared" si="33"/>
        <v>_</v>
      </c>
    </row>
    <row r="1620" spans="3:4">
      <c r="C1620" s="45"/>
      <c r="D1620" t="str">
        <f t="shared" si="33"/>
        <v>_</v>
      </c>
    </row>
    <row r="1621" spans="3:4">
      <c r="C1621" s="45"/>
      <c r="D1621" t="str">
        <f t="shared" si="33"/>
        <v>_</v>
      </c>
    </row>
    <row r="1622" spans="3:4">
      <c r="C1622" s="45"/>
      <c r="D1622" t="str">
        <f t="shared" si="33"/>
        <v>_</v>
      </c>
    </row>
    <row r="1623" spans="3:4">
      <c r="C1623" s="45"/>
      <c r="D1623" t="str">
        <f t="shared" si="33"/>
        <v>_</v>
      </c>
    </row>
    <row r="1624" spans="3:4">
      <c r="C1624" s="45"/>
      <c r="D1624" t="str">
        <f t="shared" si="33"/>
        <v>_</v>
      </c>
    </row>
    <row r="1625" spans="3:4">
      <c r="C1625" s="45"/>
      <c r="D1625" t="str">
        <f t="shared" si="33"/>
        <v>_</v>
      </c>
    </row>
    <row r="1626" spans="3:4">
      <c r="C1626" s="45"/>
      <c r="D1626" t="str">
        <f t="shared" si="33"/>
        <v>_</v>
      </c>
    </row>
    <row r="1627" spans="3:4">
      <c r="C1627" s="45"/>
      <c r="D1627" t="str">
        <f t="shared" si="33"/>
        <v>_</v>
      </c>
    </row>
    <row r="1628" spans="3:4">
      <c r="C1628" s="45"/>
      <c r="D1628" t="str">
        <f t="shared" si="33"/>
        <v>_</v>
      </c>
    </row>
    <row r="1629" spans="3:4">
      <c r="C1629" s="45"/>
      <c r="D1629" t="str">
        <f t="shared" si="33"/>
        <v>_</v>
      </c>
    </row>
    <row r="1630" spans="3:4">
      <c r="C1630" s="45"/>
      <c r="D1630" t="str">
        <f t="shared" si="33"/>
        <v>_</v>
      </c>
    </row>
    <row r="1631" spans="3:4">
      <c r="C1631" s="45"/>
      <c r="D1631" t="str">
        <f t="shared" si="33"/>
        <v>_</v>
      </c>
    </row>
    <row r="1632" spans="3:4">
      <c r="C1632" s="45"/>
      <c r="D1632" t="str">
        <f t="shared" si="33"/>
        <v>_</v>
      </c>
    </row>
    <row r="1633" spans="3:4">
      <c r="C1633" s="45"/>
      <c r="D1633" t="str">
        <f t="shared" si="33"/>
        <v>_</v>
      </c>
    </row>
    <row r="1634" spans="3:4">
      <c r="C1634" s="45"/>
      <c r="D1634" t="str">
        <f t="shared" si="33"/>
        <v>_</v>
      </c>
    </row>
    <row r="1635" spans="3:4">
      <c r="C1635" s="45"/>
      <c r="D1635" t="str">
        <f t="shared" si="33"/>
        <v>_</v>
      </c>
    </row>
    <row r="1636" spans="3:4">
      <c r="C1636" s="45"/>
      <c r="D1636" t="str">
        <f t="shared" si="33"/>
        <v>_</v>
      </c>
    </row>
    <row r="1637" spans="3:4">
      <c r="C1637" s="45"/>
      <c r="D1637" t="str">
        <f t="shared" si="33"/>
        <v>_</v>
      </c>
    </row>
    <row r="1638" spans="3:4">
      <c r="C1638" s="45"/>
      <c r="D1638" t="str">
        <f t="shared" si="33"/>
        <v>_</v>
      </c>
    </row>
    <row r="1639" spans="3:4">
      <c r="C1639" s="45"/>
      <c r="D1639" t="str">
        <f t="shared" si="33"/>
        <v>_</v>
      </c>
    </row>
    <row r="1640" spans="3:4">
      <c r="C1640" s="45"/>
      <c r="D1640" t="str">
        <f t="shared" si="33"/>
        <v>_</v>
      </c>
    </row>
    <row r="1641" spans="3:4">
      <c r="C1641" s="45"/>
      <c r="D1641" t="str">
        <f t="shared" si="33"/>
        <v>_</v>
      </c>
    </row>
    <row r="1642" spans="3:4">
      <c r="C1642" s="45"/>
      <c r="D1642" t="str">
        <f t="shared" si="33"/>
        <v>_</v>
      </c>
    </row>
    <row r="1643" spans="3:4">
      <c r="C1643" s="45"/>
      <c r="D1643" t="str">
        <f t="shared" si="33"/>
        <v>_</v>
      </c>
    </row>
    <row r="1644" spans="3:4">
      <c r="C1644" s="45"/>
      <c r="D1644" t="str">
        <f t="shared" si="33"/>
        <v>_</v>
      </c>
    </row>
    <row r="1645" spans="3:4">
      <c r="C1645" s="45"/>
      <c r="D1645" t="str">
        <f t="shared" si="33"/>
        <v>_</v>
      </c>
    </row>
    <row r="1646" spans="3:4">
      <c r="C1646" s="45"/>
      <c r="D1646" t="str">
        <f t="shared" ref="D1646:D1709" si="34">_xlfn.CONCAT(A1646,"_",B1646)</f>
        <v>_</v>
      </c>
    </row>
    <row r="1647" spans="3:4">
      <c r="C1647" s="45"/>
      <c r="D1647" t="str">
        <f t="shared" si="34"/>
        <v>_</v>
      </c>
    </row>
    <row r="1648" spans="3:4">
      <c r="C1648" s="45"/>
      <c r="D1648" t="str">
        <f t="shared" si="34"/>
        <v>_</v>
      </c>
    </row>
    <row r="1649" spans="3:4">
      <c r="C1649" s="45"/>
      <c r="D1649" t="str">
        <f t="shared" si="34"/>
        <v>_</v>
      </c>
    </row>
    <row r="1650" spans="3:4">
      <c r="C1650" s="45"/>
      <c r="D1650" t="str">
        <f t="shared" si="34"/>
        <v>_</v>
      </c>
    </row>
    <row r="1651" spans="3:4">
      <c r="C1651" s="45"/>
      <c r="D1651" t="str">
        <f t="shared" si="34"/>
        <v>_</v>
      </c>
    </row>
    <row r="1652" spans="3:4">
      <c r="C1652" s="45"/>
      <c r="D1652" t="str">
        <f t="shared" si="34"/>
        <v>_</v>
      </c>
    </row>
    <row r="1653" spans="3:4">
      <c r="C1653" s="45"/>
      <c r="D1653" t="str">
        <f t="shared" si="34"/>
        <v>_</v>
      </c>
    </row>
    <row r="1654" spans="3:4">
      <c r="C1654" s="45"/>
      <c r="D1654" t="str">
        <f t="shared" si="34"/>
        <v>_</v>
      </c>
    </row>
    <row r="1655" spans="3:4">
      <c r="C1655" s="45"/>
      <c r="D1655" t="str">
        <f t="shared" si="34"/>
        <v>_</v>
      </c>
    </row>
    <row r="1656" spans="3:4">
      <c r="C1656" s="45"/>
      <c r="D1656" t="str">
        <f t="shared" si="34"/>
        <v>_</v>
      </c>
    </row>
    <row r="1657" spans="3:4">
      <c r="C1657" s="45"/>
      <c r="D1657" t="str">
        <f t="shared" si="34"/>
        <v>_</v>
      </c>
    </row>
    <row r="1658" spans="3:4">
      <c r="C1658" s="45"/>
      <c r="D1658" t="str">
        <f t="shared" si="34"/>
        <v>_</v>
      </c>
    </row>
    <row r="1659" spans="3:4">
      <c r="C1659" s="45"/>
      <c r="D1659" t="str">
        <f t="shared" si="34"/>
        <v>_</v>
      </c>
    </row>
    <row r="1660" spans="3:4">
      <c r="C1660" s="45"/>
      <c r="D1660" t="str">
        <f t="shared" si="34"/>
        <v>_</v>
      </c>
    </row>
    <row r="1661" spans="3:4">
      <c r="C1661" s="45"/>
      <c r="D1661" t="str">
        <f t="shared" si="34"/>
        <v>_</v>
      </c>
    </row>
    <row r="1662" spans="3:4">
      <c r="C1662" s="45"/>
      <c r="D1662" t="str">
        <f t="shared" si="34"/>
        <v>_</v>
      </c>
    </row>
    <row r="1663" spans="3:4">
      <c r="C1663" s="45"/>
      <c r="D1663" t="str">
        <f t="shared" si="34"/>
        <v>_</v>
      </c>
    </row>
    <row r="1664" spans="3:4">
      <c r="C1664" s="45"/>
      <c r="D1664" t="str">
        <f t="shared" si="34"/>
        <v>_</v>
      </c>
    </row>
    <row r="1665" spans="3:4">
      <c r="C1665" s="45"/>
      <c r="D1665" t="str">
        <f t="shared" si="34"/>
        <v>_</v>
      </c>
    </row>
    <row r="1666" spans="3:4">
      <c r="C1666" s="45"/>
      <c r="D1666" t="str">
        <f t="shared" si="34"/>
        <v>_</v>
      </c>
    </row>
    <row r="1667" spans="3:4">
      <c r="C1667" s="45"/>
      <c r="D1667" t="str">
        <f t="shared" si="34"/>
        <v>_</v>
      </c>
    </row>
    <row r="1668" spans="3:4">
      <c r="C1668" s="45"/>
      <c r="D1668" t="str">
        <f t="shared" si="34"/>
        <v>_</v>
      </c>
    </row>
    <row r="1669" spans="3:4">
      <c r="C1669" s="45"/>
      <c r="D1669" t="str">
        <f t="shared" si="34"/>
        <v>_</v>
      </c>
    </row>
    <row r="1670" spans="3:4">
      <c r="C1670" s="45"/>
      <c r="D1670" t="str">
        <f t="shared" si="34"/>
        <v>_</v>
      </c>
    </row>
    <row r="1671" spans="3:4">
      <c r="C1671" s="45"/>
      <c r="D1671" t="str">
        <f t="shared" si="34"/>
        <v>_</v>
      </c>
    </row>
    <row r="1672" spans="3:4">
      <c r="C1672" s="45"/>
      <c r="D1672" t="str">
        <f t="shared" si="34"/>
        <v>_</v>
      </c>
    </row>
    <row r="1673" spans="3:4">
      <c r="C1673" s="45"/>
      <c r="D1673" t="str">
        <f t="shared" si="34"/>
        <v>_</v>
      </c>
    </row>
    <row r="1674" spans="3:4">
      <c r="C1674" s="45"/>
      <c r="D1674" t="str">
        <f t="shared" si="34"/>
        <v>_</v>
      </c>
    </row>
    <row r="1675" spans="3:4">
      <c r="C1675" s="45"/>
      <c r="D1675" t="str">
        <f t="shared" si="34"/>
        <v>_</v>
      </c>
    </row>
    <row r="1676" spans="3:4">
      <c r="C1676" s="45"/>
      <c r="D1676" t="str">
        <f t="shared" si="34"/>
        <v>_</v>
      </c>
    </row>
    <row r="1677" spans="3:4">
      <c r="C1677" s="45"/>
      <c r="D1677" t="str">
        <f t="shared" si="34"/>
        <v>_</v>
      </c>
    </row>
    <row r="1678" spans="3:4">
      <c r="C1678" s="45"/>
      <c r="D1678" t="str">
        <f t="shared" si="34"/>
        <v>_</v>
      </c>
    </row>
    <row r="1679" spans="3:4">
      <c r="C1679" s="45"/>
      <c r="D1679" t="str">
        <f t="shared" si="34"/>
        <v>_</v>
      </c>
    </row>
    <row r="1680" spans="3:4">
      <c r="C1680" s="45"/>
      <c r="D1680" t="str">
        <f t="shared" si="34"/>
        <v>_</v>
      </c>
    </row>
    <row r="1681" spans="3:4">
      <c r="C1681" s="45"/>
      <c r="D1681" t="str">
        <f t="shared" si="34"/>
        <v>_</v>
      </c>
    </row>
    <row r="1682" spans="3:4">
      <c r="C1682" s="45"/>
      <c r="D1682" t="str">
        <f t="shared" si="34"/>
        <v>_</v>
      </c>
    </row>
    <row r="1683" spans="3:4">
      <c r="C1683" s="45"/>
      <c r="D1683" t="str">
        <f t="shared" si="34"/>
        <v>_</v>
      </c>
    </row>
    <row r="1684" spans="3:4">
      <c r="C1684" s="45"/>
      <c r="D1684" t="str">
        <f t="shared" si="34"/>
        <v>_</v>
      </c>
    </row>
    <row r="1685" spans="3:4">
      <c r="C1685" s="45"/>
      <c r="D1685" t="str">
        <f t="shared" si="34"/>
        <v>_</v>
      </c>
    </row>
    <row r="1686" spans="3:4">
      <c r="C1686" s="45"/>
      <c r="D1686" t="str">
        <f t="shared" si="34"/>
        <v>_</v>
      </c>
    </row>
    <row r="1687" spans="3:4">
      <c r="C1687" s="45"/>
      <c r="D1687" t="str">
        <f t="shared" si="34"/>
        <v>_</v>
      </c>
    </row>
    <row r="1688" spans="3:4">
      <c r="C1688" s="45"/>
      <c r="D1688" t="str">
        <f t="shared" si="34"/>
        <v>_</v>
      </c>
    </row>
    <row r="1689" spans="3:4">
      <c r="C1689" s="45"/>
      <c r="D1689" t="str">
        <f t="shared" si="34"/>
        <v>_</v>
      </c>
    </row>
    <row r="1690" spans="3:4">
      <c r="C1690" s="45"/>
      <c r="D1690" t="str">
        <f t="shared" si="34"/>
        <v>_</v>
      </c>
    </row>
    <row r="1691" spans="3:4">
      <c r="C1691" s="45"/>
      <c r="D1691" t="str">
        <f t="shared" si="34"/>
        <v>_</v>
      </c>
    </row>
    <row r="1692" spans="3:4">
      <c r="C1692" s="45"/>
      <c r="D1692" t="str">
        <f t="shared" si="34"/>
        <v>_</v>
      </c>
    </row>
    <row r="1693" spans="3:4">
      <c r="C1693" s="45"/>
      <c r="D1693" t="str">
        <f t="shared" si="34"/>
        <v>_</v>
      </c>
    </row>
    <row r="1694" spans="3:4">
      <c r="C1694" s="45"/>
      <c r="D1694" t="str">
        <f t="shared" si="34"/>
        <v>_</v>
      </c>
    </row>
    <row r="1695" spans="3:4">
      <c r="C1695" s="45"/>
      <c r="D1695" t="str">
        <f t="shared" si="34"/>
        <v>_</v>
      </c>
    </row>
    <row r="1696" spans="3:4">
      <c r="C1696" s="45"/>
      <c r="D1696" t="str">
        <f t="shared" si="34"/>
        <v>_</v>
      </c>
    </row>
    <row r="1697" spans="3:4">
      <c r="C1697" s="45"/>
      <c r="D1697" t="str">
        <f t="shared" si="34"/>
        <v>_</v>
      </c>
    </row>
    <row r="1698" spans="3:4">
      <c r="C1698" s="45"/>
      <c r="D1698" t="str">
        <f t="shared" si="34"/>
        <v>_</v>
      </c>
    </row>
    <row r="1699" spans="3:4">
      <c r="C1699" s="45"/>
      <c r="D1699" t="str">
        <f t="shared" si="34"/>
        <v>_</v>
      </c>
    </row>
    <row r="1700" spans="3:4">
      <c r="C1700" s="45"/>
      <c r="D1700" t="str">
        <f t="shared" si="34"/>
        <v>_</v>
      </c>
    </row>
    <row r="1701" spans="3:4">
      <c r="C1701" s="45"/>
      <c r="D1701" t="str">
        <f t="shared" si="34"/>
        <v>_</v>
      </c>
    </row>
    <row r="1702" spans="3:4">
      <c r="C1702" s="45"/>
      <c r="D1702" t="str">
        <f t="shared" si="34"/>
        <v>_</v>
      </c>
    </row>
    <row r="1703" spans="3:4">
      <c r="C1703" s="45"/>
      <c r="D1703" t="str">
        <f t="shared" si="34"/>
        <v>_</v>
      </c>
    </row>
    <row r="1704" spans="3:4">
      <c r="C1704" s="45"/>
      <c r="D1704" t="str">
        <f t="shared" si="34"/>
        <v>_</v>
      </c>
    </row>
    <row r="1705" spans="3:4">
      <c r="C1705" s="45"/>
      <c r="D1705" t="str">
        <f t="shared" si="34"/>
        <v>_</v>
      </c>
    </row>
    <row r="1706" spans="3:4">
      <c r="C1706" s="45"/>
      <c r="D1706" t="str">
        <f t="shared" si="34"/>
        <v>_</v>
      </c>
    </row>
    <row r="1707" spans="3:4">
      <c r="C1707" s="45"/>
      <c r="D1707" t="str">
        <f t="shared" si="34"/>
        <v>_</v>
      </c>
    </row>
    <row r="1708" spans="3:4">
      <c r="C1708" s="45"/>
      <c r="D1708" t="str">
        <f t="shared" si="34"/>
        <v>_</v>
      </c>
    </row>
    <row r="1709" spans="3:4">
      <c r="C1709" s="45"/>
      <c r="D1709" t="str">
        <f t="shared" si="34"/>
        <v>_</v>
      </c>
    </row>
    <row r="1710" spans="3:4">
      <c r="C1710" s="45"/>
      <c r="D1710" t="str">
        <f t="shared" ref="D1710:D1773" si="35">_xlfn.CONCAT(A1710,"_",B1710)</f>
        <v>_</v>
      </c>
    </row>
    <row r="1711" spans="3:4">
      <c r="C1711" s="45"/>
      <c r="D1711" t="str">
        <f t="shared" si="35"/>
        <v>_</v>
      </c>
    </row>
    <row r="1712" spans="3:4">
      <c r="C1712" s="45"/>
      <c r="D1712" t="str">
        <f t="shared" si="35"/>
        <v>_</v>
      </c>
    </row>
    <row r="1713" spans="3:4">
      <c r="C1713" s="45"/>
      <c r="D1713" t="str">
        <f t="shared" si="35"/>
        <v>_</v>
      </c>
    </row>
    <row r="1714" spans="3:4">
      <c r="C1714" s="45"/>
      <c r="D1714" t="str">
        <f t="shared" si="35"/>
        <v>_</v>
      </c>
    </row>
    <row r="1715" spans="3:4">
      <c r="C1715" s="45"/>
      <c r="D1715" t="str">
        <f t="shared" si="35"/>
        <v>_</v>
      </c>
    </row>
    <row r="1716" spans="3:4">
      <c r="C1716" s="45"/>
      <c r="D1716" t="str">
        <f t="shared" si="35"/>
        <v>_</v>
      </c>
    </row>
    <row r="1717" spans="3:4">
      <c r="C1717" s="45"/>
      <c r="D1717" t="str">
        <f t="shared" si="35"/>
        <v>_</v>
      </c>
    </row>
    <row r="1718" spans="3:4">
      <c r="C1718" s="45"/>
      <c r="D1718" t="str">
        <f t="shared" si="35"/>
        <v>_</v>
      </c>
    </row>
    <row r="1719" spans="3:4">
      <c r="C1719" s="45"/>
      <c r="D1719" t="str">
        <f t="shared" si="35"/>
        <v>_</v>
      </c>
    </row>
    <row r="1720" spans="3:4">
      <c r="C1720" s="45"/>
      <c r="D1720" t="str">
        <f t="shared" si="35"/>
        <v>_</v>
      </c>
    </row>
    <row r="1721" spans="3:4">
      <c r="C1721" s="45"/>
      <c r="D1721" t="str">
        <f t="shared" si="35"/>
        <v>_</v>
      </c>
    </row>
    <row r="1722" spans="3:4">
      <c r="C1722" s="45"/>
      <c r="D1722" t="str">
        <f t="shared" si="35"/>
        <v>_</v>
      </c>
    </row>
    <row r="1723" spans="3:4">
      <c r="C1723" s="45"/>
      <c r="D1723" t="str">
        <f t="shared" si="35"/>
        <v>_</v>
      </c>
    </row>
    <row r="1724" spans="3:4">
      <c r="C1724" s="45"/>
      <c r="D1724" t="str">
        <f t="shared" si="35"/>
        <v>_</v>
      </c>
    </row>
    <row r="1725" spans="3:4">
      <c r="C1725" s="45"/>
      <c r="D1725" t="str">
        <f t="shared" si="35"/>
        <v>_</v>
      </c>
    </row>
    <row r="1726" spans="3:4">
      <c r="C1726" s="45"/>
      <c r="D1726" t="str">
        <f t="shared" si="35"/>
        <v>_</v>
      </c>
    </row>
    <row r="1727" spans="3:4">
      <c r="C1727" s="45"/>
      <c r="D1727" t="str">
        <f t="shared" si="35"/>
        <v>_</v>
      </c>
    </row>
    <row r="1728" spans="3:4">
      <c r="C1728" s="45"/>
      <c r="D1728" t="str">
        <f t="shared" si="35"/>
        <v>_</v>
      </c>
    </row>
    <row r="1729" spans="3:4">
      <c r="C1729" s="45"/>
      <c r="D1729" t="str">
        <f t="shared" si="35"/>
        <v>_</v>
      </c>
    </row>
    <row r="1730" spans="3:4">
      <c r="C1730" s="45"/>
      <c r="D1730" t="str">
        <f t="shared" si="35"/>
        <v>_</v>
      </c>
    </row>
    <row r="1731" spans="3:4">
      <c r="C1731" s="45"/>
      <c r="D1731" t="str">
        <f t="shared" si="35"/>
        <v>_</v>
      </c>
    </row>
    <row r="1732" spans="3:4">
      <c r="C1732" s="45"/>
      <c r="D1732" t="str">
        <f t="shared" si="35"/>
        <v>_</v>
      </c>
    </row>
    <row r="1733" spans="3:4">
      <c r="C1733" s="45"/>
      <c r="D1733" t="str">
        <f t="shared" si="35"/>
        <v>_</v>
      </c>
    </row>
    <row r="1734" spans="3:4">
      <c r="C1734" s="45"/>
      <c r="D1734" t="str">
        <f t="shared" si="35"/>
        <v>_</v>
      </c>
    </row>
    <row r="1735" spans="3:4">
      <c r="C1735" s="45"/>
      <c r="D1735" t="str">
        <f t="shared" si="35"/>
        <v>_</v>
      </c>
    </row>
    <row r="1736" spans="3:4">
      <c r="C1736" s="45"/>
      <c r="D1736" t="str">
        <f t="shared" si="35"/>
        <v>_</v>
      </c>
    </row>
    <row r="1737" spans="3:4">
      <c r="C1737" s="45"/>
      <c r="D1737" t="str">
        <f t="shared" si="35"/>
        <v>_</v>
      </c>
    </row>
    <row r="1738" spans="3:4">
      <c r="C1738" s="45"/>
      <c r="D1738" t="str">
        <f t="shared" si="35"/>
        <v>_</v>
      </c>
    </row>
    <row r="1739" spans="3:4">
      <c r="C1739" s="45"/>
      <c r="D1739" t="str">
        <f t="shared" si="35"/>
        <v>_</v>
      </c>
    </row>
    <row r="1740" spans="3:4">
      <c r="C1740" s="45"/>
      <c r="D1740" t="str">
        <f t="shared" si="35"/>
        <v>_</v>
      </c>
    </row>
    <row r="1741" spans="3:4">
      <c r="C1741" s="45"/>
      <c r="D1741" t="str">
        <f t="shared" si="35"/>
        <v>_</v>
      </c>
    </row>
    <row r="1742" spans="3:4">
      <c r="C1742" s="45"/>
      <c r="D1742" t="str">
        <f t="shared" si="35"/>
        <v>_</v>
      </c>
    </row>
    <row r="1743" spans="3:4">
      <c r="C1743" s="45"/>
      <c r="D1743" t="str">
        <f t="shared" si="35"/>
        <v>_</v>
      </c>
    </row>
    <row r="1744" spans="3:4">
      <c r="C1744" s="45"/>
      <c r="D1744" t="str">
        <f t="shared" si="35"/>
        <v>_</v>
      </c>
    </row>
    <row r="1745" spans="3:4">
      <c r="C1745" s="45"/>
      <c r="D1745" t="str">
        <f t="shared" si="35"/>
        <v>_</v>
      </c>
    </row>
    <row r="1746" spans="3:4">
      <c r="C1746" s="45"/>
      <c r="D1746" t="str">
        <f t="shared" si="35"/>
        <v>_</v>
      </c>
    </row>
    <row r="1747" spans="3:4">
      <c r="C1747" s="45"/>
      <c r="D1747" t="str">
        <f t="shared" si="35"/>
        <v>_</v>
      </c>
    </row>
    <row r="1748" spans="3:4">
      <c r="C1748" s="45"/>
      <c r="D1748" t="str">
        <f t="shared" si="35"/>
        <v>_</v>
      </c>
    </row>
    <row r="1749" spans="3:4">
      <c r="C1749" s="45"/>
      <c r="D1749" t="str">
        <f t="shared" si="35"/>
        <v>_</v>
      </c>
    </row>
    <row r="1750" spans="3:4">
      <c r="C1750" s="45"/>
      <c r="D1750" t="str">
        <f t="shared" si="35"/>
        <v>_</v>
      </c>
    </row>
    <row r="1751" spans="3:4">
      <c r="C1751" s="45"/>
      <c r="D1751" t="str">
        <f t="shared" si="35"/>
        <v>_</v>
      </c>
    </row>
    <row r="1752" spans="3:4">
      <c r="C1752" s="45"/>
      <c r="D1752" t="str">
        <f t="shared" si="35"/>
        <v>_</v>
      </c>
    </row>
    <row r="1753" spans="3:4">
      <c r="C1753" s="45"/>
      <c r="D1753" t="str">
        <f t="shared" si="35"/>
        <v>_</v>
      </c>
    </row>
    <row r="1754" spans="3:4">
      <c r="C1754" s="45"/>
      <c r="D1754" t="str">
        <f t="shared" si="35"/>
        <v>_</v>
      </c>
    </row>
    <row r="1755" spans="3:4">
      <c r="C1755" s="45"/>
      <c r="D1755" t="str">
        <f t="shared" si="35"/>
        <v>_</v>
      </c>
    </row>
    <row r="1756" spans="3:4">
      <c r="C1756" s="45"/>
      <c r="D1756" t="str">
        <f t="shared" si="35"/>
        <v>_</v>
      </c>
    </row>
    <row r="1757" spans="3:4">
      <c r="C1757" s="45"/>
      <c r="D1757" t="str">
        <f t="shared" si="35"/>
        <v>_</v>
      </c>
    </row>
    <row r="1758" spans="3:4">
      <c r="C1758" s="45"/>
      <c r="D1758" t="str">
        <f t="shared" si="35"/>
        <v>_</v>
      </c>
    </row>
    <row r="1759" spans="3:4">
      <c r="C1759" s="45"/>
      <c r="D1759" t="str">
        <f t="shared" si="35"/>
        <v>_</v>
      </c>
    </row>
    <row r="1760" spans="3:4">
      <c r="C1760" s="45"/>
      <c r="D1760" t="str">
        <f t="shared" si="35"/>
        <v>_</v>
      </c>
    </row>
    <row r="1761" spans="3:4">
      <c r="C1761" s="45"/>
      <c r="D1761" t="str">
        <f t="shared" si="35"/>
        <v>_</v>
      </c>
    </row>
    <row r="1762" spans="3:4">
      <c r="C1762" s="45"/>
      <c r="D1762" t="str">
        <f t="shared" si="35"/>
        <v>_</v>
      </c>
    </row>
    <row r="1763" spans="3:4">
      <c r="C1763" s="45"/>
      <c r="D1763" t="str">
        <f t="shared" si="35"/>
        <v>_</v>
      </c>
    </row>
    <row r="1764" spans="3:4">
      <c r="C1764" s="45"/>
      <c r="D1764" t="str">
        <f t="shared" si="35"/>
        <v>_</v>
      </c>
    </row>
    <row r="1765" spans="3:4">
      <c r="C1765" s="45"/>
      <c r="D1765" t="str">
        <f t="shared" si="35"/>
        <v>_</v>
      </c>
    </row>
    <row r="1766" spans="3:4">
      <c r="C1766" s="45"/>
      <c r="D1766" t="str">
        <f t="shared" si="35"/>
        <v>_</v>
      </c>
    </row>
    <row r="1767" spans="3:4">
      <c r="C1767" s="45"/>
      <c r="D1767" t="str">
        <f t="shared" si="35"/>
        <v>_</v>
      </c>
    </row>
    <row r="1768" spans="3:4">
      <c r="C1768" s="45"/>
      <c r="D1768" t="str">
        <f t="shared" si="35"/>
        <v>_</v>
      </c>
    </row>
    <row r="1769" spans="3:4">
      <c r="C1769" s="45"/>
      <c r="D1769" t="str">
        <f t="shared" si="35"/>
        <v>_</v>
      </c>
    </row>
    <row r="1770" spans="3:4">
      <c r="C1770" s="45"/>
      <c r="D1770" t="str">
        <f t="shared" si="35"/>
        <v>_</v>
      </c>
    </row>
    <row r="1771" spans="3:4">
      <c r="C1771" s="45"/>
      <c r="D1771" t="str">
        <f t="shared" si="35"/>
        <v>_</v>
      </c>
    </row>
    <row r="1772" spans="3:4">
      <c r="C1772" s="45"/>
      <c r="D1772" t="str">
        <f t="shared" si="35"/>
        <v>_</v>
      </c>
    </row>
    <row r="1773" spans="3:4">
      <c r="C1773" s="45"/>
      <c r="D1773" t="str">
        <f t="shared" si="35"/>
        <v>_</v>
      </c>
    </row>
    <row r="1774" spans="3:4">
      <c r="C1774" s="45"/>
      <c r="D1774" t="str">
        <f t="shared" ref="D1774:D1837" si="36">_xlfn.CONCAT(A1774,"_",B1774)</f>
        <v>_</v>
      </c>
    </row>
    <row r="1775" spans="3:4">
      <c r="C1775" s="45"/>
      <c r="D1775" t="str">
        <f t="shared" si="36"/>
        <v>_</v>
      </c>
    </row>
    <row r="1776" spans="3:4">
      <c r="C1776" s="45"/>
      <c r="D1776" t="str">
        <f t="shared" si="36"/>
        <v>_</v>
      </c>
    </row>
    <row r="1777" spans="3:4">
      <c r="C1777" s="45"/>
      <c r="D1777" t="str">
        <f t="shared" si="36"/>
        <v>_</v>
      </c>
    </row>
    <row r="1778" spans="3:4">
      <c r="C1778" s="45"/>
      <c r="D1778" t="str">
        <f t="shared" si="36"/>
        <v>_</v>
      </c>
    </row>
    <row r="1779" spans="3:4">
      <c r="C1779" s="45"/>
      <c r="D1779" t="str">
        <f t="shared" si="36"/>
        <v>_</v>
      </c>
    </row>
    <row r="1780" spans="3:4">
      <c r="C1780" s="45"/>
      <c r="D1780" t="str">
        <f t="shared" si="36"/>
        <v>_</v>
      </c>
    </row>
    <row r="1781" spans="3:4">
      <c r="C1781" s="45"/>
      <c r="D1781" t="str">
        <f t="shared" si="36"/>
        <v>_</v>
      </c>
    </row>
    <row r="1782" spans="3:4">
      <c r="C1782" s="45"/>
      <c r="D1782" t="str">
        <f t="shared" si="36"/>
        <v>_</v>
      </c>
    </row>
    <row r="1783" spans="3:4">
      <c r="C1783" s="45"/>
      <c r="D1783" t="str">
        <f t="shared" si="36"/>
        <v>_</v>
      </c>
    </row>
    <row r="1784" spans="3:4">
      <c r="C1784" s="45"/>
      <c r="D1784" t="str">
        <f t="shared" si="36"/>
        <v>_</v>
      </c>
    </row>
    <row r="1785" spans="3:4">
      <c r="C1785" s="45"/>
      <c r="D1785" t="str">
        <f t="shared" si="36"/>
        <v>_</v>
      </c>
    </row>
    <row r="1786" spans="3:4">
      <c r="C1786" s="45"/>
      <c r="D1786" t="str">
        <f t="shared" si="36"/>
        <v>_</v>
      </c>
    </row>
    <row r="1787" spans="3:4">
      <c r="C1787" s="45"/>
      <c r="D1787" t="str">
        <f t="shared" si="36"/>
        <v>_</v>
      </c>
    </row>
    <row r="1788" spans="3:4">
      <c r="C1788" s="45"/>
      <c r="D1788" t="str">
        <f t="shared" si="36"/>
        <v>_</v>
      </c>
    </row>
    <row r="1789" spans="3:4">
      <c r="C1789" s="45"/>
      <c r="D1789" t="str">
        <f t="shared" si="36"/>
        <v>_</v>
      </c>
    </row>
    <row r="1790" spans="3:4">
      <c r="C1790" s="45"/>
      <c r="D1790" t="str">
        <f t="shared" si="36"/>
        <v>_</v>
      </c>
    </row>
    <row r="1791" spans="3:4">
      <c r="C1791" s="45"/>
      <c r="D1791" t="str">
        <f t="shared" si="36"/>
        <v>_</v>
      </c>
    </row>
    <row r="1792" spans="3:4">
      <c r="C1792" s="45"/>
      <c r="D1792" t="str">
        <f t="shared" si="36"/>
        <v>_</v>
      </c>
    </row>
    <row r="1793" spans="3:4">
      <c r="C1793" s="45"/>
      <c r="D1793" t="str">
        <f t="shared" si="36"/>
        <v>_</v>
      </c>
    </row>
    <row r="1794" spans="3:4">
      <c r="C1794" s="45"/>
      <c r="D1794" t="str">
        <f t="shared" si="36"/>
        <v>_</v>
      </c>
    </row>
    <row r="1795" spans="3:4">
      <c r="C1795" s="45"/>
      <c r="D1795" t="str">
        <f t="shared" si="36"/>
        <v>_</v>
      </c>
    </row>
    <row r="1796" spans="3:4">
      <c r="C1796" s="45"/>
      <c r="D1796" t="str">
        <f t="shared" si="36"/>
        <v>_</v>
      </c>
    </row>
    <row r="1797" spans="3:4">
      <c r="C1797" s="45"/>
      <c r="D1797" t="str">
        <f t="shared" si="36"/>
        <v>_</v>
      </c>
    </row>
    <row r="1798" spans="3:4">
      <c r="C1798" s="45"/>
      <c r="D1798" t="str">
        <f t="shared" si="36"/>
        <v>_</v>
      </c>
    </row>
    <row r="1799" spans="3:4">
      <c r="C1799" s="45"/>
      <c r="D1799" t="str">
        <f t="shared" si="36"/>
        <v>_</v>
      </c>
    </row>
    <row r="1800" spans="3:4">
      <c r="C1800" s="45"/>
      <c r="D1800" t="str">
        <f t="shared" si="36"/>
        <v>_</v>
      </c>
    </row>
    <row r="1801" spans="3:4">
      <c r="C1801" s="45"/>
      <c r="D1801" t="str">
        <f t="shared" si="36"/>
        <v>_</v>
      </c>
    </row>
    <row r="1802" spans="3:4">
      <c r="C1802" s="45"/>
      <c r="D1802" t="str">
        <f t="shared" si="36"/>
        <v>_</v>
      </c>
    </row>
    <row r="1803" spans="3:4">
      <c r="C1803" s="45"/>
      <c r="D1803" t="str">
        <f t="shared" si="36"/>
        <v>_</v>
      </c>
    </row>
    <row r="1804" spans="3:4">
      <c r="C1804" s="45"/>
      <c r="D1804" t="str">
        <f t="shared" si="36"/>
        <v>_</v>
      </c>
    </row>
    <row r="1805" spans="3:4">
      <c r="C1805" s="45"/>
      <c r="D1805" t="str">
        <f t="shared" si="36"/>
        <v>_</v>
      </c>
    </row>
    <row r="1806" spans="3:4">
      <c r="C1806" s="45"/>
      <c r="D1806" t="str">
        <f t="shared" si="36"/>
        <v>_</v>
      </c>
    </row>
    <row r="1807" spans="3:4">
      <c r="C1807" s="45"/>
      <c r="D1807" t="str">
        <f t="shared" si="36"/>
        <v>_</v>
      </c>
    </row>
    <row r="1808" spans="3:4">
      <c r="C1808" s="45"/>
      <c r="D1808" t="str">
        <f t="shared" si="36"/>
        <v>_</v>
      </c>
    </row>
    <row r="1809" spans="3:4">
      <c r="C1809" s="45"/>
      <c r="D1809" t="str">
        <f t="shared" si="36"/>
        <v>_</v>
      </c>
    </row>
    <row r="1810" spans="3:4">
      <c r="C1810" s="45"/>
      <c r="D1810" t="str">
        <f t="shared" si="36"/>
        <v>_</v>
      </c>
    </row>
    <row r="1811" spans="3:4">
      <c r="C1811" s="45"/>
      <c r="D1811" t="str">
        <f t="shared" si="36"/>
        <v>_</v>
      </c>
    </row>
    <row r="1812" spans="3:4">
      <c r="C1812" s="45"/>
      <c r="D1812" t="str">
        <f t="shared" si="36"/>
        <v>_</v>
      </c>
    </row>
    <row r="1813" spans="3:4">
      <c r="C1813" s="45"/>
      <c r="D1813" t="str">
        <f t="shared" si="36"/>
        <v>_</v>
      </c>
    </row>
    <row r="1814" spans="3:4">
      <c r="C1814" s="45"/>
      <c r="D1814" t="str">
        <f t="shared" si="36"/>
        <v>_</v>
      </c>
    </row>
    <row r="1815" spans="3:4">
      <c r="C1815" s="45"/>
      <c r="D1815" t="str">
        <f t="shared" si="36"/>
        <v>_</v>
      </c>
    </row>
    <row r="1816" spans="3:4">
      <c r="C1816" s="45"/>
      <c r="D1816" t="str">
        <f t="shared" si="36"/>
        <v>_</v>
      </c>
    </row>
    <row r="1817" spans="3:4">
      <c r="C1817" s="45"/>
      <c r="D1817" t="str">
        <f t="shared" si="36"/>
        <v>_</v>
      </c>
    </row>
    <row r="1818" spans="3:4">
      <c r="C1818" s="45"/>
      <c r="D1818" t="str">
        <f t="shared" si="36"/>
        <v>_</v>
      </c>
    </row>
    <row r="1819" spans="3:4">
      <c r="C1819" s="45"/>
      <c r="D1819" t="str">
        <f t="shared" si="36"/>
        <v>_</v>
      </c>
    </row>
    <row r="1820" spans="3:4">
      <c r="C1820" s="45"/>
      <c r="D1820" t="str">
        <f t="shared" si="36"/>
        <v>_</v>
      </c>
    </row>
    <row r="1821" spans="3:4">
      <c r="C1821" s="45"/>
      <c r="D1821" t="str">
        <f t="shared" si="36"/>
        <v>_</v>
      </c>
    </row>
    <row r="1822" spans="3:4">
      <c r="C1822" s="45"/>
      <c r="D1822" t="str">
        <f t="shared" si="36"/>
        <v>_</v>
      </c>
    </row>
    <row r="1823" spans="3:4">
      <c r="C1823" s="45"/>
      <c r="D1823" t="str">
        <f t="shared" si="36"/>
        <v>_</v>
      </c>
    </row>
    <row r="1824" spans="3:4">
      <c r="C1824" s="45"/>
      <c r="D1824" t="str">
        <f t="shared" si="36"/>
        <v>_</v>
      </c>
    </row>
    <row r="1825" spans="3:4">
      <c r="C1825" s="45"/>
      <c r="D1825" t="str">
        <f t="shared" si="36"/>
        <v>_</v>
      </c>
    </row>
    <row r="1826" spans="3:4">
      <c r="C1826" s="45"/>
      <c r="D1826" t="str">
        <f t="shared" si="36"/>
        <v>_</v>
      </c>
    </row>
    <row r="1827" spans="3:4">
      <c r="C1827" s="45"/>
      <c r="D1827" t="str">
        <f t="shared" si="36"/>
        <v>_</v>
      </c>
    </row>
    <row r="1828" spans="3:4">
      <c r="C1828" s="45"/>
      <c r="D1828" t="str">
        <f t="shared" si="36"/>
        <v>_</v>
      </c>
    </row>
    <row r="1829" spans="3:4">
      <c r="C1829" s="45"/>
      <c r="D1829" t="str">
        <f t="shared" si="36"/>
        <v>_</v>
      </c>
    </row>
    <row r="1830" spans="3:4">
      <c r="C1830" s="45"/>
      <c r="D1830" t="str">
        <f t="shared" si="36"/>
        <v>_</v>
      </c>
    </row>
    <row r="1831" spans="3:4">
      <c r="C1831" s="45"/>
      <c r="D1831" t="str">
        <f t="shared" si="36"/>
        <v>_</v>
      </c>
    </row>
    <row r="1832" spans="3:4">
      <c r="C1832" s="45"/>
      <c r="D1832" t="str">
        <f t="shared" si="36"/>
        <v>_</v>
      </c>
    </row>
    <row r="1833" spans="3:4">
      <c r="C1833" s="45"/>
      <c r="D1833" t="str">
        <f t="shared" si="36"/>
        <v>_</v>
      </c>
    </row>
    <row r="1834" spans="3:4">
      <c r="C1834" s="45"/>
      <c r="D1834" t="str">
        <f t="shared" si="36"/>
        <v>_</v>
      </c>
    </row>
    <row r="1835" spans="3:4">
      <c r="C1835" s="45"/>
      <c r="D1835" t="str">
        <f t="shared" si="36"/>
        <v>_</v>
      </c>
    </row>
    <row r="1836" spans="3:4">
      <c r="C1836" s="45"/>
      <c r="D1836" t="str">
        <f t="shared" si="36"/>
        <v>_</v>
      </c>
    </row>
    <row r="1837" spans="3:4">
      <c r="C1837" s="45"/>
      <c r="D1837" t="str">
        <f t="shared" si="36"/>
        <v>_</v>
      </c>
    </row>
    <row r="1838" spans="3:4">
      <c r="C1838" s="45"/>
      <c r="D1838" t="str">
        <f t="shared" ref="D1838:D1901" si="37">_xlfn.CONCAT(A1838,"_",B1838)</f>
        <v>_</v>
      </c>
    </row>
    <row r="1839" spans="3:4">
      <c r="C1839" s="45"/>
      <c r="D1839" t="str">
        <f t="shared" si="37"/>
        <v>_</v>
      </c>
    </row>
    <row r="1840" spans="3:4">
      <c r="C1840" s="45"/>
      <c r="D1840" t="str">
        <f t="shared" si="37"/>
        <v>_</v>
      </c>
    </row>
    <row r="1841" spans="3:4">
      <c r="C1841" s="45"/>
      <c r="D1841" t="str">
        <f t="shared" si="37"/>
        <v>_</v>
      </c>
    </row>
    <row r="1842" spans="3:4">
      <c r="C1842" s="45"/>
      <c r="D1842" t="str">
        <f t="shared" si="37"/>
        <v>_</v>
      </c>
    </row>
    <row r="1843" spans="3:4">
      <c r="C1843" s="45"/>
      <c r="D1843" t="str">
        <f t="shared" si="37"/>
        <v>_</v>
      </c>
    </row>
    <row r="1844" spans="3:4">
      <c r="C1844" s="45"/>
      <c r="D1844" t="str">
        <f t="shared" si="37"/>
        <v>_</v>
      </c>
    </row>
    <row r="1845" spans="3:4">
      <c r="C1845" s="45"/>
      <c r="D1845" t="str">
        <f t="shared" si="37"/>
        <v>_</v>
      </c>
    </row>
    <row r="1846" spans="3:4">
      <c r="C1846" s="45"/>
      <c r="D1846" t="str">
        <f t="shared" si="37"/>
        <v>_</v>
      </c>
    </row>
    <row r="1847" spans="3:4">
      <c r="C1847" s="45"/>
      <c r="D1847" t="str">
        <f t="shared" si="37"/>
        <v>_</v>
      </c>
    </row>
    <row r="1848" spans="3:4">
      <c r="C1848" s="45"/>
      <c r="D1848" t="str">
        <f t="shared" si="37"/>
        <v>_</v>
      </c>
    </row>
    <row r="1849" spans="3:4">
      <c r="C1849" s="45"/>
      <c r="D1849" t="str">
        <f t="shared" si="37"/>
        <v>_</v>
      </c>
    </row>
    <row r="1850" spans="3:4">
      <c r="C1850" s="45"/>
      <c r="D1850" t="str">
        <f t="shared" si="37"/>
        <v>_</v>
      </c>
    </row>
    <row r="1851" spans="3:4">
      <c r="C1851" s="45"/>
      <c r="D1851" t="str">
        <f t="shared" si="37"/>
        <v>_</v>
      </c>
    </row>
    <row r="1852" spans="3:4">
      <c r="C1852" s="45"/>
      <c r="D1852" t="str">
        <f t="shared" si="37"/>
        <v>_</v>
      </c>
    </row>
    <row r="1853" spans="3:4">
      <c r="C1853" s="45"/>
      <c r="D1853" t="str">
        <f t="shared" si="37"/>
        <v>_</v>
      </c>
    </row>
    <row r="1854" spans="3:4">
      <c r="C1854" s="45"/>
      <c r="D1854" t="str">
        <f t="shared" si="37"/>
        <v>_</v>
      </c>
    </row>
    <row r="1855" spans="3:4">
      <c r="C1855" s="45"/>
      <c r="D1855" t="str">
        <f t="shared" si="37"/>
        <v>_</v>
      </c>
    </row>
    <row r="1856" spans="3:4">
      <c r="C1856" s="45"/>
      <c r="D1856" t="str">
        <f t="shared" si="37"/>
        <v>_</v>
      </c>
    </row>
    <row r="1857" spans="3:4">
      <c r="C1857" s="45"/>
      <c r="D1857" t="str">
        <f t="shared" si="37"/>
        <v>_</v>
      </c>
    </row>
    <row r="1858" spans="3:4">
      <c r="C1858" s="45"/>
      <c r="D1858" t="str">
        <f t="shared" si="37"/>
        <v>_</v>
      </c>
    </row>
    <row r="1859" spans="3:4">
      <c r="C1859" s="45"/>
      <c r="D1859" t="str">
        <f t="shared" si="37"/>
        <v>_</v>
      </c>
    </row>
    <row r="1860" spans="3:4">
      <c r="C1860" s="45"/>
      <c r="D1860" t="str">
        <f t="shared" si="37"/>
        <v>_</v>
      </c>
    </row>
    <row r="1861" spans="3:4">
      <c r="C1861" s="45"/>
      <c r="D1861" t="str">
        <f t="shared" si="37"/>
        <v>_</v>
      </c>
    </row>
    <row r="1862" spans="3:4">
      <c r="C1862" s="45"/>
      <c r="D1862" t="str">
        <f t="shared" si="37"/>
        <v>_</v>
      </c>
    </row>
    <row r="1863" spans="3:4">
      <c r="C1863" s="45"/>
      <c r="D1863" t="str">
        <f t="shared" si="37"/>
        <v>_</v>
      </c>
    </row>
    <row r="1864" spans="3:4">
      <c r="C1864" s="45"/>
      <c r="D1864" t="str">
        <f t="shared" si="37"/>
        <v>_</v>
      </c>
    </row>
    <row r="1865" spans="3:4">
      <c r="C1865" s="45"/>
      <c r="D1865" t="str">
        <f t="shared" si="37"/>
        <v>_</v>
      </c>
    </row>
    <row r="1866" spans="3:4">
      <c r="C1866" s="45"/>
      <c r="D1866" t="str">
        <f t="shared" si="37"/>
        <v>_</v>
      </c>
    </row>
    <row r="1867" spans="3:4">
      <c r="C1867" s="45"/>
      <c r="D1867" t="str">
        <f t="shared" si="37"/>
        <v>_</v>
      </c>
    </row>
    <row r="1868" spans="3:4">
      <c r="C1868" s="45"/>
      <c r="D1868" t="str">
        <f t="shared" si="37"/>
        <v>_</v>
      </c>
    </row>
    <row r="1869" spans="3:4">
      <c r="C1869" s="45"/>
      <c r="D1869" t="str">
        <f t="shared" si="37"/>
        <v>_</v>
      </c>
    </row>
    <row r="1870" spans="3:4">
      <c r="C1870" s="45"/>
      <c r="D1870" t="str">
        <f t="shared" si="37"/>
        <v>_</v>
      </c>
    </row>
    <row r="1871" spans="3:4">
      <c r="C1871" s="45"/>
      <c r="D1871" t="str">
        <f t="shared" si="37"/>
        <v>_</v>
      </c>
    </row>
    <row r="1872" spans="3:4">
      <c r="C1872" s="45"/>
      <c r="D1872" t="str">
        <f t="shared" si="37"/>
        <v>_</v>
      </c>
    </row>
    <row r="1873" spans="3:4">
      <c r="C1873" s="45"/>
      <c r="D1873" t="str">
        <f t="shared" si="37"/>
        <v>_</v>
      </c>
    </row>
    <row r="1874" spans="3:4">
      <c r="C1874" s="45"/>
      <c r="D1874" t="str">
        <f t="shared" si="37"/>
        <v>_</v>
      </c>
    </row>
    <row r="1875" spans="3:4">
      <c r="C1875" s="45"/>
      <c r="D1875" t="str">
        <f t="shared" si="37"/>
        <v>_</v>
      </c>
    </row>
    <row r="1876" spans="3:4">
      <c r="C1876" s="45"/>
      <c r="D1876" t="str">
        <f t="shared" si="37"/>
        <v>_</v>
      </c>
    </row>
    <row r="1877" spans="3:4">
      <c r="C1877" s="45"/>
      <c r="D1877" t="str">
        <f t="shared" si="37"/>
        <v>_</v>
      </c>
    </row>
    <row r="1878" spans="3:4">
      <c r="C1878" s="45"/>
      <c r="D1878" t="str">
        <f t="shared" si="37"/>
        <v>_</v>
      </c>
    </row>
    <row r="1879" spans="3:4">
      <c r="C1879" s="45"/>
      <c r="D1879" t="str">
        <f t="shared" si="37"/>
        <v>_</v>
      </c>
    </row>
    <row r="1880" spans="3:4">
      <c r="C1880" s="45"/>
      <c r="D1880" t="str">
        <f t="shared" si="37"/>
        <v>_</v>
      </c>
    </row>
    <row r="1881" spans="3:4">
      <c r="C1881" s="45"/>
      <c r="D1881" t="str">
        <f t="shared" si="37"/>
        <v>_</v>
      </c>
    </row>
    <row r="1882" spans="3:4">
      <c r="C1882" s="45"/>
      <c r="D1882" t="str">
        <f t="shared" si="37"/>
        <v>_</v>
      </c>
    </row>
    <row r="1883" spans="3:4">
      <c r="C1883" s="45"/>
      <c r="D1883" t="str">
        <f t="shared" si="37"/>
        <v>_</v>
      </c>
    </row>
    <row r="1884" spans="3:4">
      <c r="C1884" s="45"/>
      <c r="D1884" t="str">
        <f t="shared" si="37"/>
        <v>_</v>
      </c>
    </row>
    <row r="1885" spans="3:4">
      <c r="C1885" s="45"/>
      <c r="D1885" t="str">
        <f t="shared" si="37"/>
        <v>_</v>
      </c>
    </row>
    <row r="1886" spans="3:4">
      <c r="C1886" s="45"/>
      <c r="D1886" t="str">
        <f t="shared" si="37"/>
        <v>_</v>
      </c>
    </row>
    <row r="1887" spans="3:4">
      <c r="C1887" s="45"/>
      <c r="D1887" t="str">
        <f t="shared" si="37"/>
        <v>_</v>
      </c>
    </row>
    <row r="1888" spans="3:4">
      <c r="C1888" s="45"/>
      <c r="D1888" t="str">
        <f t="shared" si="37"/>
        <v>_</v>
      </c>
    </row>
    <row r="1889" spans="3:4">
      <c r="C1889" s="45"/>
      <c r="D1889" t="str">
        <f t="shared" si="37"/>
        <v>_</v>
      </c>
    </row>
    <row r="1890" spans="3:4">
      <c r="C1890" s="45"/>
      <c r="D1890" t="str">
        <f t="shared" si="37"/>
        <v>_</v>
      </c>
    </row>
    <row r="1891" spans="3:4">
      <c r="C1891" s="45"/>
      <c r="D1891" t="str">
        <f t="shared" si="37"/>
        <v>_</v>
      </c>
    </row>
    <row r="1892" spans="3:4">
      <c r="C1892" s="45"/>
      <c r="D1892" t="str">
        <f t="shared" si="37"/>
        <v>_</v>
      </c>
    </row>
    <row r="1893" spans="3:4">
      <c r="C1893" s="45"/>
      <c r="D1893" t="str">
        <f t="shared" si="37"/>
        <v>_</v>
      </c>
    </row>
    <row r="1894" spans="3:4">
      <c r="C1894" s="45"/>
      <c r="D1894" t="str">
        <f t="shared" si="37"/>
        <v>_</v>
      </c>
    </row>
    <row r="1895" spans="3:4">
      <c r="C1895" s="45"/>
      <c r="D1895" t="str">
        <f t="shared" si="37"/>
        <v>_</v>
      </c>
    </row>
    <row r="1896" spans="3:4">
      <c r="C1896" s="45"/>
      <c r="D1896" t="str">
        <f t="shared" si="37"/>
        <v>_</v>
      </c>
    </row>
    <row r="1897" spans="3:4">
      <c r="C1897" s="45"/>
      <c r="D1897" t="str">
        <f t="shared" si="37"/>
        <v>_</v>
      </c>
    </row>
    <row r="1898" spans="3:4">
      <c r="C1898" s="45"/>
      <c r="D1898" t="str">
        <f t="shared" si="37"/>
        <v>_</v>
      </c>
    </row>
    <row r="1899" spans="3:4">
      <c r="C1899" s="45"/>
      <c r="D1899" t="str">
        <f t="shared" si="37"/>
        <v>_</v>
      </c>
    </row>
    <row r="1900" spans="3:4">
      <c r="C1900" s="45"/>
      <c r="D1900" t="str">
        <f t="shared" si="37"/>
        <v>_</v>
      </c>
    </row>
    <row r="1901" spans="3:4">
      <c r="C1901" s="45"/>
      <c r="D1901" t="str">
        <f t="shared" si="37"/>
        <v>_</v>
      </c>
    </row>
    <row r="1902" spans="3:4">
      <c r="C1902" s="45"/>
      <c r="D1902" t="str">
        <f t="shared" ref="D1902:D1965" si="38">_xlfn.CONCAT(A1902,"_",B1902)</f>
        <v>_</v>
      </c>
    </row>
    <row r="1903" spans="3:4">
      <c r="C1903" s="45"/>
      <c r="D1903" t="str">
        <f t="shared" si="38"/>
        <v>_</v>
      </c>
    </row>
    <row r="1904" spans="3:4">
      <c r="C1904" s="45"/>
      <c r="D1904" t="str">
        <f t="shared" si="38"/>
        <v>_</v>
      </c>
    </row>
    <row r="1905" spans="3:4">
      <c r="C1905" s="45"/>
      <c r="D1905" t="str">
        <f t="shared" si="38"/>
        <v>_</v>
      </c>
    </row>
    <row r="1906" spans="3:4">
      <c r="C1906" s="45"/>
      <c r="D1906" t="str">
        <f t="shared" si="38"/>
        <v>_</v>
      </c>
    </row>
    <row r="1907" spans="3:4">
      <c r="C1907" s="45"/>
      <c r="D1907" t="str">
        <f t="shared" si="38"/>
        <v>_</v>
      </c>
    </row>
    <row r="1908" spans="3:4">
      <c r="C1908" s="45"/>
      <c r="D1908" t="str">
        <f t="shared" si="38"/>
        <v>_</v>
      </c>
    </row>
    <row r="1909" spans="3:4">
      <c r="C1909" s="45"/>
      <c r="D1909" t="str">
        <f t="shared" si="38"/>
        <v>_</v>
      </c>
    </row>
    <row r="1910" spans="3:4">
      <c r="C1910" s="45"/>
      <c r="D1910" t="str">
        <f t="shared" si="38"/>
        <v>_</v>
      </c>
    </row>
    <row r="1911" spans="3:4">
      <c r="C1911" s="45"/>
      <c r="D1911" t="str">
        <f t="shared" si="38"/>
        <v>_</v>
      </c>
    </row>
    <row r="1912" spans="3:4">
      <c r="C1912" s="45"/>
      <c r="D1912" t="str">
        <f t="shared" si="38"/>
        <v>_</v>
      </c>
    </row>
    <row r="1913" spans="3:4">
      <c r="C1913" s="45"/>
      <c r="D1913" t="str">
        <f t="shared" si="38"/>
        <v>_</v>
      </c>
    </row>
    <row r="1914" spans="3:4">
      <c r="C1914" s="45"/>
      <c r="D1914" t="str">
        <f t="shared" si="38"/>
        <v>_</v>
      </c>
    </row>
    <row r="1915" spans="3:4">
      <c r="C1915" s="45"/>
      <c r="D1915" t="str">
        <f t="shared" si="38"/>
        <v>_</v>
      </c>
    </row>
    <row r="1916" spans="3:4">
      <c r="C1916" s="45"/>
      <c r="D1916" t="str">
        <f t="shared" si="38"/>
        <v>_</v>
      </c>
    </row>
    <row r="1917" spans="3:4">
      <c r="C1917" s="45"/>
      <c r="D1917" t="str">
        <f t="shared" si="38"/>
        <v>_</v>
      </c>
    </row>
    <row r="1918" spans="3:4">
      <c r="C1918" s="45"/>
      <c r="D1918" t="str">
        <f t="shared" si="38"/>
        <v>_</v>
      </c>
    </row>
    <row r="1919" spans="3:4">
      <c r="C1919" s="45"/>
      <c r="D1919" t="str">
        <f t="shared" si="38"/>
        <v>_</v>
      </c>
    </row>
    <row r="1920" spans="3:4">
      <c r="C1920" s="45"/>
      <c r="D1920" t="str">
        <f t="shared" si="38"/>
        <v>_</v>
      </c>
    </row>
    <row r="1921" spans="3:4">
      <c r="C1921" s="45"/>
      <c r="D1921" t="str">
        <f t="shared" si="38"/>
        <v>_</v>
      </c>
    </row>
    <row r="1922" spans="3:4">
      <c r="C1922" s="45"/>
      <c r="D1922" t="str">
        <f t="shared" si="38"/>
        <v>_</v>
      </c>
    </row>
    <row r="1923" spans="3:4">
      <c r="C1923" s="45"/>
      <c r="D1923" t="str">
        <f t="shared" si="38"/>
        <v>_</v>
      </c>
    </row>
    <row r="1924" spans="3:4">
      <c r="C1924" s="45"/>
      <c r="D1924" t="str">
        <f t="shared" si="38"/>
        <v>_</v>
      </c>
    </row>
    <row r="1925" spans="3:4">
      <c r="C1925" s="45"/>
      <c r="D1925" t="str">
        <f t="shared" si="38"/>
        <v>_</v>
      </c>
    </row>
    <row r="1926" spans="3:4">
      <c r="C1926" s="45"/>
      <c r="D1926" t="str">
        <f t="shared" si="38"/>
        <v>_</v>
      </c>
    </row>
    <row r="1927" spans="3:4">
      <c r="C1927" s="45"/>
      <c r="D1927" t="str">
        <f t="shared" si="38"/>
        <v>_</v>
      </c>
    </row>
    <row r="1928" spans="3:4">
      <c r="C1928" s="45"/>
      <c r="D1928" t="str">
        <f t="shared" si="38"/>
        <v>_</v>
      </c>
    </row>
    <row r="1929" spans="3:4">
      <c r="C1929" s="45"/>
      <c r="D1929" t="str">
        <f t="shared" si="38"/>
        <v>_</v>
      </c>
    </row>
    <row r="1930" spans="3:4">
      <c r="C1930" s="45"/>
      <c r="D1930" t="str">
        <f t="shared" si="38"/>
        <v>_</v>
      </c>
    </row>
    <row r="1931" spans="3:4">
      <c r="C1931" s="45"/>
      <c r="D1931" t="str">
        <f t="shared" si="38"/>
        <v>_</v>
      </c>
    </row>
    <row r="1932" spans="3:4">
      <c r="C1932" s="45"/>
      <c r="D1932" t="str">
        <f t="shared" si="38"/>
        <v>_</v>
      </c>
    </row>
    <row r="1933" spans="3:4">
      <c r="C1933" s="45"/>
      <c r="D1933" t="str">
        <f t="shared" si="38"/>
        <v>_</v>
      </c>
    </row>
    <row r="1934" spans="3:4">
      <c r="C1934" s="45"/>
      <c r="D1934" t="str">
        <f t="shared" si="38"/>
        <v>_</v>
      </c>
    </row>
    <row r="1935" spans="3:4">
      <c r="C1935" s="45"/>
      <c r="D1935" t="str">
        <f t="shared" si="38"/>
        <v>_</v>
      </c>
    </row>
    <row r="1936" spans="3:4">
      <c r="C1936" s="45"/>
      <c r="D1936" t="str">
        <f t="shared" si="38"/>
        <v>_</v>
      </c>
    </row>
    <row r="1937" spans="3:4">
      <c r="C1937" s="45"/>
      <c r="D1937" t="str">
        <f t="shared" si="38"/>
        <v>_</v>
      </c>
    </row>
    <row r="1938" spans="3:4">
      <c r="C1938" s="45"/>
      <c r="D1938" t="str">
        <f t="shared" si="38"/>
        <v>_</v>
      </c>
    </row>
    <row r="1939" spans="3:4">
      <c r="C1939" s="45"/>
      <c r="D1939" t="str">
        <f t="shared" si="38"/>
        <v>_</v>
      </c>
    </row>
    <row r="1940" spans="3:4">
      <c r="C1940" s="45"/>
      <c r="D1940" t="str">
        <f t="shared" si="38"/>
        <v>_</v>
      </c>
    </row>
    <row r="1941" spans="3:4">
      <c r="C1941" s="45"/>
      <c r="D1941" t="str">
        <f t="shared" si="38"/>
        <v>_</v>
      </c>
    </row>
    <row r="1942" spans="3:4">
      <c r="C1942" s="45"/>
      <c r="D1942" t="str">
        <f t="shared" si="38"/>
        <v>_</v>
      </c>
    </row>
    <row r="1943" spans="3:4">
      <c r="C1943" s="45"/>
      <c r="D1943" t="str">
        <f t="shared" si="38"/>
        <v>_</v>
      </c>
    </row>
    <row r="1944" spans="3:4">
      <c r="C1944" s="45"/>
      <c r="D1944" t="str">
        <f t="shared" si="38"/>
        <v>_</v>
      </c>
    </row>
    <row r="1945" spans="3:4">
      <c r="C1945" s="45"/>
      <c r="D1945" t="str">
        <f t="shared" si="38"/>
        <v>_</v>
      </c>
    </row>
    <row r="1946" spans="3:4">
      <c r="C1946" s="45"/>
      <c r="D1946" t="str">
        <f t="shared" si="38"/>
        <v>_</v>
      </c>
    </row>
    <row r="1947" spans="3:4">
      <c r="C1947" s="45"/>
      <c r="D1947" t="str">
        <f t="shared" si="38"/>
        <v>_</v>
      </c>
    </row>
    <row r="1948" spans="3:4">
      <c r="C1948" s="45"/>
      <c r="D1948" t="str">
        <f t="shared" si="38"/>
        <v>_</v>
      </c>
    </row>
    <row r="1949" spans="3:4">
      <c r="C1949" s="45"/>
      <c r="D1949" t="str">
        <f t="shared" si="38"/>
        <v>_</v>
      </c>
    </row>
    <row r="1950" spans="3:4">
      <c r="C1950" s="45"/>
      <c r="D1950" t="str">
        <f t="shared" si="38"/>
        <v>_</v>
      </c>
    </row>
    <row r="1951" spans="3:4">
      <c r="C1951" s="45"/>
      <c r="D1951" t="str">
        <f t="shared" si="38"/>
        <v>_</v>
      </c>
    </row>
    <row r="1952" spans="3:4">
      <c r="C1952" s="45"/>
      <c r="D1952" t="str">
        <f t="shared" si="38"/>
        <v>_</v>
      </c>
    </row>
    <row r="1953" spans="3:4">
      <c r="C1953" s="45"/>
      <c r="D1953" t="str">
        <f t="shared" si="38"/>
        <v>_</v>
      </c>
    </row>
    <row r="1954" spans="3:4">
      <c r="C1954" s="45"/>
      <c r="D1954" t="str">
        <f t="shared" si="38"/>
        <v>_</v>
      </c>
    </row>
    <row r="1955" spans="3:4">
      <c r="C1955" s="45"/>
      <c r="D1955" t="str">
        <f t="shared" si="38"/>
        <v>_</v>
      </c>
    </row>
    <row r="1956" spans="3:4">
      <c r="C1956" s="45"/>
      <c r="D1956" t="str">
        <f t="shared" si="38"/>
        <v>_</v>
      </c>
    </row>
    <row r="1957" spans="3:4">
      <c r="C1957" s="45"/>
      <c r="D1957" t="str">
        <f t="shared" si="38"/>
        <v>_</v>
      </c>
    </row>
    <row r="1958" spans="3:4">
      <c r="C1958" s="45"/>
      <c r="D1958" t="str">
        <f t="shared" si="38"/>
        <v>_</v>
      </c>
    </row>
    <row r="1959" spans="3:4">
      <c r="C1959" s="45"/>
      <c r="D1959" t="str">
        <f t="shared" si="38"/>
        <v>_</v>
      </c>
    </row>
    <row r="1960" spans="3:4">
      <c r="C1960" s="45"/>
      <c r="D1960" t="str">
        <f t="shared" si="38"/>
        <v>_</v>
      </c>
    </row>
    <row r="1961" spans="3:4">
      <c r="C1961" s="45"/>
      <c r="D1961" t="str">
        <f t="shared" si="38"/>
        <v>_</v>
      </c>
    </row>
    <row r="1962" spans="3:4">
      <c r="C1962" s="45"/>
      <c r="D1962" t="str">
        <f t="shared" si="38"/>
        <v>_</v>
      </c>
    </row>
    <row r="1963" spans="3:4">
      <c r="C1963" s="45"/>
      <c r="D1963" t="str">
        <f t="shared" si="38"/>
        <v>_</v>
      </c>
    </row>
    <row r="1964" spans="3:4">
      <c r="C1964" s="45"/>
      <c r="D1964" t="str">
        <f t="shared" si="38"/>
        <v>_</v>
      </c>
    </row>
    <row r="1965" spans="3:4">
      <c r="C1965" s="45"/>
      <c r="D1965" t="str">
        <f t="shared" si="38"/>
        <v>_</v>
      </c>
    </row>
    <row r="1966" spans="3:4">
      <c r="C1966" s="45"/>
      <c r="D1966" t="str">
        <f t="shared" ref="D1966:D2029" si="39">_xlfn.CONCAT(A1966,"_",B1966)</f>
        <v>_</v>
      </c>
    </row>
    <row r="1967" spans="3:4">
      <c r="C1967" s="45"/>
      <c r="D1967" t="str">
        <f t="shared" si="39"/>
        <v>_</v>
      </c>
    </row>
    <row r="1968" spans="3:4">
      <c r="C1968" s="45"/>
      <c r="D1968" t="str">
        <f t="shared" si="39"/>
        <v>_</v>
      </c>
    </row>
    <row r="1969" spans="3:4">
      <c r="C1969" s="45"/>
      <c r="D1969" t="str">
        <f t="shared" si="39"/>
        <v>_</v>
      </c>
    </row>
    <row r="1970" spans="3:4">
      <c r="C1970" s="45"/>
      <c r="D1970" t="str">
        <f t="shared" si="39"/>
        <v>_</v>
      </c>
    </row>
    <row r="1971" spans="3:4">
      <c r="C1971" s="45"/>
      <c r="D1971" t="str">
        <f t="shared" si="39"/>
        <v>_</v>
      </c>
    </row>
    <row r="1972" spans="3:4">
      <c r="C1972" s="45"/>
      <c r="D1972" t="str">
        <f t="shared" si="39"/>
        <v>_</v>
      </c>
    </row>
    <row r="1973" spans="3:4">
      <c r="C1973" s="45"/>
      <c r="D1973" t="str">
        <f t="shared" si="39"/>
        <v>_</v>
      </c>
    </row>
    <row r="1974" spans="3:4">
      <c r="C1974" s="45"/>
      <c r="D1974" t="str">
        <f t="shared" si="39"/>
        <v>_</v>
      </c>
    </row>
    <row r="1975" spans="3:4">
      <c r="C1975" s="45"/>
      <c r="D1975" t="str">
        <f t="shared" si="39"/>
        <v>_</v>
      </c>
    </row>
    <row r="1976" spans="3:4">
      <c r="C1976" s="45"/>
      <c r="D1976" t="str">
        <f t="shared" si="39"/>
        <v>_</v>
      </c>
    </row>
    <row r="1977" spans="3:4">
      <c r="C1977" s="45"/>
      <c r="D1977" t="str">
        <f t="shared" si="39"/>
        <v>_</v>
      </c>
    </row>
    <row r="1978" spans="3:4">
      <c r="C1978" s="45"/>
      <c r="D1978" t="str">
        <f t="shared" si="39"/>
        <v>_</v>
      </c>
    </row>
    <row r="1979" spans="3:4">
      <c r="C1979" s="45"/>
      <c r="D1979" t="str">
        <f t="shared" si="39"/>
        <v>_</v>
      </c>
    </row>
    <row r="1980" spans="3:4">
      <c r="C1980" s="45"/>
      <c r="D1980" t="str">
        <f t="shared" si="39"/>
        <v>_</v>
      </c>
    </row>
    <row r="1981" spans="3:4">
      <c r="C1981" s="45"/>
      <c r="D1981" t="str">
        <f t="shared" si="39"/>
        <v>_</v>
      </c>
    </row>
    <row r="1982" spans="3:4">
      <c r="C1982" s="45"/>
      <c r="D1982" t="str">
        <f t="shared" si="39"/>
        <v>_</v>
      </c>
    </row>
    <row r="1983" spans="3:4">
      <c r="C1983" s="45"/>
      <c r="D1983" t="str">
        <f t="shared" si="39"/>
        <v>_</v>
      </c>
    </row>
    <row r="1984" spans="3:4">
      <c r="C1984" s="45"/>
      <c r="D1984" t="str">
        <f t="shared" si="39"/>
        <v>_</v>
      </c>
    </row>
    <row r="1985" spans="3:4">
      <c r="C1985" s="45"/>
      <c r="D1985" t="str">
        <f t="shared" si="39"/>
        <v>_</v>
      </c>
    </row>
    <row r="1986" spans="3:4">
      <c r="C1986" s="45"/>
      <c r="D1986" t="str">
        <f t="shared" si="39"/>
        <v>_</v>
      </c>
    </row>
    <row r="1987" spans="3:4">
      <c r="C1987" s="45"/>
      <c r="D1987" t="str">
        <f t="shared" si="39"/>
        <v>_</v>
      </c>
    </row>
    <row r="1988" spans="3:4">
      <c r="C1988" s="45"/>
      <c r="D1988" t="str">
        <f t="shared" si="39"/>
        <v>_</v>
      </c>
    </row>
    <row r="1989" spans="3:4">
      <c r="C1989" s="45"/>
      <c r="D1989" t="str">
        <f t="shared" si="39"/>
        <v>_</v>
      </c>
    </row>
    <row r="1990" spans="3:4">
      <c r="C1990" s="45"/>
      <c r="D1990" t="str">
        <f t="shared" si="39"/>
        <v>_</v>
      </c>
    </row>
    <row r="1991" spans="3:4">
      <c r="C1991" s="45"/>
      <c r="D1991" t="str">
        <f t="shared" si="39"/>
        <v>_</v>
      </c>
    </row>
    <row r="1992" spans="3:4">
      <c r="C1992" s="45"/>
      <c r="D1992" t="str">
        <f t="shared" si="39"/>
        <v>_</v>
      </c>
    </row>
    <row r="1993" spans="3:4">
      <c r="C1993" s="45"/>
      <c r="D1993" t="str">
        <f t="shared" si="39"/>
        <v>_</v>
      </c>
    </row>
    <row r="1994" spans="3:4">
      <c r="C1994" s="45"/>
      <c r="D1994" t="str">
        <f t="shared" si="39"/>
        <v>_</v>
      </c>
    </row>
    <row r="1995" spans="3:4">
      <c r="C1995" s="45"/>
      <c r="D1995" t="str">
        <f t="shared" si="39"/>
        <v>_</v>
      </c>
    </row>
    <row r="1996" spans="3:4">
      <c r="C1996" s="45"/>
      <c r="D1996" t="str">
        <f t="shared" si="39"/>
        <v>_</v>
      </c>
    </row>
    <row r="1997" spans="3:4">
      <c r="C1997" s="45"/>
      <c r="D1997" t="str">
        <f t="shared" si="39"/>
        <v>_</v>
      </c>
    </row>
    <row r="1998" spans="3:4">
      <c r="C1998" s="45"/>
      <c r="D1998" t="str">
        <f t="shared" si="39"/>
        <v>_</v>
      </c>
    </row>
    <row r="1999" spans="3:4">
      <c r="C1999" s="45"/>
      <c r="D1999" t="str">
        <f t="shared" si="39"/>
        <v>_</v>
      </c>
    </row>
    <row r="2000" spans="3:4">
      <c r="C2000" s="45"/>
      <c r="D2000" t="str">
        <f t="shared" si="39"/>
        <v>_</v>
      </c>
    </row>
    <row r="2001" spans="3:4">
      <c r="C2001" s="45"/>
      <c r="D2001" t="str">
        <f t="shared" si="39"/>
        <v>_</v>
      </c>
    </row>
    <row r="2002" spans="3:4">
      <c r="C2002" s="45"/>
      <c r="D2002" t="str">
        <f t="shared" si="39"/>
        <v>_</v>
      </c>
    </row>
    <row r="2003" spans="3:4">
      <c r="C2003" s="45"/>
      <c r="D2003" t="str">
        <f t="shared" si="39"/>
        <v>_</v>
      </c>
    </row>
    <row r="2004" spans="3:4">
      <c r="C2004" s="45"/>
      <c r="D2004" t="str">
        <f t="shared" si="39"/>
        <v>_</v>
      </c>
    </row>
    <row r="2005" spans="3:4">
      <c r="C2005" s="45"/>
      <c r="D2005" t="str">
        <f t="shared" si="39"/>
        <v>_</v>
      </c>
    </row>
    <row r="2006" spans="3:4">
      <c r="C2006" s="45"/>
      <c r="D2006" t="str">
        <f t="shared" si="39"/>
        <v>_</v>
      </c>
    </row>
    <row r="2007" spans="3:4">
      <c r="C2007" s="45"/>
      <c r="D2007" t="str">
        <f t="shared" si="39"/>
        <v>_</v>
      </c>
    </row>
    <row r="2008" spans="3:4">
      <c r="C2008" s="45"/>
      <c r="D2008" t="str">
        <f t="shared" si="39"/>
        <v>_</v>
      </c>
    </row>
    <row r="2009" spans="3:4">
      <c r="C2009" s="45"/>
      <c r="D2009" t="str">
        <f t="shared" si="39"/>
        <v>_</v>
      </c>
    </row>
    <row r="2010" spans="3:4">
      <c r="C2010" s="45"/>
      <c r="D2010" t="str">
        <f t="shared" si="39"/>
        <v>_</v>
      </c>
    </row>
    <row r="2011" spans="3:4">
      <c r="C2011" s="45"/>
      <c r="D2011" t="str">
        <f t="shared" si="39"/>
        <v>_</v>
      </c>
    </row>
    <row r="2012" spans="3:4">
      <c r="C2012" s="45"/>
      <c r="D2012" t="str">
        <f t="shared" si="39"/>
        <v>_</v>
      </c>
    </row>
    <row r="2013" spans="3:4">
      <c r="C2013" s="45"/>
      <c r="D2013" t="str">
        <f t="shared" si="39"/>
        <v>_</v>
      </c>
    </row>
    <row r="2014" spans="3:4">
      <c r="C2014" s="45"/>
      <c r="D2014" t="str">
        <f t="shared" si="39"/>
        <v>_</v>
      </c>
    </row>
    <row r="2015" spans="3:4">
      <c r="C2015" s="45"/>
      <c r="D2015" t="str">
        <f t="shared" si="39"/>
        <v>_</v>
      </c>
    </row>
    <row r="2016" spans="3:4">
      <c r="C2016" s="45"/>
      <c r="D2016" t="str">
        <f t="shared" si="39"/>
        <v>_</v>
      </c>
    </row>
    <row r="2017" spans="3:4">
      <c r="C2017" s="45"/>
      <c r="D2017" t="str">
        <f t="shared" si="39"/>
        <v>_</v>
      </c>
    </row>
    <row r="2018" spans="3:4">
      <c r="C2018" s="45"/>
      <c r="D2018" t="str">
        <f t="shared" si="39"/>
        <v>_</v>
      </c>
    </row>
    <row r="2019" spans="3:4">
      <c r="C2019" s="45"/>
      <c r="D2019" t="str">
        <f t="shared" si="39"/>
        <v>_</v>
      </c>
    </row>
    <row r="2020" spans="3:4">
      <c r="C2020" s="45"/>
      <c r="D2020" t="str">
        <f t="shared" si="39"/>
        <v>_</v>
      </c>
    </row>
    <row r="2021" spans="3:4">
      <c r="C2021" s="45"/>
      <c r="D2021" t="str">
        <f t="shared" si="39"/>
        <v>_</v>
      </c>
    </row>
    <row r="2022" spans="3:4">
      <c r="C2022" s="45"/>
      <c r="D2022" t="str">
        <f t="shared" si="39"/>
        <v>_</v>
      </c>
    </row>
    <row r="2023" spans="3:4">
      <c r="C2023" s="45"/>
      <c r="D2023" t="str">
        <f t="shared" si="39"/>
        <v>_</v>
      </c>
    </row>
    <row r="2024" spans="3:4">
      <c r="C2024" s="45"/>
      <c r="D2024" t="str">
        <f t="shared" si="39"/>
        <v>_</v>
      </c>
    </row>
    <row r="2025" spans="3:4">
      <c r="C2025" s="45"/>
      <c r="D2025" t="str">
        <f t="shared" si="39"/>
        <v>_</v>
      </c>
    </row>
    <row r="2026" spans="3:4">
      <c r="C2026" s="45"/>
      <c r="D2026" t="str">
        <f t="shared" si="39"/>
        <v>_</v>
      </c>
    </row>
    <row r="2027" spans="3:4">
      <c r="C2027" s="45"/>
      <c r="D2027" t="str">
        <f t="shared" si="39"/>
        <v>_</v>
      </c>
    </row>
    <row r="2028" spans="3:4">
      <c r="C2028" s="45"/>
      <c r="D2028" t="str">
        <f t="shared" si="39"/>
        <v>_</v>
      </c>
    </row>
    <row r="2029" spans="3:4">
      <c r="C2029" s="45"/>
      <c r="D2029" t="str">
        <f t="shared" si="39"/>
        <v>_</v>
      </c>
    </row>
    <row r="2030" spans="3:4">
      <c r="C2030" s="45"/>
      <c r="D2030" t="str">
        <f t="shared" ref="D2030:D2093" si="40">_xlfn.CONCAT(A2030,"_",B2030)</f>
        <v>_</v>
      </c>
    </row>
    <row r="2031" spans="3:4">
      <c r="C2031" s="45"/>
      <c r="D2031" t="str">
        <f t="shared" si="40"/>
        <v>_</v>
      </c>
    </row>
    <row r="2032" spans="3:4">
      <c r="C2032" s="45"/>
      <c r="D2032" t="str">
        <f t="shared" si="40"/>
        <v>_</v>
      </c>
    </row>
    <row r="2033" spans="3:4">
      <c r="C2033" s="45"/>
      <c r="D2033" t="str">
        <f t="shared" si="40"/>
        <v>_</v>
      </c>
    </row>
    <row r="2034" spans="3:4">
      <c r="C2034" s="45"/>
      <c r="D2034" t="str">
        <f t="shared" si="40"/>
        <v>_</v>
      </c>
    </row>
    <row r="2035" spans="3:4">
      <c r="C2035" s="45"/>
      <c r="D2035" t="str">
        <f t="shared" si="40"/>
        <v>_</v>
      </c>
    </row>
    <row r="2036" spans="3:4">
      <c r="C2036" s="45"/>
      <c r="D2036" t="str">
        <f t="shared" si="40"/>
        <v>_</v>
      </c>
    </row>
    <row r="2037" spans="3:4">
      <c r="C2037" s="45"/>
      <c r="D2037" t="str">
        <f t="shared" si="40"/>
        <v>_</v>
      </c>
    </row>
    <row r="2038" spans="3:4">
      <c r="C2038" s="45"/>
      <c r="D2038" t="str">
        <f t="shared" si="40"/>
        <v>_</v>
      </c>
    </row>
    <row r="2039" spans="3:4">
      <c r="C2039" s="45"/>
      <c r="D2039" t="str">
        <f t="shared" si="40"/>
        <v>_</v>
      </c>
    </row>
    <row r="2040" spans="3:4">
      <c r="C2040" s="45"/>
      <c r="D2040" t="str">
        <f t="shared" si="40"/>
        <v>_</v>
      </c>
    </row>
    <row r="2041" spans="3:4">
      <c r="C2041" s="45"/>
      <c r="D2041" t="str">
        <f t="shared" si="40"/>
        <v>_</v>
      </c>
    </row>
    <row r="2042" spans="3:4">
      <c r="C2042" s="45"/>
      <c r="D2042" t="str">
        <f t="shared" si="40"/>
        <v>_</v>
      </c>
    </row>
    <row r="2043" spans="3:4">
      <c r="C2043" s="45"/>
      <c r="D2043" t="str">
        <f t="shared" si="40"/>
        <v>_</v>
      </c>
    </row>
    <row r="2044" spans="3:4">
      <c r="C2044" s="45"/>
      <c r="D2044" t="str">
        <f t="shared" si="40"/>
        <v>_</v>
      </c>
    </row>
    <row r="2045" spans="3:4">
      <c r="C2045" s="45"/>
      <c r="D2045" t="str">
        <f t="shared" si="40"/>
        <v>_</v>
      </c>
    </row>
    <row r="2046" spans="3:4">
      <c r="C2046" s="45"/>
      <c r="D2046" t="str">
        <f t="shared" si="40"/>
        <v>_</v>
      </c>
    </row>
    <row r="2047" spans="3:4">
      <c r="C2047" s="45"/>
      <c r="D2047" t="str">
        <f t="shared" si="40"/>
        <v>_</v>
      </c>
    </row>
    <row r="2048" spans="3:4">
      <c r="C2048" s="45"/>
      <c r="D2048" t="str">
        <f t="shared" si="40"/>
        <v>_</v>
      </c>
    </row>
    <row r="2049" spans="3:4">
      <c r="C2049" s="45"/>
      <c r="D2049" t="str">
        <f t="shared" si="40"/>
        <v>_</v>
      </c>
    </row>
    <row r="2050" spans="3:4">
      <c r="C2050" s="45"/>
      <c r="D2050" t="str">
        <f t="shared" si="40"/>
        <v>_</v>
      </c>
    </row>
    <row r="2051" spans="3:4">
      <c r="C2051" s="45"/>
      <c r="D2051" t="str">
        <f t="shared" si="40"/>
        <v>_</v>
      </c>
    </row>
    <row r="2052" spans="3:4">
      <c r="C2052" s="45"/>
      <c r="D2052" t="str">
        <f t="shared" si="40"/>
        <v>_</v>
      </c>
    </row>
    <row r="2053" spans="3:4">
      <c r="C2053" s="45"/>
      <c r="D2053" t="str">
        <f t="shared" si="40"/>
        <v>_</v>
      </c>
    </row>
    <row r="2054" spans="3:4">
      <c r="C2054" s="45"/>
      <c r="D2054" t="str">
        <f t="shared" si="40"/>
        <v>_</v>
      </c>
    </row>
    <row r="2055" spans="3:4">
      <c r="C2055" s="45"/>
      <c r="D2055" t="str">
        <f t="shared" si="40"/>
        <v>_</v>
      </c>
    </row>
    <row r="2056" spans="3:4">
      <c r="C2056" s="45"/>
      <c r="D2056" t="str">
        <f t="shared" si="40"/>
        <v>_</v>
      </c>
    </row>
    <row r="2057" spans="3:4">
      <c r="C2057" s="45"/>
      <c r="D2057" t="str">
        <f t="shared" si="40"/>
        <v>_</v>
      </c>
    </row>
    <row r="2058" spans="3:4">
      <c r="C2058" s="45"/>
      <c r="D2058" t="str">
        <f t="shared" si="40"/>
        <v>_</v>
      </c>
    </row>
    <row r="2059" spans="3:4">
      <c r="C2059" s="45"/>
      <c r="D2059" t="str">
        <f t="shared" si="40"/>
        <v>_</v>
      </c>
    </row>
    <row r="2060" spans="3:4">
      <c r="C2060" s="45"/>
      <c r="D2060" t="str">
        <f t="shared" si="40"/>
        <v>_</v>
      </c>
    </row>
    <row r="2061" spans="3:4">
      <c r="C2061" s="45"/>
      <c r="D2061" t="str">
        <f t="shared" si="40"/>
        <v>_</v>
      </c>
    </row>
    <row r="2062" spans="3:4">
      <c r="C2062" s="45"/>
      <c r="D2062" t="str">
        <f t="shared" si="40"/>
        <v>_</v>
      </c>
    </row>
    <row r="2063" spans="3:4">
      <c r="C2063" s="45"/>
      <c r="D2063" t="str">
        <f t="shared" si="40"/>
        <v>_</v>
      </c>
    </row>
    <row r="2064" spans="3:4">
      <c r="C2064" s="45"/>
      <c r="D2064" t="str">
        <f t="shared" si="40"/>
        <v>_</v>
      </c>
    </row>
    <row r="2065" spans="3:4">
      <c r="C2065" s="45"/>
      <c r="D2065" t="str">
        <f t="shared" si="40"/>
        <v>_</v>
      </c>
    </row>
    <row r="2066" spans="3:4">
      <c r="C2066" s="45"/>
      <c r="D2066" t="str">
        <f t="shared" si="40"/>
        <v>_</v>
      </c>
    </row>
    <row r="2067" spans="3:4">
      <c r="C2067" s="45"/>
      <c r="D2067" t="str">
        <f t="shared" si="40"/>
        <v>_</v>
      </c>
    </row>
    <row r="2068" spans="3:4">
      <c r="C2068" s="45"/>
      <c r="D2068" t="str">
        <f t="shared" si="40"/>
        <v>_</v>
      </c>
    </row>
    <row r="2069" spans="3:4">
      <c r="C2069" s="45"/>
      <c r="D2069" t="str">
        <f t="shared" si="40"/>
        <v>_</v>
      </c>
    </row>
    <row r="2070" spans="3:4">
      <c r="C2070" s="45"/>
      <c r="D2070" t="str">
        <f t="shared" si="40"/>
        <v>_</v>
      </c>
    </row>
    <row r="2071" spans="3:4">
      <c r="C2071" s="45"/>
      <c r="D2071" t="str">
        <f t="shared" si="40"/>
        <v>_</v>
      </c>
    </row>
    <row r="2072" spans="3:4">
      <c r="C2072" s="45"/>
      <c r="D2072" t="str">
        <f t="shared" si="40"/>
        <v>_</v>
      </c>
    </row>
    <row r="2073" spans="3:4">
      <c r="C2073" s="45"/>
      <c r="D2073" t="str">
        <f t="shared" si="40"/>
        <v>_</v>
      </c>
    </row>
    <row r="2074" spans="3:4">
      <c r="C2074" s="45"/>
      <c r="D2074" t="str">
        <f t="shared" si="40"/>
        <v>_</v>
      </c>
    </row>
    <row r="2075" spans="3:4">
      <c r="C2075" s="45"/>
      <c r="D2075" t="str">
        <f t="shared" si="40"/>
        <v>_</v>
      </c>
    </row>
    <row r="2076" spans="3:4">
      <c r="C2076" s="45"/>
      <c r="D2076" t="str">
        <f t="shared" si="40"/>
        <v>_</v>
      </c>
    </row>
    <row r="2077" spans="3:4">
      <c r="C2077" s="45"/>
      <c r="D2077" t="str">
        <f t="shared" si="40"/>
        <v>_</v>
      </c>
    </row>
    <row r="2078" spans="3:4">
      <c r="C2078" s="45"/>
      <c r="D2078" t="str">
        <f t="shared" si="40"/>
        <v>_</v>
      </c>
    </row>
    <row r="2079" spans="3:4">
      <c r="C2079" s="45"/>
      <c r="D2079" t="str">
        <f t="shared" si="40"/>
        <v>_</v>
      </c>
    </row>
    <row r="2080" spans="3:4">
      <c r="C2080" s="45"/>
      <c r="D2080" t="str">
        <f t="shared" si="40"/>
        <v>_</v>
      </c>
    </row>
    <row r="2081" spans="3:4">
      <c r="C2081" s="45"/>
      <c r="D2081" t="str">
        <f t="shared" si="40"/>
        <v>_</v>
      </c>
    </row>
    <row r="2082" spans="3:4">
      <c r="C2082" s="45"/>
      <c r="D2082" t="str">
        <f t="shared" si="40"/>
        <v>_</v>
      </c>
    </row>
    <row r="2083" spans="3:4">
      <c r="C2083" s="45"/>
      <c r="D2083" t="str">
        <f t="shared" si="40"/>
        <v>_</v>
      </c>
    </row>
    <row r="2084" spans="3:4">
      <c r="C2084" s="45"/>
      <c r="D2084" t="str">
        <f t="shared" si="40"/>
        <v>_</v>
      </c>
    </row>
    <row r="2085" spans="3:4">
      <c r="C2085" s="45"/>
      <c r="D2085" t="str">
        <f t="shared" si="40"/>
        <v>_</v>
      </c>
    </row>
    <row r="2086" spans="3:4">
      <c r="C2086" s="45"/>
      <c r="D2086" t="str">
        <f t="shared" si="40"/>
        <v>_</v>
      </c>
    </row>
    <row r="2087" spans="3:4">
      <c r="C2087" s="45"/>
      <c r="D2087" t="str">
        <f t="shared" si="40"/>
        <v>_</v>
      </c>
    </row>
    <row r="2088" spans="3:4">
      <c r="C2088" s="45"/>
      <c r="D2088" t="str">
        <f t="shared" si="40"/>
        <v>_</v>
      </c>
    </row>
    <row r="2089" spans="3:4">
      <c r="C2089" s="45"/>
      <c r="D2089" t="str">
        <f t="shared" si="40"/>
        <v>_</v>
      </c>
    </row>
    <row r="2090" spans="3:4">
      <c r="C2090" s="45"/>
      <c r="D2090" t="str">
        <f t="shared" si="40"/>
        <v>_</v>
      </c>
    </row>
    <row r="2091" spans="3:4">
      <c r="C2091" s="45"/>
      <c r="D2091" t="str">
        <f t="shared" si="40"/>
        <v>_</v>
      </c>
    </row>
    <row r="2092" spans="3:4">
      <c r="C2092" s="45"/>
      <c r="D2092" t="str">
        <f t="shared" si="40"/>
        <v>_</v>
      </c>
    </row>
    <row r="2093" spans="3:4">
      <c r="C2093" s="45"/>
      <c r="D2093" t="str">
        <f t="shared" si="40"/>
        <v>_</v>
      </c>
    </row>
    <row r="2094" spans="3:4">
      <c r="C2094" s="45"/>
      <c r="D2094" t="str">
        <f t="shared" ref="D2094:D2157" si="41">_xlfn.CONCAT(A2094,"_",B2094)</f>
        <v>_</v>
      </c>
    </row>
    <row r="2095" spans="3:4">
      <c r="C2095" s="45"/>
      <c r="D2095" t="str">
        <f t="shared" si="41"/>
        <v>_</v>
      </c>
    </row>
    <row r="2096" spans="3:4">
      <c r="C2096" s="45"/>
      <c r="D2096" t="str">
        <f t="shared" si="41"/>
        <v>_</v>
      </c>
    </row>
    <row r="2097" spans="3:4">
      <c r="C2097" s="45"/>
      <c r="D2097" t="str">
        <f t="shared" si="41"/>
        <v>_</v>
      </c>
    </row>
    <row r="2098" spans="3:4">
      <c r="C2098" s="45"/>
      <c r="D2098" t="str">
        <f t="shared" si="41"/>
        <v>_</v>
      </c>
    </row>
    <row r="2099" spans="3:4">
      <c r="C2099" s="45"/>
      <c r="D2099" t="str">
        <f t="shared" si="41"/>
        <v>_</v>
      </c>
    </row>
    <row r="2100" spans="3:4">
      <c r="C2100" s="45"/>
      <c r="D2100" t="str">
        <f t="shared" si="41"/>
        <v>_</v>
      </c>
    </row>
    <row r="2101" spans="3:4">
      <c r="C2101" s="45"/>
      <c r="D2101" t="str">
        <f t="shared" si="41"/>
        <v>_</v>
      </c>
    </row>
    <row r="2102" spans="3:4">
      <c r="C2102" s="45"/>
      <c r="D2102" t="str">
        <f t="shared" si="41"/>
        <v>_</v>
      </c>
    </row>
    <row r="2103" spans="3:4">
      <c r="C2103" s="45"/>
      <c r="D2103" t="str">
        <f t="shared" si="41"/>
        <v>_</v>
      </c>
    </row>
    <row r="2104" spans="3:4">
      <c r="C2104" s="45"/>
      <c r="D2104" t="str">
        <f t="shared" si="41"/>
        <v>_</v>
      </c>
    </row>
    <row r="2105" spans="3:4">
      <c r="C2105" s="45"/>
      <c r="D2105" t="str">
        <f t="shared" si="41"/>
        <v>_</v>
      </c>
    </row>
    <row r="2106" spans="3:4">
      <c r="C2106" s="45"/>
      <c r="D2106" t="str">
        <f t="shared" si="41"/>
        <v>_</v>
      </c>
    </row>
    <row r="2107" spans="3:4">
      <c r="C2107" s="45"/>
      <c r="D2107" t="str">
        <f t="shared" si="41"/>
        <v>_</v>
      </c>
    </row>
    <row r="2108" spans="3:4">
      <c r="C2108" s="45"/>
      <c r="D2108" t="str">
        <f t="shared" si="41"/>
        <v>_</v>
      </c>
    </row>
    <row r="2109" spans="3:4">
      <c r="C2109" s="45"/>
      <c r="D2109" t="str">
        <f t="shared" si="41"/>
        <v>_</v>
      </c>
    </row>
    <row r="2110" spans="3:4">
      <c r="C2110" s="45"/>
      <c r="D2110" t="str">
        <f t="shared" si="41"/>
        <v>_</v>
      </c>
    </row>
    <row r="2111" spans="3:4">
      <c r="C2111" s="45"/>
      <c r="D2111" t="str">
        <f t="shared" si="41"/>
        <v>_</v>
      </c>
    </row>
    <row r="2112" spans="3:4">
      <c r="C2112" s="45"/>
      <c r="D2112" t="str">
        <f t="shared" si="41"/>
        <v>_</v>
      </c>
    </row>
    <row r="2113" spans="3:4">
      <c r="C2113" s="45"/>
      <c r="D2113" t="str">
        <f t="shared" si="41"/>
        <v>_</v>
      </c>
    </row>
    <row r="2114" spans="3:4">
      <c r="C2114" s="45"/>
      <c r="D2114" t="str">
        <f t="shared" si="41"/>
        <v>_</v>
      </c>
    </row>
    <row r="2115" spans="3:4">
      <c r="C2115" s="45"/>
      <c r="D2115" t="str">
        <f t="shared" si="41"/>
        <v>_</v>
      </c>
    </row>
    <row r="2116" spans="3:4">
      <c r="C2116" s="45"/>
      <c r="D2116" t="str">
        <f t="shared" si="41"/>
        <v>_</v>
      </c>
    </row>
    <row r="2117" spans="3:4">
      <c r="C2117" s="45"/>
      <c r="D2117" t="str">
        <f t="shared" si="41"/>
        <v>_</v>
      </c>
    </row>
    <row r="2118" spans="3:4">
      <c r="C2118" s="45"/>
      <c r="D2118" t="str">
        <f t="shared" si="41"/>
        <v>_</v>
      </c>
    </row>
    <row r="2119" spans="3:4">
      <c r="C2119" s="45"/>
      <c r="D2119" t="str">
        <f t="shared" si="41"/>
        <v>_</v>
      </c>
    </row>
    <row r="2120" spans="3:4">
      <c r="C2120" s="45"/>
      <c r="D2120" t="str">
        <f t="shared" si="41"/>
        <v>_</v>
      </c>
    </row>
    <row r="2121" spans="3:4">
      <c r="C2121" s="45"/>
      <c r="D2121" t="str">
        <f t="shared" si="41"/>
        <v>_</v>
      </c>
    </row>
    <row r="2122" spans="3:4">
      <c r="C2122" s="45"/>
      <c r="D2122" t="str">
        <f t="shared" si="41"/>
        <v>_</v>
      </c>
    </row>
    <row r="2123" spans="3:4">
      <c r="C2123" s="45"/>
      <c r="D2123" t="str">
        <f t="shared" si="41"/>
        <v>_</v>
      </c>
    </row>
    <row r="2124" spans="3:4">
      <c r="C2124" s="45"/>
      <c r="D2124" t="str">
        <f t="shared" si="41"/>
        <v>_</v>
      </c>
    </row>
    <row r="2125" spans="3:4">
      <c r="C2125" s="45"/>
      <c r="D2125" t="str">
        <f t="shared" si="41"/>
        <v>_</v>
      </c>
    </row>
    <row r="2126" spans="3:4">
      <c r="C2126" s="45"/>
      <c r="D2126" t="str">
        <f t="shared" si="41"/>
        <v>_</v>
      </c>
    </row>
    <row r="2127" spans="3:4">
      <c r="C2127" s="45"/>
      <c r="D2127" t="str">
        <f t="shared" si="41"/>
        <v>_</v>
      </c>
    </row>
    <row r="2128" spans="3:4">
      <c r="C2128" s="45"/>
      <c r="D2128" t="str">
        <f t="shared" si="41"/>
        <v>_</v>
      </c>
    </row>
    <row r="2129" spans="3:4">
      <c r="C2129" s="45"/>
      <c r="D2129" t="str">
        <f t="shared" si="41"/>
        <v>_</v>
      </c>
    </row>
    <row r="2130" spans="3:4">
      <c r="C2130" s="45"/>
      <c r="D2130" t="str">
        <f t="shared" si="41"/>
        <v>_</v>
      </c>
    </row>
    <row r="2131" spans="3:4">
      <c r="C2131" s="45"/>
      <c r="D2131" t="str">
        <f t="shared" si="41"/>
        <v>_</v>
      </c>
    </row>
    <row r="2132" spans="3:4">
      <c r="C2132" s="45"/>
      <c r="D2132" t="str">
        <f t="shared" si="41"/>
        <v>_</v>
      </c>
    </row>
    <row r="2133" spans="3:4">
      <c r="C2133" s="45"/>
      <c r="D2133" t="str">
        <f t="shared" si="41"/>
        <v>_</v>
      </c>
    </row>
    <row r="2134" spans="3:4">
      <c r="C2134" s="45"/>
      <c r="D2134" t="str">
        <f t="shared" si="41"/>
        <v>_</v>
      </c>
    </row>
    <row r="2135" spans="3:4">
      <c r="C2135" s="45"/>
      <c r="D2135" t="str">
        <f t="shared" si="41"/>
        <v>_</v>
      </c>
    </row>
    <row r="2136" spans="3:4">
      <c r="C2136" s="45"/>
      <c r="D2136" t="str">
        <f t="shared" si="41"/>
        <v>_</v>
      </c>
    </row>
    <row r="2137" spans="3:4">
      <c r="C2137" s="45"/>
      <c r="D2137" t="str">
        <f t="shared" si="41"/>
        <v>_</v>
      </c>
    </row>
    <row r="2138" spans="3:4">
      <c r="C2138" s="45"/>
      <c r="D2138" t="str">
        <f t="shared" si="41"/>
        <v>_</v>
      </c>
    </row>
    <row r="2139" spans="3:4">
      <c r="C2139" s="45"/>
      <c r="D2139" t="str">
        <f t="shared" si="41"/>
        <v>_</v>
      </c>
    </row>
    <row r="2140" spans="3:4">
      <c r="C2140" s="45"/>
      <c r="D2140" t="str">
        <f t="shared" si="41"/>
        <v>_</v>
      </c>
    </row>
    <row r="2141" spans="3:4">
      <c r="C2141" s="45"/>
      <c r="D2141" t="str">
        <f t="shared" si="41"/>
        <v>_</v>
      </c>
    </row>
    <row r="2142" spans="3:4">
      <c r="C2142" s="45"/>
      <c r="D2142" t="str">
        <f t="shared" si="41"/>
        <v>_</v>
      </c>
    </row>
    <row r="2143" spans="3:4">
      <c r="C2143" s="45"/>
      <c r="D2143" t="str">
        <f t="shared" si="41"/>
        <v>_</v>
      </c>
    </row>
    <row r="2144" spans="3:4">
      <c r="C2144" s="45"/>
      <c r="D2144" t="str">
        <f t="shared" si="41"/>
        <v>_</v>
      </c>
    </row>
    <row r="2145" spans="3:4">
      <c r="C2145" s="45"/>
      <c r="D2145" t="str">
        <f t="shared" si="41"/>
        <v>_</v>
      </c>
    </row>
    <row r="2146" spans="3:4">
      <c r="C2146" s="45"/>
      <c r="D2146" t="str">
        <f t="shared" si="41"/>
        <v>_</v>
      </c>
    </row>
    <row r="2147" spans="3:4">
      <c r="C2147" s="45"/>
      <c r="D2147" t="str">
        <f t="shared" si="41"/>
        <v>_</v>
      </c>
    </row>
    <row r="2148" spans="3:4">
      <c r="C2148" s="45"/>
      <c r="D2148" t="str">
        <f t="shared" si="41"/>
        <v>_</v>
      </c>
    </row>
    <row r="2149" spans="3:4">
      <c r="C2149" s="45"/>
      <c r="D2149" t="str">
        <f t="shared" si="41"/>
        <v>_</v>
      </c>
    </row>
    <row r="2150" spans="3:4">
      <c r="C2150" s="45"/>
      <c r="D2150" t="str">
        <f t="shared" si="41"/>
        <v>_</v>
      </c>
    </row>
    <row r="2151" spans="3:4">
      <c r="C2151" s="45"/>
      <c r="D2151" t="str">
        <f t="shared" si="41"/>
        <v>_</v>
      </c>
    </row>
    <row r="2152" spans="3:4">
      <c r="C2152" s="45"/>
      <c r="D2152" t="str">
        <f t="shared" si="41"/>
        <v>_</v>
      </c>
    </row>
    <row r="2153" spans="3:4">
      <c r="C2153" s="45"/>
      <c r="D2153" t="str">
        <f t="shared" si="41"/>
        <v>_</v>
      </c>
    </row>
    <row r="2154" spans="3:4">
      <c r="C2154" s="45"/>
      <c r="D2154" t="str">
        <f t="shared" si="41"/>
        <v>_</v>
      </c>
    </row>
    <row r="2155" spans="3:4">
      <c r="C2155" s="45"/>
      <c r="D2155" t="str">
        <f t="shared" si="41"/>
        <v>_</v>
      </c>
    </row>
    <row r="2156" spans="3:4">
      <c r="C2156" s="45"/>
      <c r="D2156" t="str">
        <f t="shared" si="41"/>
        <v>_</v>
      </c>
    </row>
    <row r="2157" spans="3:4">
      <c r="C2157" s="45"/>
      <c r="D2157" t="str">
        <f t="shared" si="41"/>
        <v>_</v>
      </c>
    </row>
    <row r="2158" spans="3:4">
      <c r="C2158" s="45"/>
      <c r="D2158" t="str">
        <f t="shared" ref="D2158:D2221" si="42">_xlfn.CONCAT(A2158,"_",B2158)</f>
        <v>_</v>
      </c>
    </row>
    <row r="2159" spans="3:4">
      <c r="C2159" s="45"/>
      <c r="D2159" t="str">
        <f t="shared" si="42"/>
        <v>_</v>
      </c>
    </row>
    <row r="2160" spans="3:4">
      <c r="C2160" s="45"/>
      <c r="D2160" t="str">
        <f t="shared" si="42"/>
        <v>_</v>
      </c>
    </row>
    <row r="2161" spans="3:4">
      <c r="C2161" s="45"/>
      <c r="D2161" t="str">
        <f t="shared" si="42"/>
        <v>_</v>
      </c>
    </row>
    <row r="2162" spans="3:4">
      <c r="C2162" s="45"/>
      <c r="D2162" t="str">
        <f t="shared" si="42"/>
        <v>_</v>
      </c>
    </row>
    <row r="2163" spans="3:4">
      <c r="C2163" s="45"/>
      <c r="D2163" t="str">
        <f t="shared" si="42"/>
        <v>_</v>
      </c>
    </row>
    <row r="2164" spans="3:4">
      <c r="C2164" s="45"/>
      <c r="D2164" t="str">
        <f t="shared" si="42"/>
        <v>_</v>
      </c>
    </row>
    <row r="2165" spans="3:4">
      <c r="C2165" s="45"/>
      <c r="D2165" t="str">
        <f t="shared" si="42"/>
        <v>_</v>
      </c>
    </row>
    <row r="2166" spans="3:4">
      <c r="C2166" s="45"/>
      <c r="D2166" t="str">
        <f t="shared" si="42"/>
        <v>_</v>
      </c>
    </row>
    <row r="2167" spans="3:4">
      <c r="C2167" s="45"/>
      <c r="D2167" t="str">
        <f t="shared" si="42"/>
        <v>_</v>
      </c>
    </row>
    <row r="2168" spans="3:4">
      <c r="C2168" s="45"/>
      <c r="D2168" t="str">
        <f t="shared" si="42"/>
        <v>_</v>
      </c>
    </row>
    <row r="2169" spans="3:4">
      <c r="C2169" s="45"/>
      <c r="D2169" t="str">
        <f t="shared" si="42"/>
        <v>_</v>
      </c>
    </row>
    <row r="2170" spans="3:4">
      <c r="C2170" s="45"/>
      <c r="D2170" t="str">
        <f t="shared" si="42"/>
        <v>_</v>
      </c>
    </row>
    <row r="2171" spans="3:4">
      <c r="C2171" s="45"/>
      <c r="D2171" t="str">
        <f t="shared" si="42"/>
        <v>_</v>
      </c>
    </row>
    <row r="2172" spans="3:4">
      <c r="C2172" s="45"/>
      <c r="D2172" t="str">
        <f t="shared" si="42"/>
        <v>_</v>
      </c>
    </row>
    <row r="2173" spans="3:4">
      <c r="C2173" s="45"/>
      <c r="D2173" t="str">
        <f t="shared" si="42"/>
        <v>_</v>
      </c>
    </row>
    <row r="2174" spans="3:4">
      <c r="C2174" s="45"/>
      <c r="D2174" t="str">
        <f t="shared" si="42"/>
        <v>_</v>
      </c>
    </row>
    <row r="2175" spans="3:4">
      <c r="C2175" s="45"/>
      <c r="D2175" t="str">
        <f t="shared" si="42"/>
        <v>_</v>
      </c>
    </row>
    <row r="2176" spans="3:4">
      <c r="C2176" s="45"/>
      <c r="D2176" t="str">
        <f t="shared" si="42"/>
        <v>_</v>
      </c>
    </row>
    <row r="2177" spans="3:4">
      <c r="C2177" s="45"/>
      <c r="D2177" t="str">
        <f t="shared" si="42"/>
        <v>_</v>
      </c>
    </row>
    <row r="2178" spans="3:4">
      <c r="C2178" s="45"/>
      <c r="D2178" t="str">
        <f t="shared" si="42"/>
        <v>_</v>
      </c>
    </row>
    <row r="2179" spans="3:4">
      <c r="C2179" s="45"/>
      <c r="D2179" t="str">
        <f t="shared" si="42"/>
        <v>_</v>
      </c>
    </row>
    <row r="2180" spans="3:4">
      <c r="C2180" s="45"/>
      <c r="D2180" t="str">
        <f t="shared" si="42"/>
        <v>_</v>
      </c>
    </row>
    <row r="2181" spans="3:4">
      <c r="C2181" s="45"/>
      <c r="D2181" t="str">
        <f t="shared" si="42"/>
        <v>_</v>
      </c>
    </row>
    <row r="2182" spans="3:4">
      <c r="C2182" s="45"/>
      <c r="D2182" t="str">
        <f t="shared" si="42"/>
        <v>_</v>
      </c>
    </row>
    <row r="2183" spans="3:4">
      <c r="C2183" s="45"/>
      <c r="D2183" t="str">
        <f t="shared" si="42"/>
        <v>_</v>
      </c>
    </row>
    <row r="2184" spans="3:4">
      <c r="C2184" s="45"/>
      <c r="D2184" t="str">
        <f t="shared" si="42"/>
        <v>_</v>
      </c>
    </row>
    <row r="2185" spans="3:4">
      <c r="C2185" s="45"/>
      <c r="D2185" t="str">
        <f t="shared" si="42"/>
        <v>_</v>
      </c>
    </row>
    <row r="2186" spans="3:4">
      <c r="C2186" s="45"/>
      <c r="D2186" t="str">
        <f t="shared" si="42"/>
        <v>_</v>
      </c>
    </row>
    <row r="2187" spans="3:4">
      <c r="C2187" s="45"/>
      <c r="D2187" t="str">
        <f t="shared" si="42"/>
        <v>_</v>
      </c>
    </row>
    <row r="2188" spans="3:4">
      <c r="C2188" s="45"/>
      <c r="D2188" t="str">
        <f t="shared" si="42"/>
        <v>_</v>
      </c>
    </row>
    <row r="2189" spans="3:4">
      <c r="C2189" s="45"/>
      <c r="D2189" t="str">
        <f t="shared" si="42"/>
        <v>_</v>
      </c>
    </row>
    <row r="2190" spans="3:4">
      <c r="C2190" s="45"/>
      <c r="D2190" t="str">
        <f t="shared" si="42"/>
        <v>_</v>
      </c>
    </row>
    <row r="2191" spans="3:4">
      <c r="C2191" s="45"/>
      <c r="D2191" t="str">
        <f t="shared" si="42"/>
        <v>_</v>
      </c>
    </row>
    <row r="2192" spans="3:4">
      <c r="C2192" s="45"/>
      <c r="D2192" t="str">
        <f t="shared" si="42"/>
        <v>_</v>
      </c>
    </row>
    <row r="2193" spans="3:4">
      <c r="C2193" s="45"/>
      <c r="D2193" t="str">
        <f t="shared" si="42"/>
        <v>_</v>
      </c>
    </row>
    <row r="2194" spans="3:4">
      <c r="C2194" s="45"/>
      <c r="D2194" t="str">
        <f t="shared" si="42"/>
        <v>_</v>
      </c>
    </row>
    <row r="2195" spans="3:4">
      <c r="C2195" s="45"/>
      <c r="D2195" t="str">
        <f t="shared" si="42"/>
        <v>_</v>
      </c>
    </row>
    <row r="2196" spans="3:4">
      <c r="C2196" s="45"/>
      <c r="D2196" t="str">
        <f t="shared" si="42"/>
        <v>_</v>
      </c>
    </row>
    <row r="2197" spans="3:4">
      <c r="C2197" s="45"/>
      <c r="D2197" t="str">
        <f t="shared" si="42"/>
        <v>_</v>
      </c>
    </row>
    <row r="2198" spans="3:4">
      <c r="C2198" s="45"/>
      <c r="D2198" t="str">
        <f t="shared" si="42"/>
        <v>_</v>
      </c>
    </row>
    <row r="2199" spans="3:4">
      <c r="C2199" s="45"/>
      <c r="D2199" t="str">
        <f t="shared" si="42"/>
        <v>_</v>
      </c>
    </row>
    <row r="2200" spans="3:4">
      <c r="C2200" s="45"/>
      <c r="D2200" t="str">
        <f t="shared" si="42"/>
        <v>_</v>
      </c>
    </row>
    <row r="2201" spans="3:4">
      <c r="C2201" s="45"/>
      <c r="D2201" t="str">
        <f t="shared" si="42"/>
        <v>_</v>
      </c>
    </row>
    <row r="2202" spans="3:4">
      <c r="C2202" s="45"/>
      <c r="D2202" t="str">
        <f t="shared" si="42"/>
        <v>_</v>
      </c>
    </row>
    <row r="2203" spans="3:4">
      <c r="C2203" s="45"/>
      <c r="D2203" t="str">
        <f t="shared" si="42"/>
        <v>_</v>
      </c>
    </row>
    <row r="2204" spans="3:4">
      <c r="C2204" s="45"/>
      <c r="D2204" t="str">
        <f t="shared" si="42"/>
        <v>_</v>
      </c>
    </row>
    <row r="2205" spans="3:4">
      <c r="C2205" s="45"/>
      <c r="D2205" t="str">
        <f t="shared" si="42"/>
        <v>_</v>
      </c>
    </row>
    <row r="2206" spans="3:4">
      <c r="C2206" s="45"/>
      <c r="D2206" t="str">
        <f t="shared" si="42"/>
        <v>_</v>
      </c>
    </row>
    <row r="2207" spans="3:4">
      <c r="C2207" s="45"/>
      <c r="D2207" t="str">
        <f t="shared" si="42"/>
        <v>_</v>
      </c>
    </row>
    <row r="2208" spans="3:4">
      <c r="C2208" s="45"/>
      <c r="D2208" t="str">
        <f t="shared" si="42"/>
        <v>_</v>
      </c>
    </row>
    <row r="2209" spans="3:4">
      <c r="C2209" s="45"/>
      <c r="D2209" t="str">
        <f t="shared" si="42"/>
        <v>_</v>
      </c>
    </row>
    <row r="2210" spans="3:4">
      <c r="C2210" s="45"/>
      <c r="D2210" t="str">
        <f t="shared" si="42"/>
        <v>_</v>
      </c>
    </row>
    <row r="2211" spans="3:4">
      <c r="C2211" s="45"/>
      <c r="D2211" t="str">
        <f t="shared" si="42"/>
        <v>_</v>
      </c>
    </row>
    <row r="2212" spans="3:4">
      <c r="C2212" s="45"/>
      <c r="D2212" t="str">
        <f t="shared" si="42"/>
        <v>_</v>
      </c>
    </row>
    <row r="2213" spans="3:4">
      <c r="C2213" s="45"/>
      <c r="D2213" t="str">
        <f t="shared" si="42"/>
        <v>_</v>
      </c>
    </row>
    <row r="2214" spans="3:4">
      <c r="C2214" s="45"/>
      <c r="D2214" t="str">
        <f t="shared" si="42"/>
        <v>_</v>
      </c>
    </row>
    <row r="2215" spans="3:4">
      <c r="C2215" s="45"/>
      <c r="D2215" t="str">
        <f t="shared" si="42"/>
        <v>_</v>
      </c>
    </row>
    <row r="2216" spans="3:4">
      <c r="C2216" s="45"/>
      <c r="D2216" t="str">
        <f t="shared" si="42"/>
        <v>_</v>
      </c>
    </row>
    <row r="2217" spans="3:4">
      <c r="C2217" s="45"/>
      <c r="D2217" t="str">
        <f t="shared" si="42"/>
        <v>_</v>
      </c>
    </row>
    <row r="2218" spans="3:4">
      <c r="C2218" s="45"/>
      <c r="D2218" t="str">
        <f t="shared" si="42"/>
        <v>_</v>
      </c>
    </row>
    <row r="2219" spans="3:4">
      <c r="C2219" s="45"/>
      <c r="D2219" t="str">
        <f t="shared" si="42"/>
        <v>_</v>
      </c>
    </row>
    <row r="2220" spans="3:4">
      <c r="C2220" s="45"/>
      <c r="D2220" t="str">
        <f t="shared" si="42"/>
        <v>_</v>
      </c>
    </row>
    <row r="2221" spans="3:4">
      <c r="C2221" s="45"/>
      <c r="D2221" t="str">
        <f t="shared" si="42"/>
        <v>_</v>
      </c>
    </row>
    <row r="2222" spans="3:4">
      <c r="C2222" s="45"/>
      <c r="D2222" t="str">
        <f t="shared" ref="D2222:D2285" si="43">_xlfn.CONCAT(A2222,"_",B2222)</f>
        <v>_</v>
      </c>
    </row>
    <row r="2223" spans="3:4">
      <c r="C2223" s="45"/>
      <c r="D2223" t="str">
        <f t="shared" si="43"/>
        <v>_</v>
      </c>
    </row>
    <row r="2224" spans="3:4">
      <c r="C2224" s="45"/>
      <c r="D2224" t="str">
        <f t="shared" si="43"/>
        <v>_</v>
      </c>
    </row>
    <row r="2225" spans="3:4">
      <c r="C2225" s="45"/>
      <c r="D2225" t="str">
        <f t="shared" si="43"/>
        <v>_</v>
      </c>
    </row>
    <row r="2226" spans="3:4">
      <c r="C2226" s="45"/>
      <c r="D2226" t="str">
        <f t="shared" si="43"/>
        <v>_</v>
      </c>
    </row>
    <row r="2227" spans="3:4">
      <c r="C2227" s="45"/>
      <c r="D2227" t="str">
        <f t="shared" si="43"/>
        <v>_</v>
      </c>
    </row>
    <row r="2228" spans="3:4">
      <c r="C2228" s="45"/>
      <c r="D2228" t="str">
        <f t="shared" si="43"/>
        <v>_</v>
      </c>
    </row>
    <row r="2229" spans="3:4">
      <c r="C2229" s="45"/>
      <c r="D2229" t="str">
        <f t="shared" si="43"/>
        <v>_</v>
      </c>
    </row>
    <row r="2230" spans="3:4">
      <c r="C2230" s="45"/>
      <c r="D2230" t="str">
        <f t="shared" si="43"/>
        <v>_</v>
      </c>
    </row>
    <row r="2231" spans="3:4">
      <c r="C2231" s="45"/>
      <c r="D2231" t="str">
        <f t="shared" si="43"/>
        <v>_</v>
      </c>
    </row>
    <row r="2232" spans="3:4">
      <c r="C2232" s="45"/>
      <c r="D2232" t="str">
        <f t="shared" si="43"/>
        <v>_</v>
      </c>
    </row>
    <row r="2233" spans="3:4">
      <c r="C2233" s="45"/>
      <c r="D2233" t="str">
        <f t="shared" si="43"/>
        <v>_</v>
      </c>
    </row>
    <row r="2234" spans="3:4">
      <c r="C2234" s="45"/>
      <c r="D2234" t="str">
        <f t="shared" si="43"/>
        <v>_</v>
      </c>
    </row>
    <row r="2235" spans="3:4">
      <c r="C2235" s="45"/>
      <c r="D2235" t="str">
        <f t="shared" si="43"/>
        <v>_</v>
      </c>
    </row>
    <row r="2236" spans="3:4">
      <c r="C2236" s="45"/>
      <c r="D2236" t="str">
        <f t="shared" si="43"/>
        <v>_</v>
      </c>
    </row>
    <row r="2237" spans="3:4">
      <c r="C2237" s="45"/>
      <c r="D2237" t="str">
        <f t="shared" si="43"/>
        <v>_</v>
      </c>
    </row>
    <row r="2238" spans="3:4">
      <c r="C2238" s="45"/>
      <c r="D2238" t="str">
        <f t="shared" si="43"/>
        <v>_</v>
      </c>
    </row>
    <row r="2239" spans="3:4">
      <c r="C2239" s="45"/>
      <c r="D2239" t="str">
        <f t="shared" si="43"/>
        <v>_</v>
      </c>
    </row>
    <row r="2240" spans="3:4">
      <c r="C2240" s="45"/>
      <c r="D2240" t="str">
        <f t="shared" si="43"/>
        <v>_</v>
      </c>
    </row>
    <row r="2241" spans="3:4">
      <c r="C2241" s="45"/>
      <c r="D2241" t="str">
        <f t="shared" si="43"/>
        <v>_</v>
      </c>
    </row>
    <row r="2242" spans="3:4">
      <c r="C2242" s="45"/>
      <c r="D2242" t="str">
        <f t="shared" si="43"/>
        <v>_</v>
      </c>
    </row>
    <row r="2243" spans="3:4">
      <c r="C2243" s="45"/>
      <c r="D2243" t="str">
        <f t="shared" si="43"/>
        <v>_</v>
      </c>
    </row>
    <row r="2244" spans="3:4">
      <c r="C2244" s="45"/>
      <c r="D2244" t="str">
        <f t="shared" si="43"/>
        <v>_</v>
      </c>
    </row>
    <row r="2245" spans="3:4">
      <c r="C2245" s="45"/>
      <c r="D2245" t="str">
        <f t="shared" si="43"/>
        <v>_</v>
      </c>
    </row>
    <row r="2246" spans="3:4">
      <c r="C2246" s="45"/>
      <c r="D2246" t="str">
        <f t="shared" si="43"/>
        <v>_</v>
      </c>
    </row>
    <row r="2247" spans="3:4">
      <c r="C2247" s="45"/>
      <c r="D2247" t="str">
        <f t="shared" si="43"/>
        <v>_</v>
      </c>
    </row>
    <row r="2248" spans="3:4">
      <c r="C2248" s="45"/>
      <c r="D2248" t="str">
        <f t="shared" si="43"/>
        <v>_</v>
      </c>
    </row>
    <row r="2249" spans="3:4">
      <c r="C2249" s="45"/>
      <c r="D2249" t="str">
        <f t="shared" si="43"/>
        <v>_</v>
      </c>
    </row>
    <row r="2250" spans="3:4">
      <c r="C2250" s="45"/>
      <c r="D2250" t="str">
        <f t="shared" si="43"/>
        <v>_</v>
      </c>
    </row>
    <row r="2251" spans="3:4">
      <c r="C2251" s="45"/>
      <c r="D2251" t="str">
        <f t="shared" si="43"/>
        <v>_</v>
      </c>
    </row>
    <row r="2252" spans="3:4">
      <c r="C2252" s="45"/>
      <c r="D2252" t="str">
        <f t="shared" si="43"/>
        <v>_</v>
      </c>
    </row>
    <row r="2253" spans="3:4">
      <c r="C2253" s="45"/>
      <c r="D2253" t="str">
        <f t="shared" si="43"/>
        <v>_</v>
      </c>
    </row>
    <row r="2254" spans="3:4">
      <c r="C2254" s="45"/>
      <c r="D2254" t="str">
        <f t="shared" si="43"/>
        <v>_</v>
      </c>
    </row>
    <row r="2255" spans="3:4">
      <c r="C2255" s="45"/>
      <c r="D2255" t="str">
        <f t="shared" si="43"/>
        <v>_</v>
      </c>
    </row>
    <row r="2256" spans="3:4">
      <c r="C2256" s="45"/>
      <c r="D2256" t="str">
        <f t="shared" si="43"/>
        <v>_</v>
      </c>
    </row>
    <row r="2257" spans="3:4">
      <c r="C2257" s="45"/>
      <c r="D2257" t="str">
        <f t="shared" si="43"/>
        <v>_</v>
      </c>
    </row>
    <row r="2258" spans="3:4">
      <c r="C2258" s="45"/>
      <c r="D2258" t="str">
        <f t="shared" si="43"/>
        <v>_</v>
      </c>
    </row>
    <row r="2259" spans="3:4">
      <c r="C2259" s="45"/>
      <c r="D2259" t="str">
        <f t="shared" si="43"/>
        <v>_</v>
      </c>
    </row>
    <row r="2260" spans="3:4">
      <c r="C2260" s="45"/>
      <c r="D2260" t="str">
        <f t="shared" si="43"/>
        <v>_</v>
      </c>
    </row>
    <row r="2261" spans="3:4">
      <c r="C2261" s="45"/>
      <c r="D2261" t="str">
        <f t="shared" si="43"/>
        <v>_</v>
      </c>
    </row>
    <row r="2262" spans="3:4">
      <c r="C2262" s="45"/>
      <c r="D2262" t="str">
        <f t="shared" si="43"/>
        <v>_</v>
      </c>
    </row>
    <row r="2263" spans="3:4">
      <c r="C2263" s="45"/>
      <c r="D2263" t="str">
        <f t="shared" si="43"/>
        <v>_</v>
      </c>
    </row>
    <row r="2264" spans="3:4">
      <c r="C2264" s="45"/>
      <c r="D2264" t="str">
        <f t="shared" si="43"/>
        <v>_</v>
      </c>
    </row>
    <row r="2265" spans="3:4">
      <c r="C2265" s="45"/>
      <c r="D2265" t="str">
        <f t="shared" si="43"/>
        <v>_</v>
      </c>
    </row>
    <row r="2266" spans="3:4">
      <c r="C2266" s="45"/>
      <c r="D2266" t="str">
        <f t="shared" si="43"/>
        <v>_</v>
      </c>
    </row>
    <row r="2267" spans="3:4">
      <c r="C2267" s="45"/>
      <c r="D2267" t="str">
        <f t="shared" si="43"/>
        <v>_</v>
      </c>
    </row>
    <row r="2268" spans="3:4">
      <c r="C2268" s="45"/>
      <c r="D2268" t="str">
        <f t="shared" si="43"/>
        <v>_</v>
      </c>
    </row>
    <row r="2269" spans="3:4">
      <c r="C2269" s="45"/>
      <c r="D2269" t="str">
        <f t="shared" si="43"/>
        <v>_</v>
      </c>
    </row>
    <row r="2270" spans="3:4">
      <c r="C2270" s="45"/>
      <c r="D2270" t="str">
        <f t="shared" si="43"/>
        <v>_</v>
      </c>
    </row>
    <row r="2271" spans="3:4">
      <c r="C2271" s="45"/>
      <c r="D2271" t="str">
        <f t="shared" si="43"/>
        <v>_</v>
      </c>
    </row>
    <row r="2272" spans="3:4">
      <c r="C2272" s="45"/>
      <c r="D2272" t="str">
        <f t="shared" si="43"/>
        <v>_</v>
      </c>
    </row>
    <row r="2273" spans="3:4">
      <c r="C2273" s="45"/>
      <c r="D2273" t="str">
        <f t="shared" si="43"/>
        <v>_</v>
      </c>
    </row>
    <row r="2274" spans="3:4">
      <c r="C2274" s="45"/>
      <c r="D2274" t="str">
        <f t="shared" si="43"/>
        <v>_</v>
      </c>
    </row>
    <row r="2275" spans="3:4">
      <c r="C2275" s="45"/>
      <c r="D2275" t="str">
        <f t="shared" si="43"/>
        <v>_</v>
      </c>
    </row>
    <row r="2276" spans="3:4">
      <c r="C2276" s="45"/>
      <c r="D2276" t="str">
        <f t="shared" si="43"/>
        <v>_</v>
      </c>
    </row>
    <row r="2277" spans="3:4">
      <c r="C2277" s="45"/>
      <c r="D2277" t="str">
        <f t="shared" si="43"/>
        <v>_</v>
      </c>
    </row>
    <row r="2278" spans="3:4">
      <c r="C2278" s="45"/>
      <c r="D2278" t="str">
        <f t="shared" si="43"/>
        <v>_</v>
      </c>
    </row>
    <row r="2279" spans="3:4">
      <c r="C2279" s="45"/>
      <c r="D2279" t="str">
        <f t="shared" si="43"/>
        <v>_</v>
      </c>
    </row>
    <row r="2280" spans="3:4">
      <c r="C2280" s="45"/>
      <c r="D2280" t="str">
        <f t="shared" si="43"/>
        <v>_</v>
      </c>
    </row>
    <row r="2281" spans="3:4">
      <c r="C2281" s="45"/>
      <c r="D2281" t="str">
        <f t="shared" si="43"/>
        <v>_</v>
      </c>
    </row>
    <row r="2282" spans="3:4">
      <c r="C2282" s="45"/>
      <c r="D2282" t="str">
        <f t="shared" si="43"/>
        <v>_</v>
      </c>
    </row>
    <row r="2283" spans="3:4">
      <c r="C2283" s="45"/>
      <c r="D2283" t="str">
        <f t="shared" si="43"/>
        <v>_</v>
      </c>
    </row>
    <row r="2284" spans="3:4">
      <c r="C2284" s="45"/>
      <c r="D2284" t="str">
        <f t="shared" si="43"/>
        <v>_</v>
      </c>
    </row>
    <row r="2285" spans="3:4">
      <c r="C2285" s="45"/>
      <c r="D2285" t="str">
        <f t="shared" si="43"/>
        <v>_</v>
      </c>
    </row>
    <row r="2286" spans="3:4">
      <c r="C2286" s="45"/>
      <c r="D2286" t="str">
        <f t="shared" ref="D2286:D2349" si="44">_xlfn.CONCAT(A2286,"_",B2286)</f>
        <v>_</v>
      </c>
    </row>
    <row r="2287" spans="3:4">
      <c r="C2287" s="45"/>
      <c r="D2287" t="str">
        <f t="shared" si="44"/>
        <v>_</v>
      </c>
    </row>
    <row r="2288" spans="3:4">
      <c r="C2288" s="45"/>
      <c r="D2288" t="str">
        <f t="shared" si="44"/>
        <v>_</v>
      </c>
    </row>
    <row r="2289" spans="3:4">
      <c r="C2289" s="45"/>
      <c r="D2289" t="str">
        <f t="shared" si="44"/>
        <v>_</v>
      </c>
    </row>
    <row r="2290" spans="3:4">
      <c r="C2290" s="45"/>
      <c r="D2290" t="str">
        <f t="shared" si="44"/>
        <v>_</v>
      </c>
    </row>
    <row r="2291" spans="3:4">
      <c r="C2291" s="45"/>
      <c r="D2291" t="str">
        <f t="shared" si="44"/>
        <v>_</v>
      </c>
    </row>
    <row r="2292" spans="3:4">
      <c r="C2292" s="45"/>
      <c r="D2292" t="str">
        <f t="shared" si="44"/>
        <v>_</v>
      </c>
    </row>
    <row r="2293" spans="3:4">
      <c r="C2293" s="45"/>
      <c r="D2293" t="str">
        <f t="shared" si="44"/>
        <v>_</v>
      </c>
    </row>
    <row r="2294" spans="3:4">
      <c r="C2294" s="45"/>
      <c r="D2294" t="str">
        <f t="shared" si="44"/>
        <v>_</v>
      </c>
    </row>
    <row r="2295" spans="3:4">
      <c r="C2295" s="45"/>
      <c r="D2295" t="str">
        <f t="shared" si="44"/>
        <v>_</v>
      </c>
    </row>
    <row r="2296" spans="3:4">
      <c r="C2296" s="45"/>
      <c r="D2296" t="str">
        <f t="shared" si="44"/>
        <v>_</v>
      </c>
    </row>
    <row r="2297" spans="3:4">
      <c r="C2297" s="45"/>
      <c r="D2297" t="str">
        <f t="shared" si="44"/>
        <v>_</v>
      </c>
    </row>
    <row r="2298" spans="3:4">
      <c r="C2298" s="45"/>
      <c r="D2298" t="str">
        <f t="shared" si="44"/>
        <v>_</v>
      </c>
    </row>
    <row r="2299" spans="3:4">
      <c r="C2299" s="45"/>
      <c r="D2299" t="str">
        <f t="shared" si="44"/>
        <v>_</v>
      </c>
    </row>
    <row r="2300" spans="3:4">
      <c r="C2300" s="45"/>
      <c r="D2300" t="str">
        <f t="shared" si="44"/>
        <v>_</v>
      </c>
    </row>
    <row r="2301" spans="3:4">
      <c r="C2301" s="45"/>
      <c r="D2301" t="str">
        <f t="shared" si="44"/>
        <v>_</v>
      </c>
    </row>
    <row r="2302" spans="3:4">
      <c r="C2302" s="45"/>
      <c r="D2302" t="str">
        <f t="shared" si="44"/>
        <v>_</v>
      </c>
    </row>
    <row r="2303" spans="3:4">
      <c r="C2303" s="45"/>
      <c r="D2303" t="str">
        <f t="shared" si="44"/>
        <v>_</v>
      </c>
    </row>
    <row r="2304" spans="3:4">
      <c r="C2304" s="45"/>
      <c r="D2304" t="str">
        <f t="shared" si="44"/>
        <v>_</v>
      </c>
    </row>
    <row r="2305" spans="3:4">
      <c r="C2305" s="45"/>
      <c r="D2305" t="str">
        <f t="shared" si="44"/>
        <v>_</v>
      </c>
    </row>
    <row r="2306" spans="3:4">
      <c r="C2306" s="45"/>
      <c r="D2306" t="str">
        <f t="shared" si="44"/>
        <v>_</v>
      </c>
    </row>
    <row r="2307" spans="3:4">
      <c r="C2307" s="45"/>
      <c r="D2307" t="str">
        <f t="shared" si="44"/>
        <v>_</v>
      </c>
    </row>
    <row r="2308" spans="3:4">
      <c r="C2308" s="45"/>
      <c r="D2308" t="str">
        <f t="shared" si="44"/>
        <v>_</v>
      </c>
    </row>
    <row r="2309" spans="3:4">
      <c r="C2309" s="45"/>
      <c r="D2309" t="str">
        <f t="shared" si="44"/>
        <v>_</v>
      </c>
    </row>
    <row r="2310" spans="3:4">
      <c r="C2310" s="45"/>
      <c r="D2310" t="str">
        <f t="shared" si="44"/>
        <v>_</v>
      </c>
    </row>
    <row r="2311" spans="3:4">
      <c r="C2311" s="45"/>
      <c r="D2311" t="str">
        <f t="shared" si="44"/>
        <v>_</v>
      </c>
    </row>
    <row r="2312" spans="3:4">
      <c r="C2312" s="45"/>
      <c r="D2312" t="str">
        <f t="shared" si="44"/>
        <v>_</v>
      </c>
    </row>
    <row r="2313" spans="3:4">
      <c r="C2313" s="45"/>
      <c r="D2313" t="str">
        <f t="shared" si="44"/>
        <v>_</v>
      </c>
    </row>
    <row r="2314" spans="3:4">
      <c r="C2314" s="45"/>
      <c r="D2314" t="str">
        <f t="shared" si="44"/>
        <v>_</v>
      </c>
    </row>
    <row r="2315" spans="3:4">
      <c r="C2315" s="45"/>
      <c r="D2315" t="str">
        <f t="shared" si="44"/>
        <v>_</v>
      </c>
    </row>
    <row r="2316" spans="3:4">
      <c r="C2316" s="45"/>
      <c r="D2316" t="str">
        <f t="shared" si="44"/>
        <v>_</v>
      </c>
    </row>
    <row r="2317" spans="3:4">
      <c r="C2317" s="45"/>
      <c r="D2317" t="str">
        <f t="shared" si="44"/>
        <v>_</v>
      </c>
    </row>
    <row r="2318" spans="3:4">
      <c r="C2318" s="45"/>
      <c r="D2318" t="str">
        <f t="shared" si="44"/>
        <v>_</v>
      </c>
    </row>
    <row r="2319" spans="3:4">
      <c r="C2319" s="45"/>
      <c r="D2319" t="str">
        <f t="shared" si="44"/>
        <v>_</v>
      </c>
    </row>
    <row r="2320" spans="3:4">
      <c r="C2320" s="45"/>
      <c r="D2320" t="str">
        <f t="shared" si="44"/>
        <v>_</v>
      </c>
    </row>
    <row r="2321" spans="3:4">
      <c r="C2321" s="45"/>
      <c r="D2321" t="str">
        <f t="shared" si="44"/>
        <v>_</v>
      </c>
    </row>
    <row r="2322" spans="3:4">
      <c r="C2322" s="45"/>
      <c r="D2322" t="str">
        <f t="shared" si="44"/>
        <v>_</v>
      </c>
    </row>
    <row r="2323" spans="3:4">
      <c r="C2323" s="45"/>
      <c r="D2323" t="str">
        <f t="shared" si="44"/>
        <v>_</v>
      </c>
    </row>
    <row r="2324" spans="3:4">
      <c r="C2324" s="45"/>
      <c r="D2324" t="str">
        <f t="shared" si="44"/>
        <v>_</v>
      </c>
    </row>
    <row r="2325" spans="3:4">
      <c r="C2325" s="45"/>
      <c r="D2325" t="str">
        <f t="shared" si="44"/>
        <v>_</v>
      </c>
    </row>
    <row r="2326" spans="3:4">
      <c r="C2326" s="45"/>
      <c r="D2326" t="str">
        <f t="shared" si="44"/>
        <v>_</v>
      </c>
    </row>
    <row r="2327" spans="3:4">
      <c r="C2327" s="45"/>
      <c r="D2327" t="str">
        <f t="shared" si="44"/>
        <v>_</v>
      </c>
    </row>
    <row r="2328" spans="3:4">
      <c r="C2328" s="45"/>
      <c r="D2328" t="str">
        <f t="shared" si="44"/>
        <v>_</v>
      </c>
    </row>
    <row r="2329" spans="3:4">
      <c r="C2329" s="45"/>
      <c r="D2329" t="str">
        <f t="shared" si="44"/>
        <v>_</v>
      </c>
    </row>
    <row r="2330" spans="3:4">
      <c r="C2330" s="45"/>
      <c r="D2330" t="str">
        <f t="shared" si="44"/>
        <v>_</v>
      </c>
    </row>
    <row r="2331" spans="3:4">
      <c r="C2331" s="45"/>
      <c r="D2331" t="str">
        <f t="shared" si="44"/>
        <v>_</v>
      </c>
    </row>
    <row r="2332" spans="3:4">
      <c r="C2332" s="45"/>
      <c r="D2332" t="str">
        <f t="shared" si="44"/>
        <v>_</v>
      </c>
    </row>
    <row r="2333" spans="3:4">
      <c r="C2333" s="45"/>
      <c r="D2333" t="str">
        <f t="shared" si="44"/>
        <v>_</v>
      </c>
    </row>
    <row r="2334" spans="3:4">
      <c r="C2334" s="45"/>
      <c r="D2334" t="str">
        <f t="shared" si="44"/>
        <v>_</v>
      </c>
    </row>
    <row r="2335" spans="3:4">
      <c r="C2335" s="45"/>
      <c r="D2335" t="str">
        <f t="shared" si="44"/>
        <v>_</v>
      </c>
    </row>
    <row r="2336" spans="3:4">
      <c r="C2336" s="45"/>
      <c r="D2336" t="str">
        <f t="shared" si="44"/>
        <v>_</v>
      </c>
    </row>
    <row r="2337" spans="3:4">
      <c r="C2337" s="45"/>
      <c r="D2337" t="str">
        <f t="shared" si="44"/>
        <v>_</v>
      </c>
    </row>
    <row r="2338" spans="3:4">
      <c r="C2338" s="45"/>
      <c r="D2338" t="str">
        <f t="shared" si="44"/>
        <v>_</v>
      </c>
    </row>
    <row r="2339" spans="3:4">
      <c r="C2339" s="45"/>
      <c r="D2339" t="str">
        <f t="shared" si="44"/>
        <v>_</v>
      </c>
    </row>
    <row r="2340" spans="3:4">
      <c r="C2340" s="45"/>
      <c r="D2340" t="str">
        <f t="shared" si="44"/>
        <v>_</v>
      </c>
    </row>
    <row r="2341" spans="3:4">
      <c r="C2341" s="45"/>
      <c r="D2341" t="str">
        <f t="shared" si="44"/>
        <v>_</v>
      </c>
    </row>
    <row r="2342" spans="3:4">
      <c r="C2342" s="45"/>
      <c r="D2342" t="str">
        <f t="shared" si="44"/>
        <v>_</v>
      </c>
    </row>
    <row r="2343" spans="3:4">
      <c r="C2343" s="45"/>
      <c r="D2343" t="str">
        <f t="shared" si="44"/>
        <v>_</v>
      </c>
    </row>
    <row r="2344" spans="3:4">
      <c r="C2344" s="45"/>
      <c r="D2344" t="str">
        <f t="shared" si="44"/>
        <v>_</v>
      </c>
    </row>
    <row r="2345" spans="3:4">
      <c r="C2345" s="45"/>
      <c r="D2345" t="str">
        <f t="shared" si="44"/>
        <v>_</v>
      </c>
    </row>
    <row r="2346" spans="3:4">
      <c r="C2346" s="45"/>
      <c r="D2346" t="str">
        <f t="shared" si="44"/>
        <v>_</v>
      </c>
    </row>
    <row r="2347" spans="3:4">
      <c r="C2347" s="45"/>
      <c r="D2347" t="str">
        <f t="shared" si="44"/>
        <v>_</v>
      </c>
    </row>
    <row r="2348" spans="3:4">
      <c r="C2348" s="45"/>
      <c r="D2348" t="str">
        <f t="shared" si="44"/>
        <v>_</v>
      </c>
    </row>
    <row r="2349" spans="3:4">
      <c r="C2349" s="45"/>
      <c r="D2349" t="str">
        <f t="shared" si="44"/>
        <v>_</v>
      </c>
    </row>
    <row r="2350" spans="3:4">
      <c r="C2350" s="45"/>
      <c r="D2350" t="str">
        <f t="shared" ref="D2350:D2413" si="45">_xlfn.CONCAT(A2350,"_",B2350)</f>
        <v>_</v>
      </c>
    </row>
    <row r="2351" spans="3:4">
      <c r="C2351" s="45"/>
      <c r="D2351" t="str">
        <f t="shared" si="45"/>
        <v>_</v>
      </c>
    </row>
    <row r="2352" spans="3:4">
      <c r="C2352" s="45"/>
      <c r="D2352" t="str">
        <f t="shared" si="45"/>
        <v>_</v>
      </c>
    </row>
    <row r="2353" spans="3:4">
      <c r="C2353" s="45"/>
      <c r="D2353" t="str">
        <f t="shared" si="45"/>
        <v>_</v>
      </c>
    </row>
    <row r="2354" spans="3:4">
      <c r="C2354" s="45"/>
      <c r="D2354" t="str">
        <f t="shared" si="45"/>
        <v>_</v>
      </c>
    </row>
    <row r="2355" spans="3:4">
      <c r="C2355" s="45"/>
      <c r="D2355" t="str">
        <f t="shared" si="45"/>
        <v>_</v>
      </c>
    </row>
    <row r="2356" spans="3:4">
      <c r="C2356" s="45"/>
      <c r="D2356" t="str">
        <f t="shared" si="45"/>
        <v>_</v>
      </c>
    </row>
    <row r="2357" spans="3:4">
      <c r="C2357" s="45"/>
      <c r="D2357" t="str">
        <f t="shared" si="45"/>
        <v>_</v>
      </c>
    </row>
    <row r="2358" spans="3:4">
      <c r="C2358" s="45"/>
      <c r="D2358" t="str">
        <f t="shared" si="45"/>
        <v>_</v>
      </c>
    </row>
    <row r="2359" spans="3:4">
      <c r="C2359" s="45"/>
      <c r="D2359" t="str">
        <f t="shared" si="45"/>
        <v>_</v>
      </c>
    </row>
    <row r="2360" spans="3:4">
      <c r="C2360" s="45"/>
      <c r="D2360" t="str">
        <f t="shared" si="45"/>
        <v>_</v>
      </c>
    </row>
    <row r="2361" spans="3:4">
      <c r="C2361" s="45"/>
      <c r="D2361" t="str">
        <f t="shared" si="45"/>
        <v>_</v>
      </c>
    </row>
    <row r="2362" spans="3:4">
      <c r="C2362" s="45"/>
      <c r="D2362" t="str">
        <f t="shared" si="45"/>
        <v>_</v>
      </c>
    </row>
    <row r="2363" spans="3:4">
      <c r="C2363" s="45"/>
      <c r="D2363" t="str">
        <f t="shared" si="45"/>
        <v>_</v>
      </c>
    </row>
    <row r="2364" spans="3:4">
      <c r="C2364" s="45"/>
      <c r="D2364" t="str">
        <f t="shared" si="45"/>
        <v>_</v>
      </c>
    </row>
    <row r="2365" spans="3:4">
      <c r="C2365" s="45"/>
      <c r="D2365" t="str">
        <f t="shared" si="45"/>
        <v>_</v>
      </c>
    </row>
    <row r="2366" spans="3:4">
      <c r="C2366" s="45"/>
      <c r="D2366" t="str">
        <f t="shared" si="45"/>
        <v>_</v>
      </c>
    </row>
    <row r="2367" spans="3:4">
      <c r="C2367" s="45"/>
      <c r="D2367" t="str">
        <f t="shared" si="45"/>
        <v>_</v>
      </c>
    </row>
    <row r="2368" spans="3:4">
      <c r="C2368" s="45"/>
      <c r="D2368" t="str">
        <f t="shared" si="45"/>
        <v>_</v>
      </c>
    </row>
    <row r="2369" spans="3:4">
      <c r="C2369" s="45"/>
      <c r="D2369" t="str">
        <f t="shared" si="45"/>
        <v>_</v>
      </c>
    </row>
    <row r="2370" spans="3:4">
      <c r="C2370" s="45"/>
      <c r="D2370" t="str">
        <f t="shared" si="45"/>
        <v>_</v>
      </c>
    </row>
    <row r="2371" spans="3:4">
      <c r="C2371" s="45"/>
      <c r="D2371" t="str">
        <f t="shared" si="45"/>
        <v>_</v>
      </c>
    </row>
    <row r="2372" spans="3:4">
      <c r="C2372" s="45"/>
      <c r="D2372" t="str">
        <f t="shared" si="45"/>
        <v>_</v>
      </c>
    </row>
    <row r="2373" spans="3:4">
      <c r="C2373" s="45"/>
      <c r="D2373" t="str">
        <f t="shared" si="45"/>
        <v>_</v>
      </c>
    </row>
    <row r="2374" spans="3:4">
      <c r="C2374" s="45"/>
      <c r="D2374" t="str">
        <f t="shared" si="45"/>
        <v>_</v>
      </c>
    </row>
    <row r="2375" spans="3:4">
      <c r="C2375" s="45"/>
      <c r="D2375" t="str">
        <f t="shared" si="45"/>
        <v>_</v>
      </c>
    </row>
    <row r="2376" spans="3:4">
      <c r="C2376" s="45"/>
      <c r="D2376" t="str">
        <f t="shared" si="45"/>
        <v>_</v>
      </c>
    </row>
    <row r="2377" spans="3:4">
      <c r="C2377" s="45"/>
      <c r="D2377" t="str">
        <f t="shared" si="45"/>
        <v>_</v>
      </c>
    </row>
    <row r="2378" spans="3:4">
      <c r="C2378" s="45"/>
      <c r="D2378" t="str">
        <f t="shared" si="45"/>
        <v>_</v>
      </c>
    </row>
    <row r="2379" spans="3:4">
      <c r="C2379" s="45"/>
      <c r="D2379" t="str">
        <f t="shared" si="45"/>
        <v>_</v>
      </c>
    </row>
    <row r="2380" spans="3:4">
      <c r="C2380" s="45"/>
      <c r="D2380" t="str">
        <f t="shared" si="45"/>
        <v>_</v>
      </c>
    </row>
    <row r="2381" spans="3:4">
      <c r="C2381" s="45"/>
      <c r="D2381" t="str">
        <f t="shared" si="45"/>
        <v>_</v>
      </c>
    </row>
    <row r="2382" spans="3:4">
      <c r="C2382" s="45"/>
      <c r="D2382" t="str">
        <f t="shared" si="45"/>
        <v>_</v>
      </c>
    </row>
    <row r="2383" spans="3:4">
      <c r="C2383" s="45"/>
      <c r="D2383" t="str">
        <f t="shared" si="45"/>
        <v>_</v>
      </c>
    </row>
    <row r="2384" spans="3:4">
      <c r="C2384" s="45"/>
      <c r="D2384" t="str">
        <f t="shared" si="45"/>
        <v>_</v>
      </c>
    </row>
    <row r="2385" spans="3:4">
      <c r="C2385" s="45"/>
      <c r="D2385" t="str">
        <f t="shared" si="45"/>
        <v>_</v>
      </c>
    </row>
    <row r="2386" spans="3:4">
      <c r="C2386" s="45"/>
      <c r="D2386" t="str">
        <f t="shared" si="45"/>
        <v>_</v>
      </c>
    </row>
    <row r="2387" spans="3:4">
      <c r="C2387" s="45"/>
      <c r="D2387" t="str">
        <f t="shared" si="45"/>
        <v>_</v>
      </c>
    </row>
    <row r="2388" spans="3:4">
      <c r="C2388" s="45"/>
      <c r="D2388" t="str">
        <f t="shared" si="45"/>
        <v>_</v>
      </c>
    </row>
    <row r="2389" spans="3:4">
      <c r="C2389" s="45"/>
      <c r="D2389" t="str">
        <f t="shared" si="45"/>
        <v>_</v>
      </c>
    </row>
    <row r="2390" spans="3:4">
      <c r="C2390" s="45"/>
      <c r="D2390" t="str">
        <f t="shared" si="45"/>
        <v>_</v>
      </c>
    </row>
    <row r="2391" spans="3:4">
      <c r="C2391" s="45"/>
      <c r="D2391" t="str">
        <f t="shared" si="45"/>
        <v>_</v>
      </c>
    </row>
    <row r="2392" spans="3:4">
      <c r="C2392" s="45"/>
      <c r="D2392" t="str">
        <f t="shared" si="45"/>
        <v>_</v>
      </c>
    </row>
    <row r="2393" spans="3:4">
      <c r="C2393" s="45"/>
      <c r="D2393" t="str">
        <f t="shared" si="45"/>
        <v>_</v>
      </c>
    </row>
    <row r="2394" spans="3:4">
      <c r="C2394" s="45"/>
      <c r="D2394" t="str">
        <f t="shared" si="45"/>
        <v>_</v>
      </c>
    </row>
    <row r="2395" spans="3:4">
      <c r="C2395" s="45"/>
      <c r="D2395" t="str">
        <f t="shared" si="45"/>
        <v>_</v>
      </c>
    </row>
    <row r="2396" spans="3:4">
      <c r="C2396" s="45"/>
      <c r="D2396" t="str">
        <f t="shared" si="45"/>
        <v>_</v>
      </c>
    </row>
    <row r="2397" spans="3:4">
      <c r="C2397" s="45"/>
      <c r="D2397" t="str">
        <f t="shared" si="45"/>
        <v>_</v>
      </c>
    </row>
    <row r="2398" spans="3:4">
      <c r="C2398" s="45"/>
      <c r="D2398" t="str">
        <f t="shared" si="45"/>
        <v>_</v>
      </c>
    </row>
    <row r="2399" spans="3:4">
      <c r="C2399" s="45"/>
      <c r="D2399" t="str">
        <f t="shared" si="45"/>
        <v>_</v>
      </c>
    </row>
    <row r="2400" spans="3:4">
      <c r="C2400" s="45"/>
      <c r="D2400" t="str">
        <f t="shared" si="45"/>
        <v>_</v>
      </c>
    </row>
    <row r="2401" spans="3:4">
      <c r="C2401" s="45"/>
      <c r="D2401" t="str">
        <f t="shared" si="45"/>
        <v>_</v>
      </c>
    </row>
    <row r="2402" spans="3:4">
      <c r="C2402" s="45"/>
      <c r="D2402" t="str">
        <f t="shared" si="45"/>
        <v>_</v>
      </c>
    </row>
    <row r="2403" spans="3:4">
      <c r="C2403" s="45"/>
      <c r="D2403" t="str">
        <f t="shared" si="45"/>
        <v>_</v>
      </c>
    </row>
    <row r="2404" spans="3:4">
      <c r="C2404" s="45"/>
      <c r="D2404" t="str">
        <f t="shared" si="45"/>
        <v>_</v>
      </c>
    </row>
    <row r="2405" spans="3:4">
      <c r="C2405" s="45"/>
      <c r="D2405" t="str">
        <f t="shared" si="45"/>
        <v>_</v>
      </c>
    </row>
    <row r="2406" spans="3:4">
      <c r="C2406" s="45"/>
      <c r="D2406" t="str">
        <f t="shared" si="45"/>
        <v>_</v>
      </c>
    </row>
    <row r="2407" spans="3:4">
      <c r="C2407" s="45"/>
      <c r="D2407" t="str">
        <f t="shared" si="45"/>
        <v>_</v>
      </c>
    </row>
    <row r="2408" spans="3:4">
      <c r="C2408" s="45"/>
      <c r="D2408" t="str">
        <f t="shared" si="45"/>
        <v>_</v>
      </c>
    </row>
    <row r="2409" spans="3:4">
      <c r="C2409" s="45"/>
      <c r="D2409" t="str">
        <f t="shared" si="45"/>
        <v>_</v>
      </c>
    </row>
    <row r="2410" spans="3:4">
      <c r="C2410" s="45"/>
      <c r="D2410" t="str">
        <f t="shared" si="45"/>
        <v>_</v>
      </c>
    </row>
    <row r="2411" spans="3:4">
      <c r="C2411" s="45"/>
      <c r="D2411" t="str">
        <f t="shared" si="45"/>
        <v>_</v>
      </c>
    </row>
    <row r="2412" spans="3:4">
      <c r="C2412" s="45"/>
      <c r="D2412" t="str">
        <f t="shared" si="45"/>
        <v>_</v>
      </c>
    </row>
    <row r="2413" spans="3:4">
      <c r="C2413" s="45"/>
      <c r="D2413" t="str">
        <f t="shared" si="45"/>
        <v>_</v>
      </c>
    </row>
    <row r="2414" spans="3:4">
      <c r="C2414" s="45"/>
      <c r="D2414" t="str">
        <f t="shared" ref="D2414:D2477" si="46">_xlfn.CONCAT(A2414,"_",B2414)</f>
        <v>_</v>
      </c>
    </row>
    <row r="2415" spans="3:4">
      <c r="C2415" s="45"/>
      <c r="D2415" t="str">
        <f t="shared" si="46"/>
        <v>_</v>
      </c>
    </row>
    <row r="2416" spans="3:4">
      <c r="C2416" s="45"/>
      <c r="D2416" t="str">
        <f t="shared" si="46"/>
        <v>_</v>
      </c>
    </row>
    <row r="2417" spans="3:4">
      <c r="C2417" s="45"/>
      <c r="D2417" t="str">
        <f t="shared" si="46"/>
        <v>_</v>
      </c>
    </row>
    <row r="2418" spans="3:4">
      <c r="C2418" s="45"/>
      <c r="D2418" t="str">
        <f t="shared" si="46"/>
        <v>_</v>
      </c>
    </row>
    <row r="2419" spans="3:4">
      <c r="C2419" s="45"/>
      <c r="D2419" t="str">
        <f t="shared" si="46"/>
        <v>_</v>
      </c>
    </row>
    <row r="2420" spans="3:4">
      <c r="C2420" s="45"/>
      <c r="D2420" t="str">
        <f t="shared" si="46"/>
        <v>_</v>
      </c>
    </row>
    <row r="2421" spans="3:4">
      <c r="C2421" s="45"/>
      <c r="D2421" t="str">
        <f t="shared" si="46"/>
        <v>_</v>
      </c>
    </row>
    <row r="2422" spans="3:4">
      <c r="C2422" s="45"/>
      <c r="D2422" t="str">
        <f t="shared" si="46"/>
        <v>_</v>
      </c>
    </row>
    <row r="2423" spans="3:4">
      <c r="C2423" s="45"/>
      <c r="D2423" t="str">
        <f t="shared" si="46"/>
        <v>_</v>
      </c>
    </row>
    <row r="2424" spans="3:4">
      <c r="C2424" s="45"/>
      <c r="D2424" t="str">
        <f t="shared" si="46"/>
        <v>_</v>
      </c>
    </row>
    <row r="2425" spans="3:4">
      <c r="C2425" s="45"/>
      <c r="D2425" t="str">
        <f t="shared" si="46"/>
        <v>_</v>
      </c>
    </row>
    <row r="2426" spans="3:4">
      <c r="C2426" s="45"/>
      <c r="D2426" t="str">
        <f t="shared" si="46"/>
        <v>_</v>
      </c>
    </row>
    <row r="2427" spans="3:4">
      <c r="C2427" s="45"/>
      <c r="D2427" t="str">
        <f t="shared" si="46"/>
        <v>_</v>
      </c>
    </row>
    <row r="2428" spans="3:4">
      <c r="C2428" s="45"/>
      <c r="D2428" t="str">
        <f t="shared" si="46"/>
        <v>_</v>
      </c>
    </row>
    <row r="2429" spans="3:4">
      <c r="C2429" s="45"/>
      <c r="D2429" t="str">
        <f t="shared" si="46"/>
        <v>_</v>
      </c>
    </row>
    <row r="2430" spans="3:4">
      <c r="C2430" s="45"/>
      <c r="D2430" t="str">
        <f t="shared" si="46"/>
        <v>_</v>
      </c>
    </row>
    <row r="2431" spans="3:4">
      <c r="C2431" s="45"/>
      <c r="D2431" t="str">
        <f t="shared" si="46"/>
        <v>_</v>
      </c>
    </row>
    <row r="2432" spans="3:4">
      <c r="C2432" s="45"/>
      <c r="D2432" t="str">
        <f t="shared" si="46"/>
        <v>_</v>
      </c>
    </row>
    <row r="2433" spans="3:4">
      <c r="C2433" s="45"/>
      <c r="D2433" t="str">
        <f t="shared" si="46"/>
        <v>_</v>
      </c>
    </row>
    <row r="2434" spans="3:4">
      <c r="C2434" s="45"/>
      <c r="D2434" t="str">
        <f t="shared" si="46"/>
        <v>_</v>
      </c>
    </row>
    <row r="2435" spans="3:4">
      <c r="C2435" s="45"/>
      <c r="D2435" t="str">
        <f t="shared" si="46"/>
        <v>_</v>
      </c>
    </row>
    <row r="2436" spans="3:4">
      <c r="C2436" s="45"/>
      <c r="D2436" t="str">
        <f t="shared" si="46"/>
        <v>_</v>
      </c>
    </row>
    <row r="2437" spans="3:4">
      <c r="C2437" s="45"/>
      <c r="D2437" t="str">
        <f t="shared" si="46"/>
        <v>_</v>
      </c>
    </row>
    <row r="2438" spans="3:4">
      <c r="C2438" s="45"/>
      <c r="D2438" t="str">
        <f t="shared" si="46"/>
        <v>_</v>
      </c>
    </row>
    <row r="2439" spans="3:4">
      <c r="C2439" s="45"/>
      <c r="D2439" t="str">
        <f t="shared" si="46"/>
        <v>_</v>
      </c>
    </row>
    <row r="2440" spans="3:4">
      <c r="C2440" s="45"/>
      <c r="D2440" t="str">
        <f t="shared" si="46"/>
        <v>_</v>
      </c>
    </row>
    <row r="2441" spans="3:4">
      <c r="C2441" s="45"/>
      <c r="D2441" t="str">
        <f t="shared" si="46"/>
        <v>_</v>
      </c>
    </row>
    <row r="2442" spans="3:4">
      <c r="C2442" s="45"/>
      <c r="D2442" t="str">
        <f t="shared" si="46"/>
        <v>_</v>
      </c>
    </row>
    <row r="2443" spans="3:4">
      <c r="C2443" s="45"/>
      <c r="D2443" t="str">
        <f t="shared" si="46"/>
        <v>_</v>
      </c>
    </row>
    <row r="2444" spans="3:4">
      <c r="C2444" s="45"/>
      <c r="D2444" t="str">
        <f t="shared" si="46"/>
        <v>_</v>
      </c>
    </row>
    <row r="2445" spans="3:4">
      <c r="C2445" s="45"/>
      <c r="D2445" t="str">
        <f t="shared" si="46"/>
        <v>_</v>
      </c>
    </row>
    <row r="2446" spans="3:4">
      <c r="C2446" s="45"/>
      <c r="D2446" t="str">
        <f t="shared" si="46"/>
        <v>_</v>
      </c>
    </row>
    <row r="2447" spans="3:4">
      <c r="C2447" s="45"/>
      <c r="D2447" t="str">
        <f t="shared" si="46"/>
        <v>_</v>
      </c>
    </row>
    <row r="2448" spans="3:4">
      <c r="C2448" s="45"/>
      <c r="D2448" t="str">
        <f t="shared" si="46"/>
        <v>_</v>
      </c>
    </row>
    <row r="2449" spans="3:4">
      <c r="C2449" s="45"/>
      <c r="D2449" t="str">
        <f t="shared" si="46"/>
        <v>_</v>
      </c>
    </row>
    <row r="2450" spans="3:4">
      <c r="C2450" s="45"/>
      <c r="D2450" t="str">
        <f t="shared" si="46"/>
        <v>_</v>
      </c>
    </row>
    <row r="2451" spans="3:4">
      <c r="C2451" s="45"/>
      <c r="D2451" t="str">
        <f t="shared" si="46"/>
        <v>_</v>
      </c>
    </row>
    <row r="2452" spans="3:4">
      <c r="C2452" s="45"/>
      <c r="D2452" t="str">
        <f t="shared" si="46"/>
        <v>_</v>
      </c>
    </row>
    <row r="2453" spans="3:4">
      <c r="C2453" s="45"/>
      <c r="D2453" t="str">
        <f t="shared" si="46"/>
        <v>_</v>
      </c>
    </row>
    <row r="2454" spans="3:4">
      <c r="C2454" s="45"/>
      <c r="D2454" t="str">
        <f t="shared" si="46"/>
        <v>_</v>
      </c>
    </row>
    <row r="2455" spans="3:4">
      <c r="C2455" s="45"/>
      <c r="D2455" t="str">
        <f t="shared" si="46"/>
        <v>_</v>
      </c>
    </row>
    <row r="2456" spans="3:4">
      <c r="C2456" s="45"/>
      <c r="D2456" t="str">
        <f t="shared" si="46"/>
        <v>_</v>
      </c>
    </row>
    <row r="2457" spans="3:4">
      <c r="C2457" s="45"/>
      <c r="D2457" t="str">
        <f t="shared" si="46"/>
        <v>_</v>
      </c>
    </row>
    <row r="2458" spans="3:4">
      <c r="C2458" s="45"/>
      <c r="D2458" t="str">
        <f t="shared" si="46"/>
        <v>_</v>
      </c>
    </row>
    <row r="2459" spans="3:4">
      <c r="C2459" s="45"/>
      <c r="D2459" t="str">
        <f t="shared" si="46"/>
        <v>_</v>
      </c>
    </row>
    <row r="2460" spans="3:4">
      <c r="C2460" s="45"/>
      <c r="D2460" t="str">
        <f t="shared" si="46"/>
        <v>_</v>
      </c>
    </row>
    <row r="2461" spans="3:4">
      <c r="C2461" s="45"/>
      <c r="D2461" t="str">
        <f t="shared" si="46"/>
        <v>_</v>
      </c>
    </row>
    <row r="2462" spans="3:4">
      <c r="C2462" s="45"/>
      <c r="D2462" t="str">
        <f t="shared" si="46"/>
        <v>_</v>
      </c>
    </row>
    <row r="2463" spans="3:4">
      <c r="C2463" s="45"/>
      <c r="D2463" t="str">
        <f t="shared" si="46"/>
        <v>_</v>
      </c>
    </row>
    <row r="2464" spans="3:4">
      <c r="C2464" s="45"/>
      <c r="D2464" t="str">
        <f t="shared" si="46"/>
        <v>_</v>
      </c>
    </row>
    <row r="2465" spans="3:4">
      <c r="C2465" s="45"/>
      <c r="D2465" t="str">
        <f t="shared" si="46"/>
        <v>_</v>
      </c>
    </row>
    <row r="2466" spans="3:4">
      <c r="C2466" s="45"/>
      <c r="D2466" t="str">
        <f t="shared" si="46"/>
        <v>_</v>
      </c>
    </row>
    <row r="2467" spans="3:4">
      <c r="C2467" s="45"/>
      <c r="D2467" t="str">
        <f t="shared" si="46"/>
        <v>_</v>
      </c>
    </row>
    <row r="2468" spans="3:4">
      <c r="C2468" s="45"/>
      <c r="D2468" t="str">
        <f t="shared" si="46"/>
        <v>_</v>
      </c>
    </row>
    <row r="2469" spans="3:4">
      <c r="C2469" s="45"/>
      <c r="D2469" t="str">
        <f t="shared" si="46"/>
        <v>_</v>
      </c>
    </row>
    <row r="2470" spans="3:4">
      <c r="C2470" s="45"/>
      <c r="D2470" t="str">
        <f t="shared" si="46"/>
        <v>_</v>
      </c>
    </row>
    <row r="2471" spans="3:4">
      <c r="C2471" s="45"/>
      <c r="D2471" t="str">
        <f t="shared" si="46"/>
        <v>_</v>
      </c>
    </row>
    <row r="2472" spans="3:4">
      <c r="C2472" s="45"/>
      <c r="D2472" t="str">
        <f t="shared" si="46"/>
        <v>_</v>
      </c>
    </row>
    <row r="2473" spans="3:4">
      <c r="C2473" s="45"/>
      <c r="D2473" t="str">
        <f t="shared" si="46"/>
        <v>_</v>
      </c>
    </row>
    <row r="2474" spans="3:4">
      <c r="C2474" s="45"/>
      <c r="D2474" t="str">
        <f t="shared" si="46"/>
        <v>_</v>
      </c>
    </row>
    <row r="2475" spans="3:4">
      <c r="C2475" s="45"/>
      <c r="D2475" t="str">
        <f t="shared" si="46"/>
        <v>_</v>
      </c>
    </row>
    <row r="2476" spans="3:4">
      <c r="C2476" s="45"/>
      <c r="D2476" t="str">
        <f t="shared" si="46"/>
        <v>_</v>
      </c>
    </row>
    <row r="2477" spans="3:4">
      <c r="C2477" s="45"/>
      <c r="D2477" t="str">
        <f t="shared" si="46"/>
        <v>_</v>
      </c>
    </row>
    <row r="2478" spans="3:4">
      <c r="C2478" s="45"/>
      <c r="D2478" t="str">
        <f t="shared" ref="D2478:D2541" si="47">_xlfn.CONCAT(A2478,"_",B2478)</f>
        <v>_</v>
      </c>
    </row>
    <row r="2479" spans="3:4">
      <c r="C2479" s="45"/>
      <c r="D2479" t="str">
        <f t="shared" si="47"/>
        <v>_</v>
      </c>
    </row>
    <row r="2480" spans="3:4">
      <c r="C2480" s="45"/>
      <c r="D2480" t="str">
        <f t="shared" si="47"/>
        <v>_</v>
      </c>
    </row>
    <row r="2481" spans="3:4">
      <c r="C2481" s="45"/>
      <c r="D2481" t="str">
        <f t="shared" si="47"/>
        <v>_</v>
      </c>
    </row>
    <row r="2482" spans="3:4">
      <c r="C2482" s="45"/>
      <c r="D2482" t="str">
        <f t="shared" si="47"/>
        <v>_</v>
      </c>
    </row>
    <row r="2483" spans="3:4">
      <c r="C2483" s="45"/>
      <c r="D2483" t="str">
        <f t="shared" si="47"/>
        <v>_</v>
      </c>
    </row>
    <row r="2484" spans="3:4">
      <c r="C2484" s="45"/>
      <c r="D2484" t="str">
        <f t="shared" si="47"/>
        <v>_</v>
      </c>
    </row>
    <row r="2485" spans="3:4">
      <c r="C2485" s="45"/>
      <c r="D2485" t="str">
        <f t="shared" si="47"/>
        <v>_</v>
      </c>
    </row>
    <row r="2486" spans="3:4">
      <c r="C2486" s="45"/>
      <c r="D2486" t="str">
        <f t="shared" si="47"/>
        <v>_</v>
      </c>
    </row>
    <row r="2487" spans="3:4">
      <c r="C2487" s="45"/>
      <c r="D2487" t="str">
        <f t="shared" si="47"/>
        <v>_</v>
      </c>
    </row>
    <row r="2488" spans="3:4">
      <c r="C2488" s="45"/>
      <c r="D2488" t="str">
        <f t="shared" si="47"/>
        <v>_</v>
      </c>
    </row>
    <row r="2489" spans="3:4">
      <c r="C2489" s="45"/>
      <c r="D2489" t="str">
        <f t="shared" si="47"/>
        <v>_</v>
      </c>
    </row>
    <row r="2490" spans="3:4">
      <c r="C2490" s="45"/>
      <c r="D2490" t="str">
        <f t="shared" si="47"/>
        <v>_</v>
      </c>
    </row>
    <row r="2491" spans="3:4">
      <c r="C2491" s="45"/>
      <c r="D2491" t="str">
        <f t="shared" si="47"/>
        <v>_</v>
      </c>
    </row>
    <row r="2492" spans="3:4">
      <c r="C2492" s="45"/>
      <c r="D2492" t="str">
        <f t="shared" si="47"/>
        <v>_</v>
      </c>
    </row>
    <row r="2493" spans="3:4">
      <c r="C2493" s="45"/>
      <c r="D2493" t="str">
        <f t="shared" si="47"/>
        <v>_</v>
      </c>
    </row>
    <row r="2494" spans="3:4">
      <c r="C2494" s="45"/>
      <c r="D2494" t="str">
        <f t="shared" si="47"/>
        <v>_</v>
      </c>
    </row>
    <row r="2495" spans="3:4">
      <c r="C2495" s="45"/>
      <c r="D2495" t="str">
        <f t="shared" si="47"/>
        <v>_</v>
      </c>
    </row>
    <row r="2496" spans="3:4">
      <c r="C2496" s="45"/>
      <c r="D2496" t="str">
        <f t="shared" si="47"/>
        <v>_</v>
      </c>
    </row>
    <row r="2497" spans="3:4">
      <c r="C2497" s="45"/>
      <c r="D2497" t="str">
        <f t="shared" si="47"/>
        <v>_</v>
      </c>
    </row>
    <row r="2498" spans="3:4">
      <c r="C2498" s="45"/>
      <c r="D2498" t="str">
        <f t="shared" si="47"/>
        <v>_</v>
      </c>
    </row>
    <row r="2499" spans="3:4">
      <c r="C2499" s="45"/>
      <c r="D2499" t="str">
        <f t="shared" si="47"/>
        <v>_</v>
      </c>
    </row>
    <row r="2500" spans="3:4">
      <c r="C2500" s="45"/>
      <c r="D2500" t="str">
        <f t="shared" si="47"/>
        <v>_</v>
      </c>
    </row>
    <row r="2501" spans="3:4">
      <c r="C2501" s="45"/>
      <c r="D2501" t="str">
        <f t="shared" si="47"/>
        <v>_</v>
      </c>
    </row>
    <row r="2502" spans="3:4">
      <c r="C2502" s="45"/>
      <c r="D2502" t="str">
        <f t="shared" si="47"/>
        <v>_</v>
      </c>
    </row>
    <row r="2503" spans="3:4">
      <c r="C2503" s="45"/>
      <c r="D2503" t="str">
        <f t="shared" si="47"/>
        <v>_</v>
      </c>
    </row>
    <row r="2504" spans="3:4">
      <c r="C2504" s="45"/>
      <c r="D2504" t="str">
        <f t="shared" si="47"/>
        <v>_</v>
      </c>
    </row>
    <row r="2505" spans="3:4">
      <c r="C2505" s="45"/>
      <c r="D2505" t="str">
        <f t="shared" si="47"/>
        <v>_</v>
      </c>
    </row>
    <row r="2506" spans="3:4">
      <c r="C2506" s="45"/>
      <c r="D2506" t="str">
        <f t="shared" si="47"/>
        <v>_</v>
      </c>
    </row>
    <row r="2507" spans="3:4">
      <c r="C2507" s="45"/>
      <c r="D2507" t="str">
        <f t="shared" si="47"/>
        <v>_</v>
      </c>
    </row>
    <row r="2508" spans="3:4">
      <c r="C2508" s="45"/>
      <c r="D2508" t="str">
        <f t="shared" si="47"/>
        <v>_</v>
      </c>
    </row>
    <row r="2509" spans="3:4">
      <c r="C2509" s="45"/>
      <c r="D2509" t="str">
        <f t="shared" si="47"/>
        <v>_</v>
      </c>
    </row>
    <row r="2510" spans="3:4">
      <c r="C2510" s="45"/>
      <c r="D2510" t="str">
        <f t="shared" si="47"/>
        <v>_</v>
      </c>
    </row>
    <row r="2511" spans="3:4">
      <c r="C2511" s="45"/>
      <c r="D2511" t="str">
        <f t="shared" si="47"/>
        <v>_</v>
      </c>
    </row>
    <row r="2512" spans="3:4">
      <c r="C2512" s="45"/>
      <c r="D2512" t="str">
        <f t="shared" si="47"/>
        <v>_</v>
      </c>
    </row>
    <row r="2513" spans="3:4">
      <c r="C2513" s="45"/>
      <c r="D2513" t="str">
        <f t="shared" si="47"/>
        <v>_</v>
      </c>
    </row>
    <row r="2514" spans="3:4">
      <c r="C2514" s="45"/>
      <c r="D2514" t="str">
        <f t="shared" si="47"/>
        <v>_</v>
      </c>
    </row>
    <row r="2515" spans="3:4">
      <c r="C2515" s="45"/>
      <c r="D2515" t="str">
        <f t="shared" si="47"/>
        <v>_</v>
      </c>
    </row>
    <row r="2516" spans="3:4">
      <c r="C2516" s="45"/>
      <c r="D2516" t="str">
        <f t="shared" si="47"/>
        <v>_</v>
      </c>
    </row>
    <row r="2517" spans="3:4">
      <c r="C2517" s="45"/>
      <c r="D2517" t="str">
        <f t="shared" si="47"/>
        <v>_</v>
      </c>
    </row>
    <row r="2518" spans="3:4">
      <c r="C2518" s="45"/>
      <c r="D2518" t="str">
        <f t="shared" si="47"/>
        <v>_</v>
      </c>
    </row>
    <row r="2519" spans="3:4">
      <c r="C2519" s="45"/>
      <c r="D2519" t="str">
        <f t="shared" si="47"/>
        <v>_</v>
      </c>
    </row>
    <row r="2520" spans="3:4">
      <c r="C2520" s="45"/>
      <c r="D2520" t="str">
        <f t="shared" si="47"/>
        <v>_</v>
      </c>
    </row>
    <row r="2521" spans="3:4">
      <c r="C2521" s="45"/>
      <c r="D2521" t="str">
        <f t="shared" si="47"/>
        <v>_</v>
      </c>
    </row>
    <row r="2522" spans="3:4">
      <c r="C2522" s="45"/>
      <c r="D2522" t="str">
        <f t="shared" si="47"/>
        <v>_</v>
      </c>
    </row>
    <row r="2523" spans="3:4">
      <c r="C2523" s="45"/>
      <c r="D2523" t="str">
        <f t="shared" si="47"/>
        <v>_</v>
      </c>
    </row>
    <row r="2524" spans="3:4">
      <c r="C2524" s="45"/>
      <c r="D2524" t="str">
        <f t="shared" si="47"/>
        <v>_</v>
      </c>
    </row>
    <row r="2525" spans="3:4">
      <c r="C2525" s="45"/>
      <c r="D2525" t="str">
        <f t="shared" si="47"/>
        <v>_</v>
      </c>
    </row>
    <row r="2526" spans="3:4">
      <c r="C2526" s="45"/>
      <c r="D2526" t="str">
        <f t="shared" si="47"/>
        <v>_</v>
      </c>
    </row>
    <row r="2527" spans="3:4">
      <c r="C2527" s="45"/>
      <c r="D2527" t="str">
        <f t="shared" si="47"/>
        <v>_</v>
      </c>
    </row>
    <row r="2528" spans="3:4">
      <c r="C2528" s="45"/>
      <c r="D2528" t="str">
        <f t="shared" si="47"/>
        <v>_</v>
      </c>
    </row>
    <row r="2529" spans="3:4">
      <c r="C2529" s="45"/>
      <c r="D2529" t="str">
        <f t="shared" si="47"/>
        <v>_</v>
      </c>
    </row>
    <row r="2530" spans="3:4">
      <c r="C2530" s="45"/>
      <c r="D2530" t="str">
        <f t="shared" si="47"/>
        <v>_</v>
      </c>
    </row>
    <row r="2531" spans="3:4">
      <c r="C2531" s="45"/>
      <c r="D2531" t="str">
        <f t="shared" si="47"/>
        <v>_</v>
      </c>
    </row>
    <row r="2532" spans="3:4">
      <c r="C2532" s="45"/>
      <c r="D2532" t="str">
        <f t="shared" si="47"/>
        <v>_</v>
      </c>
    </row>
    <row r="2533" spans="3:4">
      <c r="C2533" s="45"/>
      <c r="D2533" t="str">
        <f t="shared" si="47"/>
        <v>_</v>
      </c>
    </row>
    <row r="2534" spans="3:4">
      <c r="C2534" s="45"/>
      <c r="D2534" t="str">
        <f t="shared" si="47"/>
        <v>_</v>
      </c>
    </row>
    <row r="2535" spans="3:4">
      <c r="C2535" s="45"/>
      <c r="D2535" t="str">
        <f t="shared" si="47"/>
        <v>_</v>
      </c>
    </row>
    <row r="2536" spans="3:4">
      <c r="C2536" s="45"/>
      <c r="D2536" t="str">
        <f t="shared" si="47"/>
        <v>_</v>
      </c>
    </row>
    <row r="2537" spans="3:4">
      <c r="C2537" s="45"/>
      <c r="D2537" t="str">
        <f t="shared" si="47"/>
        <v>_</v>
      </c>
    </row>
    <row r="2538" spans="3:4">
      <c r="C2538" s="45"/>
      <c r="D2538" t="str">
        <f t="shared" si="47"/>
        <v>_</v>
      </c>
    </row>
    <row r="2539" spans="3:4">
      <c r="C2539" s="45"/>
      <c r="D2539" t="str">
        <f t="shared" si="47"/>
        <v>_</v>
      </c>
    </row>
    <row r="2540" spans="3:4">
      <c r="C2540" s="45"/>
      <c r="D2540" t="str">
        <f t="shared" si="47"/>
        <v>_</v>
      </c>
    </row>
    <row r="2541" spans="3:4">
      <c r="C2541" s="45"/>
      <c r="D2541" t="str">
        <f t="shared" si="47"/>
        <v>_</v>
      </c>
    </row>
    <row r="2542" spans="3:4">
      <c r="C2542" s="45"/>
      <c r="D2542" t="str">
        <f t="shared" ref="D2542:D2605" si="48">_xlfn.CONCAT(A2542,"_",B2542)</f>
        <v>_</v>
      </c>
    </row>
    <row r="2543" spans="3:4">
      <c r="C2543" s="45"/>
      <c r="D2543" t="str">
        <f t="shared" si="48"/>
        <v>_</v>
      </c>
    </row>
    <row r="2544" spans="3:4">
      <c r="C2544" s="45"/>
      <c r="D2544" t="str">
        <f t="shared" si="48"/>
        <v>_</v>
      </c>
    </row>
    <row r="2545" spans="3:4">
      <c r="C2545" s="45"/>
      <c r="D2545" t="str">
        <f t="shared" si="48"/>
        <v>_</v>
      </c>
    </row>
    <row r="2546" spans="3:4">
      <c r="C2546" s="45"/>
      <c r="D2546" t="str">
        <f t="shared" si="48"/>
        <v>_</v>
      </c>
    </row>
    <row r="2547" spans="3:4">
      <c r="C2547" s="45"/>
      <c r="D2547" t="str">
        <f t="shared" si="48"/>
        <v>_</v>
      </c>
    </row>
    <row r="2548" spans="3:4">
      <c r="C2548" s="45"/>
      <c r="D2548" t="str">
        <f t="shared" si="48"/>
        <v>_</v>
      </c>
    </row>
    <row r="2549" spans="3:4">
      <c r="C2549" s="45"/>
      <c r="D2549" t="str">
        <f t="shared" si="48"/>
        <v>_</v>
      </c>
    </row>
    <row r="2550" spans="3:4">
      <c r="C2550" s="45"/>
      <c r="D2550" t="str">
        <f t="shared" si="48"/>
        <v>_</v>
      </c>
    </row>
    <row r="2551" spans="3:4">
      <c r="C2551" s="45"/>
      <c r="D2551" t="str">
        <f t="shared" si="48"/>
        <v>_</v>
      </c>
    </row>
    <row r="2552" spans="3:4">
      <c r="C2552" s="45"/>
      <c r="D2552" t="str">
        <f t="shared" si="48"/>
        <v>_</v>
      </c>
    </row>
    <row r="2553" spans="3:4">
      <c r="C2553" s="45"/>
      <c r="D2553" t="str">
        <f t="shared" si="48"/>
        <v>_</v>
      </c>
    </row>
    <row r="2554" spans="3:4">
      <c r="C2554" s="45"/>
      <c r="D2554" t="str">
        <f t="shared" si="48"/>
        <v>_</v>
      </c>
    </row>
    <row r="2555" spans="3:4">
      <c r="C2555" s="45"/>
      <c r="D2555" t="str">
        <f t="shared" si="48"/>
        <v>_</v>
      </c>
    </row>
    <row r="2556" spans="3:4">
      <c r="C2556" s="45"/>
      <c r="D2556" t="str">
        <f t="shared" si="48"/>
        <v>_</v>
      </c>
    </row>
    <row r="2557" spans="3:4">
      <c r="C2557" s="45"/>
      <c r="D2557" t="str">
        <f t="shared" si="48"/>
        <v>_</v>
      </c>
    </row>
    <row r="2558" spans="3:4">
      <c r="C2558" s="45"/>
      <c r="D2558" t="str">
        <f t="shared" si="48"/>
        <v>_</v>
      </c>
    </row>
    <row r="2559" spans="3:4">
      <c r="C2559" s="45"/>
      <c r="D2559" t="str">
        <f t="shared" si="48"/>
        <v>_</v>
      </c>
    </row>
    <row r="2560" spans="3:4">
      <c r="C2560" s="45"/>
      <c r="D2560" t="str">
        <f t="shared" si="48"/>
        <v>_</v>
      </c>
    </row>
    <row r="2561" spans="3:4">
      <c r="C2561" s="45"/>
      <c r="D2561" t="str">
        <f t="shared" si="48"/>
        <v>_</v>
      </c>
    </row>
    <row r="2562" spans="3:4">
      <c r="C2562" s="45"/>
      <c r="D2562" t="str">
        <f t="shared" si="48"/>
        <v>_</v>
      </c>
    </row>
    <row r="2563" spans="3:4">
      <c r="C2563" s="45"/>
      <c r="D2563" t="str">
        <f t="shared" si="48"/>
        <v>_</v>
      </c>
    </row>
    <row r="2564" spans="3:4">
      <c r="C2564" s="45"/>
      <c r="D2564" t="str">
        <f t="shared" si="48"/>
        <v>_</v>
      </c>
    </row>
    <row r="2565" spans="3:4">
      <c r="C2565" s="45"/>
      <c r="D2565" t="str">
        <f t="shared" si="48"/>
        <v>_</v>
      </c>
    </row>
    <row r="2566" spans="3:4">
      <c r="C2566" s="45"/>
      <c r="D2566" t="str">
        <f t="shared" si="48"/>
        <v>_</v>
      </c>
    </row>
    <row r="2567" spans="3:4">
      <c r="C2567" s="45"/>
      <c r="D2567" t="str">
        <f t="shared" si="48"/>
        <v>_</v>
      </c>
    </row>
    <row r="2568" spans="3:4">
      <c r="C2568" s="45"/>
      <c r="D2568" t="str">
        <f t="shared" si="48"/>
        <v>_</v>
      </c>
    </row>
    <row r="2569" spans="3:4">
      <c r="C2569" s="45"/>
      <c r="D2569" t="str">
        <f t="shared" si="48"/>
        <v>_</v>
      </c>
    </row>
    <row r="2570" spans="3:4">
      <c r="C2570" s="45"/>
      <c r="D2570" t="str">
        <f t="shared" si="48"/>
        <v>_</v>
      </c>
    </row>
    <row r="2571" spans="3:4">
      <c r="C2571" s="45"/>
      <c r="D2571" t="str">
        <f t="shared" si="48"/>
        <v>_</v>
      </c>
    </row>
    <row r="2572" spans="3:4">
      <c r="C2572" s="45"/>
      <c r="D2572" t="str">
        <f t="shared" si="48"/>
        <v>_</v>
      </c>
    </row>
    <row r="2573" spans="3:4">
      <c r="C2573" s="45"/>
      <c r="D2573" t="str">
        <f t="shared" si="48"/>
        <v>_</v>
      </c>
    </row>
    <row r="2574" spans="3:4">
      <c r="C2574" s="45"/>
      <c r="D2574" t="str">
        <f t="shared" si="48"/>
        <v>_</v>
      </c>
    </row>
    <row r="2575" spans="3:4">
      <c r="C2575" s="45"/>
      <c r="D2575" t="str">
        <f t="shared" si="48"/>
        <v>_</v>
      </c>
    </row>
    <row r="2576" spans="3:4">
      <c r="C2576" s="45"/>
      <c r="D2576" t="str">
        <f t="shared" si="48"/>
        <v>_</v>
      </c>
    </row>
    <row r="2577" spans="3:4">
      <c r="C2577" s="45"/>
      <c r="D2577" t="str">
        <f t="shared" si="48"/>
        <v>_</v>
      </c>
    </row>
    <row r="2578" spans="3:4">
      <c r="C2578" s="45"/>
      <c r="D2578" t="str">
        <f t="shared" si="48"/>
        <v>_</v>
      </c>
    </row>
    <row r="2579" spans="3:4">
      <c r="C2579" s="45"/>
      <c r="D2579" t="str">
        <f t="shared" si="48"/>
        <v>_</v>
      </c>
    </row>
    <row r="2580" spans="3:4">
      <c r="C2580" s="45"/>
      <c r="D2580" t="str">
        <f t="shared" si="48"/>
        <v>_</v>
      </c>
    </row>
    <row r="2581" spans="3:4">
      <c r="C2581" s="45"/>
      <c r="D2581" t="str">
        <f t="shared" si="48"/>
        <v>_</v>
      </c>
    </row>
    <row r="2582" spans="3:4">
      <c r="C2582" s="45"/>
      <c r="D2582" t="str">
        <f t="shared" si="48"/>
        <v>_</v>
      </c>
    </row>
    <row r="2583" spans="3:4">
      <c r="C2583" s="45"/>
      <c r="D2583" t="str">
        <f t="shared" si="48"/>
        <v>_</v>
      </c>
    </row>
    <row r="2584" spans="3:4">
      <c r="C2584" s="45"/>
      <c r="D2584" t="str">
        <f t="shared" si="48"/>
        <v>_</v>
      </c>
    </row>
    <row r="2585" spans="3:4">
      <c r="C2585" s="45"/>
      <c r="D2585" t="str">
        <f t="shared" si="48"/>
        <v>_</v>
      </c>
    </row>
    <row r="2586" spans="3:4">
      <c r="C2586" s="45"/>
      <c r="D2586" t="str">
        <f t="shared" si="48"/>
        <v>_</v>
      </c>
    </row>
    <row r="2587" spans="3:4">
      <c r="C2587" s="45"/>
      <c r="D2587" t="str">
        <f t="shared" si="48"/>
        <v>_</v>
      </c>
    </row>
    <row r="2588" spans="3:4">
      <c r="C2588" s="45"/>
      <c r="D2588" t="str">
        <f t="shared" si="48"/>
        <v>_</v>
      </c>
    </row>
    <row r="2589" spans="3:4">
      <c r="C2589" s="45"/>
      <c r="D2589" t="str">
        <f t="shared" si="48"/>
        <v>_</v>
      </c>
    </row>
    <row r="2590" spans="3:4">
      <c r="C2590" s="45"/>
      <c r="D2590" t="str">
        <f t="shared" si="48"/>
        <v>_</v>
      </c>
    </row>
    <row r="2591" spans="3:4">
      <c r="C2591" s="45"/>
      <c r="D2591" t="str">
        <f t="shared" si="48"/>
        <v>_</v>
      </c>
    </row>
    <row r="2592" spans="3:4">
      <c r="C2592" s="45"/>
      <c r="D2592" t="str">
        <f t="shared" si="48"/>
        <v>_</v>
      </c>
    </row>
    <row r="2593" spans="3:4">
      <c r="C2593" s="45"/>
      <c r="D2593" t="str">
        <f t="shared" si="48"/>
        <v>_</v>
      </c>
    </row>
    <row r="2594" spans="3:4">
      <c r="C2594" s="45"/>
      <c r="D2594" t="str">
        <f t="shared" si="48"/>
        <v>_</v>
      </c>
    </row>
    <row r="2595" spans="3:4">
      <c r="C2595" s="45"/>
      <c r="D2595" t="str">
        <f t="shared" si="48"/>
        <v>_</v>
      </c>
    </row>
    <row r="2596" spans="3:4">
      <c r="C2596" s="45"/>
      <c r="D2596" t="str">
        <f t="shared" si="48"/>
        <v>_</v>
      </c>
    </row>
    <row r="2597" spans="3:4">
      <c r="C2597" s="45"/>
      <c r="D2597" t="str">
        <f t="shared" si="48"/>
        <v>_</v>
      </c>
    </row>
    <row r="2598" spans="3:4">
      <c r="C2598" s="45"/>
      <c r="D2598" t="str">
        <f t="shared" si="48"/>
        <v>_</v>
      </c>
    </row>
    <row r="2599" spans="3:4">
      <c r="C2599" s="45"/>
      <c r="D2599" t="str">
        <f t="shared" si="48"/>
        <v>_</v>
      </c>
    </row>
    <row r="2600" spans="3:4">
      <c r="C2600" s="45"/>
      <c r="D2600" t="str">
        <f t="shared" si="48"/>
        <v>_</v>
      </c>
    </row>
    <row r="2601" spans="3:4">
      <c r="C2601" s="45"/>
      <c r="D2601" t="str">
        <f t="shared" si="48"/>
        <v>_</v>
      </c>
    </row>
    <row r="2602" spans="3:4">
      <c r="C2602" s="45"/>
      <c r="D2602" t="str">
        <f t="shared" si="48"/>
        <v>_</v>
      </c>
    </row>
    <row r="2603" spans="3:4">
      <c r="C2603" s="45"/>
      <c r="D2603" t="str">
        <f t="shared" si="48"/>
        <v>_</v>
      </c>
    </row>
    <row r="2604" spans="3:4">
      <c r="C2604" s="45"/>
      <c r="D2604" t="str">
        <f t="shared" si="48"/>
        <v>_</v>
      </c>
    </row>
    <row r="2605" spans="3:4">
      <c r="C2605" s="45"/>
      <c r="D2605" t="str">
        <f t="shared" si="48"/>
        <v>_</v>
      </c>
    </row>
    <row r="2606" spans="3:4">
      <c r="C2606" s="45"/>
      <c r="D2606" t="str">
        <f t="shared" ref="D2606:D2669" si="49">_xlfn.CONCAT(A2606,"_",B2606)</f>
        <v>_</v>
      </c>
    </row>
    <row r="2607" spans="3:4">
      <c r="C2607" s="45"/>
      <c r="D2607" t="str">
        <f t="shared" si="49"/>
        <v>_</v>
      </c>
    </row>
    <row r="2608" spans="3:4">
      <c r="C2608" s="45"/>
      <c r="D2608" t="str">
        <f t="shared" si="49"/>
        <v>_</v>
      </c>
    </row>
    <row r="2609" spans="3:4">
      <c r="C2609" s="45"/>
      <c r="D2609" t="str">
        <f t="shared" si="49"/>
        <v>_</v>
      </c>
    </row>
    <row r="2610" spans="3:4">
      <c r="C2610" s="45"/>
      <c r="D2610" t="str">
        <f t="shared" si="49"/>
        <v>_</v>
      </c>
    </row>
    <row r="2611" spans="3:4">
      <c r="C2611" s="45"/>
      <c r="D2611" t="str">
        <f t="shared" si="49"/>
        <v>_</v>
      </c>
    </row>
    <row r="2612" spans="3:4">
      <c r="C2612" s="45"/>
      <c r="D2612" t="str">
        <f t="shared" si="49"/>
        <v>_</v>
      </c>
    </row>
    <row r="2613" spans="3:4">
      <c r="C2613" s="45"/>
      <c r="D2613" t="str">
        <f t="shared" si="49"/>
        <v>_</v>
      </c>
    </row>
    <row r="2614" spans="3:4">
      <c r="C2614" s="45"/>
      <c r="D2614" t="str">
        <f t="shared" si="49"/>
        <v>_</v>
      </c>
    </row>
    <row r="2615" spans="3:4">
      <c r="C2615" s="45"/>
      <c r="D2615" t="str">
        <f t="shared" si="49"/>
        <v>_</v>
      </c>
    </row>
    <row r="2616" spans="3:4">
      <c r="C2616" s="45"/>
      <c r="D2616" t="str">
        <f t="shared" si="49"/>
        <v>_</v>
      </c>
    </row>
    <row r="2617" spans="3:4">
      <c r="C2617" s="45"/>
      <c r="D2617" t="str">
        <f t="shared" si="49"/>
        <v>_</v>
      </c>
    </row>
    <row r="2618" spans="3:4">
      <c r="C2618" s="45"/>
      <c r="D2618" t="str">
        <f t="shared" si="49"/>
        <v>_</v>
      </c>
    </row>
    <row r="2619" spans="3:4">
      <c r="C2619" s="45"/>
      <c r="D2619" t="str">
        <f t="shared" si="49"/>
        <v>_</v>
      </c>
    </row>
    <row r="2620" spans="3:4">
      <c r="C2620" s="45"/>
      <c r="D2620" t="str">
        <f t="shared" si="49"/>
        <v>_</v>
      </c>
    </row>
    <row r="2621" spans="3:4">
      <c r="C2621" s="45"/>
      <c r="D2621" t="str">
        <f t="shared" si="49"/>
        <v>_</v>
      </c>
    </row>
    <row r="2622" spans="3:4">
      <c r="C2622" s="45"/>
      <c r="D2622" t="str">
        <f t="shared" si="49"/>
        <v>_</v>
      </c>
    </row>
    <row r="2623" spans="3:4">
      <c r="C2623" s="45"/>
      <c r="D2623" t="str">
        <f t="shared" si="49"/>
        <v>_</v>
      </c>
    </row>
    <row r="2624" spans="3:4">
      <c r="C2624" s="45"/>
      <c r="D2624" t="str">
        <f t="shared" si="49"/>
        <v>_</v>
      </c>
    </row>
    <row r="2625" spans="3:4">
      <c r="C2625" s="45"/>
      <c r="D2625" t="str">
        <f t="shared" si="49"/>
        <v>_</v>
      </c>
    </row>
    <row r="2626" spans="3:4">
      <c r="C2626" s="45"/>
      <c r="D2626" t="str">
        <f t="shared" si="49"/>
        <v>_</v>
      </c>
    </row>
    <row r="2627" spans="3:4">
      <c r="C2627" s="45"/>
      <c r="D2627" t="str">
        <f t="shared" si="49"/>
        <v>_</v>
      </c>
    </row>
    <row r="2628" spans="3:4">
      <c r="C2628" s="45"/>
      <c r="D2628" t="str">
        <f t="shared" si="49"/>
        <v>_</v>
      </c>
    </row>
    <row r="2629" spans="3:4">
      <c r="C2629" s="45"/>
      <c r="D2629" t="str">
        <f t="shared" si="49"/>
        <v>_</v>
      </c>
    </row>
    <row r="2630" spans="3:4">
      <c r="C2630" s="45"/>
      <c r="D2630" t="str">
        <f t="shared" si="49"/>
        <v>_</v>
      </c>
    </row>
    <row r="2631" spans="3:4">
      <c r="C2631" s="45"/>
      <c r="D2631" t="str">
        <f t="shared" si="49"/>
        <v>_</v>
      </c>
    </row>
    <row r="2632" spans="3:4">
      <c r="C2632" s="45"/>
      <c r="D2632" t="str">
        <f t="shared" si="49"/>
        <v>_</v>
      </c>
    </row>
    <row r="2633" spans="3:4">
      <c r="C2633" s="45"/>
      <c r="D2633" t="str">
        <f t="shared" si="49"/>
        <v>_</v>
      </c>
    </row>
    <row r="2634" spans="3:4">
      <c r="C2634" s="45"/>
      <c r="D2634" t="str">
        <f t="shared" si="49"/>
        <v>_</v>
      </c>
    </row>
    <row r="2635" spans="3:4">
      <c r="C2635" s="45"/>
      <c r="D2635" t="str">
        <f t="shared" si="49"/>
        <v>_</v>
      </c>
    </row>
    <row r="2636" spans="3:4">
      <c r="C2636" s="45"/>
      <c r="D2636" t="str">
        <f t="shared" si="49"/>
        <v>_</v>
      </c>
    </row>
    <row r="2637" spans="3:4">
      <c r="C2637" s="45"/>
      <c r="D2637" t="str">
        <f t="shared" si="49"/>
        <v>_</v>
      </c>
    </row>
    <row r="2638" spans="3:4">
      <c r="C2638" s="45"/>
      <c r="D2638" t="str">
        <f t="shared" si="49"/>
        <v>_</v>
      </c>
    </row>
    <row r="2639" spans="3:4">
      <c r="C2639" s="45"/>
      <c r="D2639" t="str">
        <f t="shared" si="49"/>
        <v>_</v>
      </c>
    </row>
    <row r="2640" spans="3:4">
      <c r="C2640" s="45"/>
      <c r="D2640" t="str">
        <f t="shared" si="49"/>
        <v>_</v>
      </c>
    </row>
    <row r="2641" spans="3:4">
      <c r="C2641" s="45"/>
      <c r="D2641" t="str">
        <f t="shared" si="49"/>
        <v>_</v>
      </c>
    </row>
    <row r="2642" spans="3:4">
      <c r="C2642" s="45"/>
      <c r="D2642" t="str">
        <f t="shared" si="49"/>
        <v>_</v>
      </c>
    </row>
    <row r="2643" spans="3:4">
      <c r="C2643" s="45"/>
      <c r="D2643" t="str">
        <f t="shared" si="49"/>
        <v>_</v>
      </c>
    </row>
    <row r="2644" spans="3:4">
      <c r="C2644" s="45"/>
      <c r="D2644" t="str">
        <f t="shared" si="49"/>
        <v>_</v>
      </c>
    </row>
    <row r="2645" spans="3:4">
      <c r="C2645" s="45"/>
      <c r="D2645" t="str">
        <f t="shared" si="49"/>
        <v>_</v>
      </c>
    </row>
    <row r="2646" spans="3:4">
      <c r="C2646" s="45"/>
      <c r="D2646" t="str">
        <f t="shared" si="49"/>
        <v>_</v>
      </c>
    </row>
    <row r="2647" spans="3:4">
      <c r="C2647" s="45"/>
      <c r="D2647" t="str">
        <f t="shared" si="49"/>
        <v>_</v>
      </c>
    </row>
    <row r="2648" spans="3:4">
      <c r="C2648" s="45"/>
      <c r="D2648" t="str">
        <f t="shared" si="49"/>
        <v>_</v>
      </c>
    </row>
    <row r="2649" spans="3:4">
      <c r="C2649" s="45"/>
      <c r="D2649" t="str">
        <f t="shared" si="49"/>
        <v>_</v>
      </c>
    </row>
    <row r="2650" spans="3:4">
      <c r="C2650" s="45"/>
      <c r="D2650" t="str">
        <f t="shared" si="49"/>
        <v>_</v>
      </c>
    </row>
    <row r="2651" spans="3:4">
      <c r="C2651" s="45"/>
      <c r="D2651" t="str">
        <f t="shared" si="49"/>
        <v>_</v>
      </c>
    </row>
    <row r="2652" spans="3:4">
      <c r="C2652" s="45"/>
      <c r="D2652" t="str">
        <f t="shared" si="49"/>
        <v>_</v>
      </c>
    </row>
    <row r="2653" spans="3:4">
      <c r="C2653" s="45"/>
      <c r="D2653" t="str">
        <f t="shared" si="49"/>
        <v>_</v>
      </c>
    </row>
    <row r="2654" spans="3:4">
      <c r="C2654" s="45"/>
      <c r="D2654" t="str">
        <f t="shared" si="49"/>
        <v>_</v>
      </c>
    </row>
    <row r="2655" spans="3:4">
      <c r="C2655" s="45"/>
      <c r="D2655" t="str">
        <f t="shared" si="49"/>
        <v>_</v>
      </c>
    </row>
    <row r="2656" spans="3:4">
      <c r="C2656" s="45"/>
      <c r="D2656" t="str">
        <f t="shared" si="49"/>
        <v>_</v>
      </c>
    </row>
    <row r="2657" spans="3:4">
      <c r="C2657" s="45"/>
      <c r="D2657" t="str">
        <f t="shared" si="49"/>
        <v>_</v>
      </c>
    </row>
    <row r="2658" spans="3:4">
      <c r="C2658" s="45"/>
      <c r="D2658" t="str">
        <f t="shared" si="49"/>
        <v>_</v>
      </c>
    </row>
    <row r="2659" spans="3:4">
      <c r="C2659" s="45"/>
      <c r="D2659" t="str">
        <f t="shared" si="49"/>
        <v>_</v>
      </c>
    </row>
    <row r="2660" spans="3:4">
      <c r="C2660" s="45"/>
      <c r="D2660" t="str">
        <f t="shared" si="49"/>
        <v>_</v>
      </c>
    </row>
    <row r="2661" spans="3:4">
      <c r="C2661" s="45"/>
      <c r="D2661" t="str">
        <f t="shared" si="49"/>
        <v>_</v>
      </c>
    </row>
    <row r="2662" spans="3:4">
      <c r="C2662" s="45"/>
      <c r="D2662" t="str">
        <f t="shared" si="49"/>
        <v>_</v>
      </c>
    </row>
    <row r="2663" spans="3:4">
      <c r="C2663" s="45"/>
      <c r="D2663" t="str">
        <f t="shared" si="49"/>
        <v>_</v>
      </c>
    </row>
    <row r="2664" spans="3:4">
      <c r="C2664" s="45"/>
      <c r="D2664" t="str">
        <f t="shared" si="49"/>
        <v>_</v>
      </c>
    </row>
    <row r="2665" spans="3:4">
      <c r="C2665" s="45"/>
      <c r="D2665" t="str">
        <f t="shared" si="49"/>
        <v>_</v>
      </c>
    </row>
    <row r="2666" spans="3:4">
      <c r="C2666" s="45"/>
      <c r="D2666" t="str">
        <f t="shared" si="49"/>
        <v>_</v>
      </c>
    </row>
    <row r="2667" spans="3:4">
      <c r="C2667" s="45"/>
      <c r="D2667" t="str">
        <f t="shared" si="49"/>
        <v>_</v>
      </c>
    </row>
    <row r="2668" spans="3:4">
      <c r="C2668" s="45"/>
      <c r="D2668" t="str">
        <f t="shared" si="49"/>
        <v>_</v>
      </c>
    </row>
    <row r="2669" spans="3:4">
      <c r="C2669" s="45"/>
      <c r="D2669" t="str">
        <f t="shared" si="49"/>
        <v>_</v>
      </c>
    </row>
    <row r="2670" spans="3:4">
      <c r="C2670" s="45"/>
      <c r="D2670" t="str">
        <f t="shared" ref="D2670:D2733" si="50">_xlfn.CONCAT(A2670,"_",B2670)</f>
        <v>_</v>
      </c>
    </row>
    <row r="2671" spans="3:4">
      <c r="C2671" s="45"/>
      <c r="D2671" t="str">
        <f t="shared" si="50"/>
        <v>_</v>
      </c>
    </row>
    <row r="2672" spans="3:4">
      <c r="C2672" s="45"/>
      <c r="D2672" t="str">
        <f t="shared" si="50"/>
        <v>_</v>
      </c>
    </row>
    <row r="2673" spans="3:4">
      <c r="C2673" s="45"/>
      <c r="D2673" t="str">
        <f t="shared" si="50"/>
        <v>_</v>
      </c>
    </row>
    <row r="2674" spans="3:4">
      <c r="C2674" s="45"/>
      <c r="D2674" t="str">
        <f t="shared" si="50"/>
        <v>_</v>
      </c>
    </row>
    <row r="2675" spans="3:4">
      <c r="C2675" s="45"/>
      <c r="D2675" t="str">
        <f t="shared" si="50"/>
        <v>_</v>
      </c>
    </row>
    <row r="2676" spans="3:4">
      <c r="C2676" s="45"/>
      <c r="D2676" t="str">
        <f t="shared" si="50"/>
        <v>_</v>
      </c>
    </row>
    <row r="2677" spans="3:4">
      <c r="C2677" s="45"/>
      <c r="D2677" t="str">
        <f t="shared" si="50"/>
        <v>_</v>
      </c>
    </row>
    <row r="2678" spans="3:4">
      <c r="C2678" s="45"/>
      <c r="D2678" t="str">
        <f t="shared" si="50"/>
        <v>_</v>
      </c>
    </row>
    <row r="2679" spans="3:4">
      <c r="C2679" s="45"/>
      <c r="D2679" t="str">
        <f t="shared" si="50"/>
        <v>_</v>
      </c>
    </row>
    <row r="2680" spans="3:4">
      <c r="C2680" s="45"/>
      <c r="D2680" t="str">
        <f t="shared" si="50"/>
        <v>_</v>
      </c>
    </row>
    <row r="2681" spans="3:4">
      <c r="C2681" s="45"/>
      <c r="D2681" t="str">
        <f t="shared" si="50"/>
        <v>_</v>
      </c>
    </row>
    <row r="2682" spans="3:4">
      <c r="C2682" s="45"/>
      <c r="D2682" t="str">
        <f t="shared" si="50"/>
        <v>_</v>
      </c>
    </row>
    <row r="2683" spans="3:4">
      <c r="C2683" s="45"/>
      <c r="D2683" t="str">
        <f t="shared" si="50"/>
        <v>_</v>
      </c>
    </row>
    <row r="2684" spans="3:4">
      <c r="C2684" s="45"/>
      <c r="D2684" t="str">
        <f t="shared" si="50"/>
        <v>_</v>
      </c>
    </row>
    <row r="2685" spans="3:4">
      <c r="C2685" s="45"/>
      <c r="D2685" t="str">
        <f t="shared" si="50"/>
        <v>_</v>
      </c>
    </row>
    <row r="2686" spans="3:4">
      <c r="C2686" s="45"/>
      <c r="D2686" t="str">
        <f t="shared" si="50"/>
        <v>_</v>
      </c>
    </row>
    <row r="2687" spans="3:4">
      <c r="C2687" s="45"/>
      <c r="D2687" t="str">
        <f t="shared" si="50"/>
        <v>_</v>
      </c>
    </row>
    <row r="2688" spans="3:4">
      <c r="C2688" s="45"/>
      <c r="D2688" t="str">
        <f t="shared" si="50"/>
        <v>_</v>
      </c>
    </row>
    <row r="2689" spans="3:4">
      <c r="C2689" s="45"/>
      <c r="D2689" t="str">
        <f t="shared" si="50"/>
        <v>_</v>
      </c>
    </row>
    <row r="2690" spans="3:4">
      <c r="C2690" s="45"/>
      <c r="D2690" t="str">
        <f t="shared" si="50"/>
        <v>_</v>
      </c>
    </row>
    <row r="2691" spans="3:4">
      <c r="C2691" s="45"/>
      <c r="D2691" t="str">
        <f t="shared" si="50"/>
        <v>_</v>
      </c>
    </row>
    <row r="2692" spans="3:4">
      <c r="C2692" s="45"/>
      <c r="D2692" t="str">
        <f t="shared" si="50"/>
        <v>_</v>
      </c>
    </row>
    <row r="2693" spans="3:4">
      <c r="C2693" s="45"/>
      <c r="D2693" t="str">
        <f t="shared" si="50"/>
        <v>_</v>
      </c>
    </row>
    <row r="2694" spans="3:4">
      <c r="C2694" s="45"/>
      <c r="D2694" t="str">
        <f t="shared" si="50"/>
        <v>_</v>
      </c>
    </row>
    <row r="2695" spans="3:4">
      <c r="C2695" s="45"/>
      <c r="D2695" t="str">
        <f t="shared" si="50"/>
        <v>_</v>
      </c>
    </row>
    <row r="2696" spans="3:4">
      <c r="C2696" s="45"/>
      <c r="D2696" t="str">
        <f t="shared" si="50"/>
        <v>_</v>
      </c>
    </row>
    <row r="2697" spans="3:4">
      <c r="C2697" s="45"/>
      <c r="D2697" t="str">
        <f t="shared" si="50"/>
        <v>_</v>
      </c>
    </row>
    <row r="2698" spans="3:4">
      <c r="C2698" s="45"/>
      <c r="D2698" t="str">
        <f t="shared" si="50"/>
        <v>_</v>
      </c>
    </row>
    <row r="2699" spans="3:4">
      <c r="C2699" s="45"/>
      <c r="D2699" t="str">
        <f t="shared" si="50"/>
        <v>_</v>
      </c>
    </row>
    <row r="2700" spans="3:4">
      <c r="C2700" s="45"/>
      <c r="D2700" t="str">
        <f t="shared" si="50"/>
        <v>_</v>
      </c>
    </row>
    <row r="2701" spans="3:4">
      <c r="C2701" s="45"/>
      <c r="D2701" t="str">
        <f t="shared" si="50"/>
        <v>_</v>
      </c>
    </row>
    <row r="2702" spans="3:4">
      <c r="C2702" s="45"/>
      <c r="D2702" t="str">
        <f t="shared" si="50"/>
        <v>_</v>
      </c>
    </row>
    <row r="2703" spans="3:4">
      <c r="C2703" s="45"/>
      <c r="D2703" t="str">
        <f t="shared" si="50"/>
        <v>_</v>
      </c>
    </row>
    <row r="2704" spans="3:4">
      <c r="C2704" s="45"/>
      <c r="D2704" t="str">
        <f t="shared" si="50"/>
        <v>_</v>
      </c>
    </row>
    <row r="2705" spans="3:4">
      <c r="C2705" s="45"/>
      <c r="D2705" t="str">
        <f t="shared" si="50"/>
        <v>_</v>
      </c>
    </row>
    <row r="2706" spans="3:4">
      <c r="C2706" s="45"/>
      <c r="D2706" t="str">
        <f t="shared" si="50"/>
        <v>_</v>
      </c>
    </row>
    <row r="2707" spans="3:4">
      <c r="C2707" s="45"/>
      <c r="D2707" t="str">
        <f t="shared" si="50"/>
        <v>_</v>
      </c>
    </row>
    <row r="2708" spans="3:4">
      <c r="C2708" s="45"/>
      <c r="D2708" t="str">
        <f t="shared" si="50"/>
        <v>_</v>
      </c>
    </row>
    <row r="2709" spans="3:4">
      <c r="C2709" s="45"/>
      <c r="D2709" t="str">
        <f t="shared" si="50"/>
        <v>_</v>
      </c>
    </row>
    <row r="2710" spans="3:4">
      <c r="C2710" s="45"/>
      <c r="D2710" t="str">
        <f t="shared" si="50"/>
        <v>_</v>
      </c>
    </row>
    <row r="2711" spans="3:4">
      <c r="C2711" s="45"/>
      <c r="D2711" t="str">
        <f t="shared" si="50"/>
        <v>_</v>
      </c>
    </row>
    <row r="2712" spans="3:4">
      <c r="C2712" s="45"/>
      <c r="D2712" t="str">
        <f t="shared" si="50"/>
        <v>_</v>
      </c>
    </row>
    <row r="2713" spans="3:4">
      <c r="C2713" s="45"/>
      <c r="D2713" t="str">
        <f t="shared" si="50"/>
        <v>_</v>
      </c>
    </row>
    <row r="2714" spans="3:4">
      <c r="C2714" s="45"/>
      <c r="D2714" t="str">
        <f t="shared" si="50"/>
        <v>_</v>
      </c>
    </row>
    <row r="2715" spans="3:4">
      <c r="C2715" s="45"/>
      <c r="D2715" t="str">
        <f t="shared" si="50"/>
        <v>_</v>
      </c>
    </row>
    <row r="2716" spans="3:4">
      <c r="C2716" s="45"/>
      <c r="D2716" t="str">
        <f t="shared" si="50"/>
        <v>_</v>
      </c>
    </row>
    <row r="2717" spans="3:4">
      <c r="C2717" s="45"/>
      <c r="D2717" t="str">
        <f t="shared" si="50"/>
        <v>_</v>
      </c>
    </row>
    <row r="2718" spans="3:4">
      <c r="C2718" s="45"/>
      <c r="D2718" t="str">
        <f t="shared" si="50"/>
        <v>_</v>
      </c>
    </row>
    <row r="2719" spans="3:4">
      <c r="C2719" s="45"/>
      <c r="D2719" t="str">
        <f t="shared" si="50"/>
        <v>_</v>
      </c>
    </row>
    <row r="2720" spans="3:4">
      <c r="C2720" s="45"/>
      <c r="D2720" t="str">
        <f t="shared" si="50"/>
        <v>_</v>
      </c>
    </row>
    <row r="2721" spans="3:4">
      <c r="C2721" s="45"/>
      <c r="D2721" t="str">
        <f t="shared" si="50"/>
        <v>_</v>
      </c>
    </row>
    <row r="2722" spans="3:4">
      <c r="C2722" s="45"/>
      <c r="D2722" t="str">
        <f t="shared" si="50"/>
        <v>_</v>
      </c>
    </row>
    <row r="2723" spans="3:4">
      <c r="C2723" s="45"/>
      <c r="D2723" t="str">
        <f t="shared" si="50"/>
        <v>_</v>
      </c>
    </row>
    <row r="2724" spans="3:4">
      <c r="C2724" s="45"/>
      <c r="D2724" t="str">
        <f t="shared" si="50"/>
        <v>_</v>
      </c>
    </row>
    <row r="2725" spans="3:4">
      <c r="C2725" s="45"/>
      <c r="D2725" t="str">
        <f t="shared" si="50"/>
        <v>_</v>
      </c>
    </row>
    <row r="2726" spans="3:4">
      <c r="C2726" s="45"/>
      <c r="D2726" t="str">
        <f t="shared" si="50"/>
        <v>_</v>
      </c>
    </row>
    <row r="2727" spans="3:4">
      <c r="C2727" s="45"/>
      <c r="D2727" t="str">
        <f t="shared" si="50"/>
        <v>_</v>
      </c>
    </row>
    <row r="2728" spans="3:4">
      <c r="C2728" s="45"/>
      <c r="D2728" t="str">
        <f t="shared" si="50"/>
        <v>_</v>
      </c>
    </row>
    <row r="2729" spans="3:4">
      <c r="C2729" s="45"/>
      <c r="D2729" t="str">
        <f t="shared" si="50"/>
        <v>_</v>
      </c>
    </row>
    <row r="2730" spans="3:4">
      <c r="C2730" s="45"/>
      <c r="D2730" t="str">
        <f t="shared" si="50"/>
        <v>_</v>
      </c>
    </row>
    <row r="2731" spans="3:4">
      <c r="C2731" s="45"/>
      <c r="D2731" t="str">
        <f t="shared" si="50"/>
        <v>_</v>
      </c>
    </row>
    <row r="2732" spans="3:4">
      <c r="C2732" s="45"/>
      <c r="D2732" t="str">
        <f t="shared" si="50"/>
        <v>_</v>
      </c>
    </row>
    <row r="2733" spans="3:4">
      <c r="C2733" s="45"/>
      <c r="D2733" t="str">
        <f t="shared" si="50"/>
        <v>_</v>
      </c>
    </row>
    <row r="2734" spans="3:4">
      <c r="C2734" s="45"/>
      <c r="D2734" t="str">
        <f t="shared" ref="D2734:D2797" si="51">_xlfn.CONCAT(A2734,"_",B2734)</f>
        <v>_</v>
      </c>
    </row>
    <row r="2735" spans="3:4">
      <c r="C2735" s="45"/>
      <c r="D2735" t="str">
        <f t="shared" si="51"/>
        <v>_</v>
      </c>
    </row>
    <row r="2736" spans="3:4">
      <c r="C2736" s="45"/>
      <c r="D2736" t="str">
        <f t="shared" si="51"/>
        <v>_</v>
      </c>
    </row>
    <row r="2737" spans="3:4">
      <c r="C2737" s="45"/>
      <c r="D2737" t="str">
        <f t="shared" si="51"/>
        <v>_</v>
      </c>
    </row>
    <row r="2738" spans="3:4">
      <c r="C2738" s="45"/>
      <c r="D2738" t="str">
        <f t="shared" si="51"/>
        <v>_</v>
      </c>
    </row>
    <row r="2739" spans="3:4">
      <c r="C2739" s="45"/>
      <c r="D2739" t="str">
        <f t="shared" si="51"/>
        <v>_</v>
      </c>
    </row>
    <row r="2740" spans="3:4">
      <c r="C2740" s="45"/>
      <c r="D2740" t="str">
        <f t="shared" si="51"/>
        <v>_</v>
      </c>
    </row>
    <row r="2741" spans="3:4">
      <c r="C2741" s="45"/>
      <c r="D2741" t="str">
        <f t="shared" si="51"/>
        <v>_</v>
      </c>
    </row>
    <row r="2742" spans="3:4">
      <c r="C2742" s="45"/>
      <c r="D2742" t="str">
        <f t="shared" si="51"/>
        <v>_</v>
      </c>
    </row>
    <row r="2743" spans="3:4">
      <c r="C2743" s="45"/>
      <c r="D2743" t="str">
        <f t="shared" si="51"/>
        <v>_</v>
      </c>
    </row>
    <row r="2744" spans="3:4">
      <c r="C2744" s="45"/>
      <c r="D2744" t="str">
        <f t="shared" si="51"/>
        <v>_</v>
      </c>
    </row>
    <row r="2745" spans="3:4">
      <c r="C2745" s="45"/>
      <c r="D2745" t="str">
        <f t="shared" si="51"/>
        <v>_</v>
      </c>
    </row>
    <row r="2746" spans="3:4">
      <c r="C2746" s="45"/>
      <c r="D2746" t="str">
        <f t="shared" si="51"/>
        <v>_</v>
      </c>
    </row>
    <row r="2747" spans="3:4">
      <c r="C2747" s="45"/>
      <c r="D2747" t="str">
        <f t="shared" si="51"/>
        <v>_</v>
      </c>
    </row>
    <row r="2748" spans="3:4">
      <c r="C2748" s="45"/>
      <c r="D2748" t="str">
        <f t="shared" si="51"/>
        <v>_</v>
      </c>
    </row>
    <row r="2749" spans="3:4">
      <c r="C2749" s="45"/>
      <c r="D2749" t="str">
        <f t="shared" si="51"/>
        <v>_</v>
      </c>
    </row>
    <row r="2750" spans="3:4">
      <c r="C2750" s="45"/>
      <c r="D2750" t="str">
        <f t="shared" si="51"/>
        <v>_</v>
      </c>
    </row>
    <row r="2751" spans="3:4">
      <c r="C2751" s="45"/>
      <c r="D2751" t="str">
        <f t="shared" si="51"/>
        <v>_</v>
      </c>
    </row>
    <row r="2752" spans="3:4">
      <c r="C2752" s="45"/>
      <c r="D2752" t="str">
        <f t="shared" si="51"/>
        <v>_</v>
      </c>
    </row>
    <row r="2753" spans="3:4">
      <c r="C2753" s="45"/>
      <c r="D2753" t="str">
        <f t="shared" si="51"/>
        <v>_</v>
      </c>
    </row>
    <row r="2754" spans="3:4">
      <c r="C2754" s="45"/>
      <c r="D2754" t="str">
        <f t="shared" si="51"/>
        <v>_</v>
      </c>
    </row>
    <row r="2755" spans="3:4">
      <c r="C2755" s="45"/>
      <c r="D2755" t="str">
        <f t="shared" si="51"/>
        <v>_</v>
      </c>
    </row>
    <row r="2756" spans="3:4">
      <c r="C2756" s="45"/>
      <c r="D2756" t="str">
        <f t="shared" si="51"/>
        <v>_</v>
      </c>
    </row>
    <row r="2757" spans="3:4">
      <c r="C2757" s="45"/>
      <c r="D2757" t="str">
        <f t="shared" si="51"/>
        <v>_</v>
      </c>
    </row>
    <row r="2758" spans="3:4">
      <c r="C2758" s="45"/>
      <c r="D2758" t="str">
        <f t="shared" si="51"/>
        <v>_</v>
      </c>
    </row>
    <row r="2759" spans="3:4">
      <c r="C2759" s="45"/>
      <c r="D2759" t="str">
        <f t="shared" si="51"/>
        <v>_</v>
      </c>
    </row>
    <row r="2760" spans="3:4">
      <c r="C2760" s="45"/>
      <c r="D2760" t="str">
        <f t="shared" si="51"/>
        <v>_</v>
      </c>
    </row>
    <row r="2761" spans="3:4">
      <c r="C2761" s="45"/>
      <c r="D2761" t="str">
        <f t="shared" si="51"/>
        <v>_</v>
      </c>
    </row>
    <row r="2762" spans="3:4">
      <c r="C2762" s="45"/>
      <c r="D2762" t="str">
        <f t="shared" si="51"/>
        <v>_</v>
      </c>
    </row>
    <row r="2763" spans="3:4">
      <c r="C2763" s="45"/>
      <c r="D2763" t="str">
        <f t="shared" si="51"/>
        <v>_</v>
      </c>
    </row>
    <row r="2764" spans="3:4">
      <c r="C2764" s="45"/>
      <c r="D2764" t="str">
        <f t="shared" si="51"/>
        <v>_</v>
      </c>
    </row>
    <row r="2765" spans="3:4">
      <c r="C2765" s="45"/>
      <c r="D2765" t="str">
        <f t="shared" si="51"/>
        <v>_</v>
      </c>
    </row>
    <row r="2766" spans="3:4">
      <c r="C2766" s="45"/>
      <c r="D2766" t="str">
        <f t="shared" si="51"/>
        <v>_</v>
      </c>
    </row>
    <row r="2767" spans="3:4">
      <c r="C2767" s="45"/>
      <c r="D2767" t="str">
        <f t="shared" si="51"/>
        <v>_</v>
      </c>
    </row>
    <row r="2768" spans="3:4">
      <c r="C2768" s="45"/>
      <c r="D2768" t="str">
        <f t="shared" si="51"/>
        <v>_</v>
      </c>
    </row>
    <row r="2769" spans="3:4">
      <c r="C2769" s="45"/>
      <c r="D2769" t="str">
        <f t="shared" si="51"/>
        <v>_</v>
      </c>
    </row>
    <row r="2770" spans="3:4">
      <c r="C2770" s="45"/>
      <c r="D2770" t="str">
        <f t="shared" si="51"/>
        <v>_</v>
      </c>
    </row>
    <row r="2771" spans="3:4">
      <c r="C2771" s="45"/>
      <c r="D2771" t="str">
        <f t="shared" si="51"/>
        <v>_</v>
      </c>
    </row>
    <row r="2772" spans="3:4">
      <c r="C2772" s="45"/>
      <c r="D2772" t="str">
        <f t="shared" si="51"/>
        <v>_</v>
      </c>
    </row>
    <row r="2773" spans="3:4">
      <c r="C2773" s="45"/>
      <c r="D2773" t="str">
        <f t="shared" si="51"/>
        <v>_</v>
      </c>
    </row>
    <row r="2774" spans="3:4">
      <c r="C2774" s="45"/>
      <c r="D2774" t="str">
        <f t="shared" si="51"/>
        <v>_</v>
      </c>
    </row>
    <row r="2775" spans="3:4">
      <c r="C2775" s="45"/>
      <c r="D2775" t="str">
        <f t="shared" si="51"/>
        <v>_</v>
      </c>
    </row>
    <row r="2776" spans="3:4">
      <c r="C2776" s="45"/>
      <c r="D2776" t="str">
        <f t="shared" si="51"/>
        <v>_</v>
      </c>
    </row>
    <row r="2777" spans="3:4">
      <c r="C2777" s="45"/>
      <c r="D2777" t="str">
        <f t="shared" si="51"/>
        <v>_</v>
      </c>
    </row>
    <row r="2778" spans="3:4">
      <c r="C2778" s="45"/>
      <c r="D2778" t="str">
        <f t="shared" si="51"/>
        <v>_</v>
      </c>
    </row>
    <row r="2779" spans="3:4">
      <c r="C2779" s="45"/>
      <c r="D2779" t="str">
        <f t="shared" si="51"/>
        <v>_</v>
      </c>
    </row>
    <row r="2780" spans="3:4">
      <c r="C2780" s="45"/>
      <c r="D2780" t="str">
        <f t="shared" si="51"/>
        <v>_</v>
      </c>
    </row>
    <row r="2781" spans="3:4">
      <c r="C2781" s="45"/>
      <c r="D2781" t="str">
        <f t="shared" si="51"/>
        <v>_</v>
      </c>
    </row>
    <row r="2782" spans="3:4">
      <c r="C2782" s="45"/>
      <c r="D2782" t="str">
        <f t="shared" si="51"/>
        <v>_</v>
      </c>
    </row>
    <row r="2783" spans="3:4">
      <c r="C2783" s="45"/>
      <c r="D2783" t="str">
        <f t="shared" si="51"/>
        <v>_</v>
      </c>
    </row>
    <row r="2784" spans="3:4">
      <c r="C2784" s="45"/>
      <c r="D2784" t="str">
        <f t="shared" si="51"/>
        <v>_</v>
      </c>
    </row>
    <row r="2785" spans="3:4">
      <c r="C2785" s="45"/>
      <c r="D2785" t="str">
        <f t="shared" si="51"/>
        <v>_</v>
      </c>
    </row>
    <row r="2786" spans="3:4">
      <c r="C2786" s="45"/>
      <c r="D2786" t="str">
        <f t="shared" si="51"/>
        <v>_</v>
      </c>
    </row>
    <row r="2787" spans="3:4">
      <c r="C2787" s="45"/>
      <c r="D2787" t="str">
        <f t="shared" si="51"/>
        <v>_</v>
      </c>
    </row>
    <row r="2788" spans="3:4">
      <c r="C2788" s="45"/>
      <c r="D2788" t="str">
        <f t="shared" si="51"/>
        <v>_</v>
      </c>
    </row>
    <row r="2789" spans="3:4">
      <c r="C2789" s="45"/>
      <c r="D2789" t="str">
        <f t="shared" si="51"/>
        <v>_</v>
      </c>
    </row>
    <row r="2790" spans="3:4">
      <c r="C2790" s="45"/>
      <c r="D2790" t="str">
        <f t="shared" si="51"/>
        <v>_</v>
      </c>
    </row>
    <row r="2791" spans="3:4">
      <c r="C2791" s="45"/>
      <c r="D2791" t="str">
        <f t="shared" si="51"/>
        <v>_</v>
      </c>
    </row>
    <row r="2792" spans="3:4">
      <c r="C2792" s="45"/>
      <c r="D2792" t="str">
        <f t="shared" si="51"/>
        <v>_</v>
      </c>
    </row>
    <row r="2793" spans="3:4">
      <c r="C2793" s="45"/>
      <c r="D2793" t="str">
        <f t="shared" si="51"/>
        <v>_</v>
      </c>
    </row>
    <row r="2794" spans="3:4">
      <c r="C2794" s="45"/>
      <c r="D2794" t="str">
        <f t="shared" si="51"/>
        <v>_</v>
      </c>
    </row>
    <row r="2795" spans="3:4">
      <c r="C2795" s="45"/>
      <c r="D2795" t="str">
        <f t="shared" si="51"/>
        <v>_</v>
      </c>
    </row>
    <row r="2796" spans="3:4">
      <c r="C2796" s="45"/>
      <c r="D2796" t="str">
        <f t="shared" si="51"/>
        <v>_</v>
      </c>
    </row>
    <row r="2797" spans="3:4">
      <c r="C2797" s="45"/>
      <c r="D2797" t="str">
        <f t="shared" si="51"/>
        <v>_</v>
      </c>
    </row>
    <row r="2798" spans="3:4">
      <c r="C2798" s="45"/>
      <c r="D2798" t="str">
        <f t="shared" ref="D2798:D2861" si="52">_xlfn.CONCAT(A2798,"_",B2798)</f>
        <v>_</v>
      </c>
    </row>
    <row r="2799" spans="3:4">
      <c r="C2799" s="45"/>
      <c r="D2799" t="str">
        <f t="shared" si="52"/>
        <v>_</v>
      </c>
    </row>
    <row r="2800" spans="3:4">
      <c r="C2800" s="45"/>
      <c r="D2800" t="str">
        <f t="shared" si="52"/>
        <v>_</v>
      </c>
    </row>
    <row r="2801" spans="3:4">
      <c r="C2801" s="45"/>
      <c r="D2801" t="str">
        <f t="shared" si="52"/>
        <v>_</v>
      </c>
    </row>
    <row r="2802" spans="3:4">
      <c r="C2802" s="45"/>
      <c r="D2802" t="str">
        <f t="shared" si="52"/>
        <v>_</v>
      </c>
    </row>
    <row r="2803" spans="3:4">
      <c r="C2803" s="45"/>
      <c r="D2803" t="str">
        <f t="shared" si="52"/>
        <v>_</v>
      </c>
    </row>
    <row r="2804" spans="3:4">
      <c r="C2804" s="45"/>
      <c r="D2804" t="str">
        <f t="shared" si="52"/>
        <v>_</v>
      </c>
    </row>
    <row r="2805" spans="3:4">
      <c r="C2805" s="45"/>
      <c r="D2805" t="str">
        <f t="shared" si="52"/>
        <v>_</v>
      </c>
    </row>
    <row r="2806" spans="3:4">
      <c r="C2806" s="45"/>
      <c r="D2806" t="str">
        <f t="shared" si="52"/>
        <v>_</v>
      </c>
    </row>
    <row r="2807" spans="3:4">
      <c r="C2807" s="45"/>
      <c r="D2807" t="str">
        <f t="shared" si="52"/>
        <v>_</v>
      </c>
    </row>
    <row r="2808" spans="3:4">
      <c r="C2808" s="45"/>
      <c r="D2808" t="str">
        <f t="shared" si="52"/>
        <v>_</v>
      </c>
    </row>
    <row r="2809" spans="3:4">
      <c r="C2809" s="45"/>
      <c r="D2809" t="str">
        <f t="shared" si="52"/>
        <v>_</v>
      </c>
    </row>
    <row r="2810" spans="3:4">
      <c r="C2810" s="45"/>
      <c r="D2810" t="str">
        <f t="shared" si="52"/>
        <v>_</v>
      </c>
    </row>
    <row r="2811" spans="3:4">
      <c r="C2811" s="45"/>
      <c r="D2811" t="str">
        <f t="shared" si="52"/>
        <v>_</v>
      </c>
    </row>
    <row r="2812" spans="3:4">
      <c r="C2812" s="45"/>
      <c r="D2812" t="str">
        <f t="shared" si="52"/>
        <v>_</v>
      </c>
    </row>
    <row r="2813" spans="3:4">
      <c r="C2813" s="45"/>
      <c r="D2813" t="str">
        <f t="shared" si="52"/>
        <v>_</v>
      </c>
    </row>
    <row r="2814" spans="3:4">
      <c r="C2814" s="45"/>
      <c r="D2814" t="str">
        <f t="shared" si="52"/>
        <v>_</v>
      </c>
    </row>
    <row r="2815" spans="3:4">
      <c r="C2815" s="45"/>
      <c r="D2815" t="str">
        <f t="shared" si="52"/>
        <v>_</v>
      </c>
    </row>
    <row r="2816" spans="3:4">
      <c r="C2816" s="45"/>
      <c r="D2816" t="str">
        <f t="shared" si="52"/>
        <v>_</v>
      </c>
    </row>
    <row r="2817" spans="3:4">
      <c r="C2817" s="45"/>
      <c r="D2817" t="str">
        <f t="shared" si="52"/>
        <v>_</v>
      </c>
    </row>
    <row r="2818" spans="3:4">
      <c r="C2818" s="45"/>
      <c r="D2818" t="str">
        <f t="shared" si="52"/>
        <v>_</v>
      </c>
    </row>
    <row r="2819" spans="3:4">
      <c r="C2819" s="45"/>
      <c r="D2819" t="str">
        <f t="shared" si="52"/>
        <v>_</v>
      </c>
    </row>
    <row r="2820" spans="3:4">
      <c r="C2820" s="45"/>
      <c r="D2820" t="str">
        <f t="shared" si="52"/>
        <v>_</v>
      </c>
    </row>
    <row r="2821" spans="3:4">
      <c r="C2821" s="45"/>
      <c r="D2821" t="str">
        <f t="shared" si="52"/>
        <v>_</v>
      </c>
    </row>
    <row r="2822" spans="3:4">
      <c r="C2822" s="45"/>
      <c r="D2822" t="str">
        <f t="shared" si="52"/>
        <v>_</v>
      </c>
    </row>
    <row r="2823" spans="3:4">
      <c r="C2823" s="45"/>
      <c r="D2823" t="str">
        <f t="shared" si="52"/>
        <v>_</v>
      </c>
    </row>
    <row r="2824" spans="3:4">
      <c r="C2824" s="45"/>
      <c r="D2824" t="str">
        <f t="shared" si="52"/>
        <v>_</v>
      </c>
    </row>
    <row r="2825" spans="3:4">
      <c r="C2825" s="45"/>
      <c r="D2825" t="str">
        <f t="shared" si="52"/>
        <v>_</v>
      </c>
    </row>
    <row r="2826" spans="3:4">
      <c r="C2826" s="45"/>
      <c r="D2826" t="str">
        <f t="shared" si="52"/>
        <v>_</v>
      </c>
    </row>
    <row r="2827" spans="3:4">
      <c r="C2827" s="45"/>
      <c r="D2827" t="str">
        <f t="shared" si="52"/>
        <v>_</v>
      </c>
    </row>
    <row r="2828" spans="3:4">
      <c r="C2828" s="45"/>
      <c r="D2828" t="str">
        <f t="shared" si="52"/>
        <v>_</v>
      </c>
    </row>
    <row r="2829" spans="3:4">
      <c r="C2829" s="45"/>
      <c r="D2829" t="str">
        <f t="shared" si="52"/>
        <v>_</v>
      </c>
    </row>
    <row r="2830" spans="3:4">
      <c r="C2830" s="45"/>
      <c r="D2830" t="str">
        <f t="shared" si="52"/>
        <v>_</v>
      </c>
    </row>
    <row r="2831" spans="3:4">
      <c r="C2831" s="45"/>
      <c r="D2831" t="str">
        <f t="shared" si="52"/>
        <v>_</v>
      </c>
    </row>
    <row r="2832" spans="3:4">
      <c r="C2832" s="45"/>
      <c r="D2832" t="str">
        <f t="shared" si="52"/>
        <v>_</v>
      </c>
    </row>
    <row r="2833" spans="3:4">
      <c r="C2833" s="45"/>
      <c r="D2833" t="str">
        <f t="shared" si="52"/>
        <v>_</v>
      </c>
    </row>
    <row r="2834" spans="3:4">
      <c r="C2834" s="45"/>
      <c r="D2834" t="str">
        <f t="shared" si="52"/>
        <v>_</v>
      </c>
    </row>
    <row r="2835" spans="3:4">
      <c r="C2835" s="45"/>
      <c r="D2835" t="str">
        <f t="shared" si="52"/>
        <v>_</v>
      </c>
    </row>
    <row r="2836" spans="3:4">
      <c r="C2836" s="45"/>
      <c r="D2836" t="str">
        <f t="shared" si="52"/>
        <v>_</v>
      </c>
    </row>
    <row r="2837" spans="3:4">
      <c r="C2837" s="45"/>
      <c r="D2837" t="str">
        <f t="shared" si="52"/>
        <v>_</v>
      </c>
    </row>
    <row r="2838" spans="3:4">
      <c r="C2838" s="45"/>
      <c r="D2838" t="str">
        <f t="shared" si="52"/>
        <v>_</v>
      </c>
    </row>
    <row r="2839" spans="3:4">
      <c r="C2839" s="45"/>
      <c r="D2839" t="str">
        <f t="shared" si="52"/>
        <v>_</v>
      </c>
    </row>
    <row r="2840" spans="3:4">
      <c r="C2840" s="45"/>
      <c r="D2840" t="str">
        <f t="shared" si="52"/>
        <v>_</v>
      </c>
    </row>
    <row r="2841" spans="3:4">
      <c r="C2841" s="45"/>
      <c r="D2841" t="str">
        <f t="shared" si="52"/>
        <v>_</v>
      </c>
    </row>
    <row r="2842" spans="3:4">
      <c r="C2842" s="45"/>
      <c r="D2842" t="str">
        <f t="shared" si="52"/>
        <v>_</v>
      </c>
    </row>
    <row r="2843" spans="3:4">
      <c r="C2843" s="45"/>
      <c r="D2843" t="str">
        <f t="shared" si="52"/>
        <v>_</v>
      </c>
    </row>
    <row r="2844" spans="3:4">
      <c r="C2844" s="45"/>
      <c r="D2844" t="str">
        <f t="shared" si="52"/>
        <v>_</v>
      </c>
    </row>
    <row r="2845" spans="3:4">
      <c r="C2845" s="45"/>
      <c r="D2845" t="str">
        <f t="shared" si="52"/>
        <v>_</v>
      </c>
    </row>
    <row r="2846" spans="3:4">
      <c r="C2846" s="45"/>
      <c r="D2846" t="str">
        <f t="shared" si="52"/>
        <v>_</v>
      </c>
    </row>
    <row r="2847" spans="3:4">
      <c r="C2847" s="45"/>
      <c r="D2847" t="str">
        <f t="shared" si="52"/>
        <v>_</v>
      </c>
    </row>
    <row r="2848" spans="3:4">
      <c r="C2848" s="45"/>
      <c r="D2848" t="str">
        <f t="shared" si="52"/>
        <v>_</v>
      </c>
    </row>
    <row r="2849" spans="3:4">
      <c r="C2849" s="45"/>
      <c r="D2849" t="str">
        <f t="shared" si="52"/>
        <v>_</v>
      </c>
    </row>
    <row r="2850" spans="3:4">
      <c r="C2850" s="45"/>
      <c r="D2850" t="str">
        <f t="shared" si="52"/>
        <v>_</v>
      </c>
    </row>
    <row r="2851" spans="3:4">
      <c r="C2851" s="45"/>
      <c r="D2851" t="str">
        <f t="shared" si="52"/>
        <v>_</v>
      </c>
    </row>
    <row r="2852" spans="3:4">
      <c r="C2852" s="45"/>
      <c r="D2852" t="str">
        <f t="shared" si="52"/>
        <v>_</v>
      </c>
    </row>
    <row r="2853" spans="3:4">
      <c r="C2853" s="45"/>
      <c r="D2853" t="str">
        <f t="shared" si="52"/>
        <v>_</v>
      </c>
    </row>
    <row r="2854" spans="3:4">
      <c r="C2854" s="45"/>
      <c r="D2854" t="str">
        <f t="shared" si="52"/>
        <v>_</v>
      </c>
    </row>
    <row r="2855" spans="3:4">
      <c r="C2855" s="45"/>
      <c r="D2855" t="str">
        <f t="shared" si="52"/>
        <v>_</v>
      </c>
    </row>
    <row r="2856" spans="3:4">
      <c r="C2856" s="45"/>
      <c r="D2856" t="str">
        <f t="shared" si="52"/>
        <v>_</v>
      </c>
    </row>
    <row r="2857" spans="3:4">
      <c r="C2857" s="45"/>
      <c r="D2857" t="str">
        <f t="shared" si="52"/>
        <v>_</v>
      </c>
    </row>
    <row r="2858" spans="3:4">
      <c r="C2858" s="45"/>
      <c r="D2858" t="str">
        <f t="shared" si="52"/>
        <v>_</v>
      </c>
    </row>
    <row r="2859" spans="3:4">
      <c r="C2859" s="45"/>
      <c r="D2859" t="str">
        <f t="shared" si="52"/>
        <v>_</v>
      </c>
    </row>
    <row r="2860" spans="3:4">
      <c r="C2860" s="45"/>
      <c r="D2860" t="str">
        <f t="shared" si="52"/>
        <v>_</v>
      </c>
    </row>
    <row r="2861" spans="3:4">
      <c r="C2861" s="45"/>
      <c r="D2861" t="str">
        <f t="shared" si="52"/>
        <v>_</v>
      </c>
    </row>
    <row r="2862" spans="3:4">
      <c r="C2862" s="45"/>
      <c r="D2862" t="str">
        <f t="shared" ref="D2862:D2925" si="53">_xlfn.CONCAT(A2862,"_",B2862)</f>
        <v>_</v>
      </c>
    </row>
    <row r="2863" spans="3:4">
      <c r="C2863" s="45"/>
      <c r="D2863" t="str">
        <f t="shared" si="53"/>
        <v>_</v>
      </c>
    </row>
    <row r="2864" spans="3:4">
      <c r="C2864" s="45"/>
      <c r="D2864" t="str">
        <f t="shared" si="53"/>
        <v>_</v>
      </c>
    </row>
    <row r="2865" spans="3:4">
      <c r="C2865" s="45"/>
      <c r="D2865" t="str">
        <f t="shared" si="53"/>
        <v>_</v>
      </c>
    </row>
    <row r="2866" spans="3:4">
      <c r="C2866" s="45"/>
      <c r="D2866" t="str">
        <f t="shared" si="53"/>
        <v>_</v>
      </c>
    </row>
    <row r="2867" spans="3:4">
      <c r="C2867" s="45"/>
      <c r="D2867" t="str">
        <f t="shared" si="53"/>
        <v>_</v>
      </c>
    </row>
    <row r="2868" spans="3:4">
      <c r="C2868" s="45"/>
      <c r="D2868" t="str">
        <f t="shared" si="53"/>
        <v>_</v>
      </c>
    </row>
    <row r="2869" spans="3:4">
      <c r="C2869" s="45"/>
      <c r="D2869" t="str">
        <f t="shared" si="53"/>
        <v>_</v>
      </c>
    </row>
    <row r="2870" spans="3:4">
      <c r="C2870" s="45"/>
      <c r="D2870" t="str">
        <f t="shared" si="53"/>
        <v>_</v>
      </c>
    </row>
    <row r="2871" spans="3:4">
      <c r="C2871" s="45"/>
      <c r="D2871" t="str">
        <f t="shared" si="53"/>
        <v>_</v>
      </c>
    </row>
    <row r="2872" spans="3:4">
      <c r="C2872" s="45"/>
      <c r="D2872" t="str">
        <f t="shared" si="53"/>
        <v>_</v>
      </c>
    </row>
    <row r="2873" spans="3:4">
      <c r="C2873" s="45"/>
      <c r="D2873" t="str">
        <f t="shared" si="53"/>
        <v>_</v>
      </c>
    </row>
    <row r="2874" spans="3:4">
      <c r="C2874" s="45"/>
      <c r="D2874" t="str">
        <f t="shared" si="53"/>
        <v>_</v>
      </c>
    </row>
    <row r="2875" spans="3:4">
      <c r="C2875" s="45"/>
      <c r="D2875" t="str">
        <f t="shared" si="53"/>
        <v>_</v>
      </c>
    </row>
    <row r="2876" spans="3:4">
      <c r="C2876" s="45"/>
      <c r="D2876" t="str">
        <f t="shared" si="53"/>
        <v>_</v>
      </c>
    </row>
    <row r="2877" spans="3:4">
      <c r="C2877" s="45"/>
      <c r="D2877" t="str">
        <f t="shared" si="53"/>
        <v>_</v>
      </c>
    </row>
    <row r="2878" spans="3:4">
      <c r="C2878" s="45"/>
      <c r="D2878" t="str">
        <f t="shared" si="53"/>
        <v>_</v>
      </c>
    </row>
    <row r="2879" spans="3:4">
      <c r="C2879" s="45"/>
      <c r="D2879" t="str">
        <f t="shared" si="53"/>
        <v>_</v>
      </c>
    </row>
    <row r="2880" spans="3:4">
      <c r="C2880" s="45"/>
      <c r="D2880" t="str">
        <f t="shared" si="53"/>
        <v>_</v>
      </c>
    </row>
    <row r="2881" spans="3:4">
      <c r="C2881" s="45"/>
      <c r="D2881" t="str">
        <f t="shared" si="53"/>
        <v>_</v>
      </c>
    </row>
    <row r="2882" spans="3:4">
      <c r="C2882" s="45"/>
      <c r="D2882" t="str">
        <f t="shared" si="53"/>
        <v>_</v>
      </c>
    </row>
    <row r="2883" spans="3:4">
      <c r="C2883" s="45"/>
      <c r="D2883" t="str">
        <f t="shared" si="53"/>
        <v>_</v>
      </c>
    </row>
    <row r="2884" spans="3:4">
      <c r="C2884" s="45"/>
      <c r="D2884" t="str">
        <f t="shared" si="53"/>
        <v>_</v>
      </c>
    </row>
    <row r="2885" spans="3:4">
      <c r="C2885" s="45"/>
      <c r="D2885" t="str">
        <f t="shared" si="53"/>
        <v>_</v>
      </c>
    </row>
    <row r="2886" spans="3:4">
      <c r="C2886" s="45"/>
      <c r="D2886" t="str">
        <f t="shared" si="53"/>
        <v>_</v>
      </c>
    </row>
    <row r="2887" spans="3:4">
      <c r="C2887" s="45"/>
      <c r="D2887" t="str">
        <f t="shared" si="53"/>
        <v>_</v>
      </c>
    </row>
    <row r="2888" spans="3:4">
      <c r="C2888" s="45"/>
      <c r="D2888" t="str">
        <f t="shared" si="53"/>
        <v>_</v>
      </c>
    </row>
    <row r="2889" spans="3:4">
      <c r="C2889" s="45"/>
      <c r="D2889" t="str">
        <f t="shared" si="53"/>
        <v>_</v>
      </c>
    </row>
    <row r="2890" spans="3:4">
      <c r="C2890" s="45"/>
      <c r="D2890" t="str">
        <f t="shared" si="53"/>
        <v>_</v>
      </c>
    </row>
    <row r="2891" spans="3:4">
      <c r="C2891" s="45"/>
      <c r="D2891" t="str">
        <f t="shared" si="53"/>
        <v>_</v>
      </c>
    </row>
    <row r="2892" spans="3:4">
      <c r="C2892" s="45"/>
      <c r="D2892" t="str">
        <f t="shared" si="53"/>
        <v>_</v>
      </c>
    </row>
    <row r="2893" spans="3:4">
      <c r="C2893" s="45"/>
      <c r="D2893" t="str">
        <f t="shared" si="53"/>
        <v>_</v>
      </c>
    </row>
    <row r="2894" spans="3:4">
      <c r="C2894" s="45"/>
      <c r="D2894" t="str">
        <f t="shared" si="53"/>
        <v>_</v>
      </c>
    </row>
    <row r="2895" spans="3:4">
      <c r="C2895" s="45"/>
      <c r="D2895" t="str">
        <f t="shared" si="53"/>
        <v>_</v>
      </c>
    </row>
    <row r="2896" spans="3:4">
      <c r="C2896" s="45"/>
      <c r="D2896" t="str">
        <f t="shared" si="53"/>
        <v>_</v>
      </c>
    </row>
    <row r="2897" spans="3:4">
      <c r="C2897" s="45"/>
      <c r="D2897" t="str">
        <f t="shared" si="53"/>
        <v>_</v>
      </c>
    </row>
    <row r="2898" spans="3:4">
      <c r="C2898" s="45"/>
      <c r="D2898" t="str">
        <f t="shared" si="53"/>
        <v>_</v>
      </c>
    </row>
    <row r="2899" spans="3:4">
      <c r="C2899" s="45"/>
      <c r="D2899" t="str">
        <f t="shared" si="53"/>
        <v>_</v>
      </c>
    </row>
    <row r="2900" spans="3:4">
      <c r="C2900" s="45"/>
      <c r="D2900" t="str">
        <f t="shared" si="53"/>
        <v>_</v>
      </c>
    </row>
    <row r="2901" spans="3:4">
      <c r="C2901" s="45"/>
      <c r="D2901" t="str">
        <f t="shared" si="53"/>
        <v>_</v>
      </c>
    </row>
    <row r="2902" spans="3:4">
      <c r="C2902" s="45"/>
      <c r="D2902" t="str">
        <f t="shared" si="53"/>
        <v>_</v>
      </c>
    </row>
    <row r="2903" spans="3:4">
      <c r="C2903" s="45"/>
      <c r="D2903" t="str">
        <f t="shared" si="53"/>
        <v>_</v>
      </c>
    </row>
    <row r="2904" spans="3:4">
      <c r="C2904" s="45"/>
      <c r="D2904" t="str">
        <f t="shared" si="53"/>
        <v>_</v>
      </c>
    </row>
    <row r="2905" spans="3:4">
      <c r="C2905" s="45"/>
      <c r="D2905" t="str">
        <f t="shared" si="53"/>
        <v>_</v>
      </c>
    </row>
    <row r="2906" spans="3:4">
      <c r="C2906" s="45"/>
      <c r="D2906" t="str">
        <f t="shared" si="53"/>
        <v>_</v>
      </c>
    </row>
    <row r="2907" spans="3:4">
      <c r="C2907" s="45"/>
      <c r="D2907" t="str">
        <f t="shared" si="53"/>
        <v>_</v>
      </c>
    </row>
    <row r="2908" spans="3:4">
      <c r="C2908" s="45"/>
      <c r="D2908" t="str">
        <f t="shared" si="53"/>
        <v>_</v>
      </c>
    </row>
    <row r="2909" spans="3:4">
      <c r="C2909" s="45"/>
      <c r="D2909" t="str">
        <f t="shared" si="53"/>
        <v>_</v>
      </c>
    </row>
    <row r="2910" spans="3:4">
      <c r="C2910" s="45"/>
      <c r="D2910" t="str">
        <f t="shared" si="53"/>
        <v>_</v>
      </c>
    </row>
    <row r="2911" spans="3:4">
      <c r="C2911" s="45"/>
      <c r="D2911" t="str">
        <f t="shared" si="53"/>
        <v>_</v>
      </c>
    </row>
    <row r="2912" spans="3:4">
      <c r="C2912" s="45"/>
      <c r="D2912" t="str">
        <f t="shared" si="53"/>
        <v>_</v>
      </c>
    </row>
    <row r="2913" spans="3:4">
      <c r="C2913" s="45"/>
      <c r="D2913" t="str">
        <f t="shared" si="53"/>
        <v>_</v>
      </c>
    </row>
    <row r="2914" spans="3:4">
      <c r="C2914" s="45"/>
      <c r="D2914" t="str">
        <f t="shared" si="53"/>
        <v>_</v>
      </c>
    </row>
    <row r="2915" spans="3:4">
      <c r="C2915" s="45"/>
      <c r="D2915" t="str">
        <f t="shared" si="53"/>
        <v>_</v>
      </c>
    </row>
    <row r="2916" spans="3:4">
      <c r="C2916" s="45"/>
      <c r="D2916" t="str">
        <f t="shared" si="53"/>
        <v>_</v>
      </c>
    </row>
    <row r="2917" spans="3:4">
      <c r="C2917" s="45"/>
      <c r="D2917" t="str">
        <f t="shared" si="53"/>
        <v>_</v>
      </c>
    </row>
    <row r="2918" spans="3:4">
      <c r="C2918" s="45"/>
      <c r="D2918" t="str">
        <f t="shared" si="53"/>
        <v>_</v>
      </c>
    </row>
    <row r="2919" spans="3:4">
      <c r="C2919" s="45"/>
      <c r="D2919" t="str">
        <f t="shared" si="53"/>
        <v>_</v>
      </c>
    </row>
    <row r="2920" spans="3:4">
      <c r="C2920" s="45"/>
      <c r="D2920" t="str">
        <f t="shared" si="53"/>
        <v>_</v>
      </c>
    </row>
    <row r="2921" spans="3:4">
      <c r="C2921" s="45"/>
      <c r="D2921" t="str">
        <f t="shared" si="53"/>
        <v>_</v>
      </c>
    </row>
    <row r="2922" spans="3:4">
      <c r="C2922" s="45"/>
      <c r="D2922" t="str">
        <f t="shared" si="53"/>
        <v>_</v>
      </c>
    </row>
    <row r="2923" spans="3:4">
      <c r="C2923" s="45"/>
      <c r="D2923" t="str">
        <f t="shared" si="53"/>
        <v>_</v>
      </c>
    </row>
    <row r="2924" spans="3:4">
      <c r="C2924" s="45"/>
      <c r="D2924" t="str">
        <f t="shared" si="53"/>
        <v>_</v>
      </c>
    </row>
    <row r="2925" spans="3:4">
      <c r="C2925" s="45"/>
      <c r="D2925" t="str">
        <f t="shared" si="53"/>
        <v>_</v>
      </c>
    </row>
    <row r="2926" spans="3:4">
      <c r="C2926" s="45"/>
      <c r="D2926" t="str">
        <f t="shared" ref="D2926:D2989" si="54">_xlfn.CONCAT(A2926,"_",B2926)</f>
        <v>_</v>
      </c>
    </row>
    <row r="2927" spans="3:4">
      <c r="C2927" s="45"/>
      <c r="D2927" t="str">
        <f t="shared" si="54"/>
        <v>_</v>
      </c>
    </row>
    <row r="2928" spans="3:4">
      <c r="C2928" s="45"/>
      <c r="D2928" t="str">
        <f t="shared" si="54"/>
        <v>_</v>
      </c>
    </row>
    <row r="2929" spans="3:4">
      <c r="C2929" s="45"/>
      <c r="D2929" t="str">
        <f t="shared" si="54"/>
        <v>_</v>
      </c>
    </row>
    <row r="2930" spans="3:4">
      <c r="C2930" s="45"/>
      <c r="D2930" t="str">
        <f t="shared" si="54"/>
        <v>_</v>
      </c>
    </row>
    <row r="2931" spans="3:4">
      <c r="C2931" s="45"/>
      <c r="D2931" t="str">
        <f t="shared" si="54"/>
        <v>_</v>
      </c>
    </row>
    <row r="2932" spans="3:4">
      <c r="C2932" s="45"/>
      <c r="D2932" t="str">
        <f t="shared" si="54"/>
        <v>_</v>
      </c>
    </row>
    <row r="2933" spans="3:4">
      <c r="C2933" s="45"/>
      <c r="D2933" t="str">
        <f t="shared" si="54"/>
        <v>_</v>
      </c>
    </row>
    <row r="2934" spans="3:4">
      <c r="C2934" s="45"/>
      <c r="D2934" t="str">
        <f t="shared" si="54"/>
        <v>_</v>
      </c>
    </row>
    <row r="2935" spans="3:4">
      <c r="C2935" s="45"/>
      <c r="D2935" t="str">
        <f t="shared" si="54"/>
        <v>_</v>
      </c>
    </row>
    <row r="2936" spans="3:4">
      <c r="C2936" s="45"/>
      <c r="D2936" t="str">
        <f t="shared" si="54"/>
        <v>_</v>
      </c>
    </row>
    <row r="2937" spans="3:4">
      <c r="C2937" s="45"/>
      <c r="D2937" t="str">
        <f t="shared" si="54"/>
        <v>_</v>
      </c>
    </row>
    <row r="2938" spans="3:4">
      <c r="C2938" s="45"/>
      <c r="D2938" t="str">
        <f t="shared" si="54"/>
        <v>_</v>
      </c>
    </row>
    <row r="2939" spans="3:4">
      <c r="C2939" s="45"/>
      <c r="D2939" t="str">
        <f t="shared" si="54"/>
        <v>_</v>
      </c>
    </row>
    <row r="2940" spans="3:4">
      <c r="C2940" s="45"/>
      <c r="D2940" t="str">
        <f t="shared" si="54"/>
        <v>_</v>
      </c>
    </row>
    <row r="2941" spans="3:4">
      <c r="C2941" s="45"/>
      <c r="D2941" t="str">
        <f t="shared" si="54"/>
        <v>_</v>
      </c>
    </row>
    <row r="2942" spans="3:4">
      <c r="C2942" s="45"/>
      <c r="D2942" t="str">
        <f t="shared" si="54"/>
        <v>_</v>
      </c>
    </row>
    <row r="2943" spans="3:4">
      <c r="C2943" s="45"/>
      <c r="D2943" t="str">
        <f t="shared" si="54"/>
        <v>_</v>
      </c>
    </row>
    <row r="2944" spans="3:4">
      <c r="C2944" s="45"/>
      <c r="D2944" t="str">
        <f t="shared" si="54"/>
        <v>_</v>
      </c>
    </row>
    <row r="2945" spans="3:4">
      <c r="C2945" s="45"/>
      <c r="D2945" t="str">
        <f t="shared" si="54"/>
        <v>_</v>
      </c>
    </row>
    <row r="2946" spans="3:4">
      <c r="C2946" s="45"/>
      <c r="D2946" t="str">
        <f t="shared" si="54"/>
        <v>_</v>
      </c>
    </row>
    <row r="2947" spans="3:4">
      <c r="C2947" s="45"/>
      <c r="D2947" t="str">
        <f t="shared" si="54"/>
        <v>_</v>
      </c>
    </row>
    <row r="2948" spans="3:4">
      <c r="C2948" s="45"/>
      <c r="D2948" t="str">
        <f t="shared" si="54"/>
        <v>_</v>
      </c>
    </row>
    <row r="2949" spans="3:4">
      <c r="C2949" s="45"/>
      <c r="D2949" t="str">
        <f t="shared" si="54"/>
        <v>_</v>
      </c>
    </row>
    <row r="2950" spans="3:4">
      <c r="C2950" s="45"/>
      <c r="D2950" t="str">
        <f t="shared" si="54"/>
        <v>_</v>
      </c>
    </row>
    <row r="2951" spans="3:4">
      <c r="C2951" s="45"/>
      <c r="D2951" t="str">
        <f t="shared" si="54"/>
        <v>_</v>
      </c>
    </row>
    <row r="2952" spans="3:4">
      <c r="C2952" s="45"/>
      <c r="D2952" t="str">
        <f t="shared" si="54"/>
        <v>_</v>
      </c>
    </row>
    <row r="2953" spans="3:4">
      <c r="C2953" s="45"/>
      <c r="D2953" t="str">
        <f t="shared" si="54"/>
        <v>_</v>
      </c>
    </row>
    <row r="2954" spans="3:4">
      <c r="C2954" s="45"/>
      <c r="D2954" t="str">
        <f t="shared" si="54"/>
        <v>_</v>
      </c>
    </row>
    <row r="2955" spans="3:4">
      <c r="C2955" s="45"/>
      <c r="D2955" t="str">
        <f t="shared" si="54"/>
        <v>_</v>
      </c>
    </row>
    <row r="2956" spans="3:4">
      <c r="C2956" s="45"/>
      <c r="D2956" t="str">
        <f t="shared" si="54"/>
        <v>_</v>
      </c>
    </row>
    <row r="2957" spans="3:4">
      <c r="C2957" s="45"/>
      <c r="D2957" t="str">
        <f t="shared" si="54"/>
        <v>_</v>
      </c>
    </row>
    <row r="2958" spans="3:4">
      <c r="C2958" s="45"/>
      <c r="D2958" t="str">
        <f t="shared" si="54"/>
        <v>_</v>
      </c>
    </row>
    <row r="2959" spans="3:4">
      <c r="C2959" s="45"/>
      <c r="D2959" t="str">
        <f t="shared" si="54"/>
        <v>_</v>
      </c>
    </row>
    <row r="2960" spans="3:4">
      <c r="C2960" s="45"/>
      <c r="D2960" t="str">
        <f t="shared" si="54"/>
        <v>_</v>
      </c>
    </row>
    <row r="2961" spans="3:4">
      <c r="C2961" s="45"/>
      <c r="D2961" t="str">
        <f t="shared" si="54"/>
        <v>_</v>
      </c>
    </row>
    <row r="2962" spans="3:4">
      <c r="C2962" s="45"/>
      <c r="D2962" t="str">
        <f t="shared" si="54"/>
        <v>_</v>
      </c>
    </row>
    <row r="2963" spans="3:4">
      <c r="C2963" s="45"/>
      <c r="D2963" t="str">
        <f t="shared" si="54"/>
        <v>_</v>
      </c>
    </row>
    <row r="2964" spans="3:4">
      <c r="C2964" s="45"/>
      <c r="D2964" t="str">
        <f t="shared" si="54"/>
        <v>_</v>
      </c>
    </row>
    <row r="2965" spans="3:4">
      <c r="C2965" s="45"/>
      <c r="D2965" t="str">
        <f t="shared" si="54"/>
        <v>_</v>
      </c>
    </row>
    <row r="2966" spans="3:4">
      <c r="C2966" s="45"/>
      <c r="D2966" t="str">
        <f t="shared" si="54"/>
        <v>_</v>
      </c>
    </row>
    <row r="2967" spans="3:4">
      <c r="C2967" s="45"/>
      <c r="D2967" t="str">
        <f t="shared" si="54"/>
        <v>_</v>
      </c>
    </row>
    <row r="2968" spans="3:4">
      <c r="C2968" s="45"/>
      <c r="D2968" t="str">
        <f t="shared" si="54"/>
        <v>_</v>
      </c>
    </row>
    <row r="2969" spans="3:4">
      <c r="C2969" s="45"/>
      <c r="D2969" t="str">
        <f t="shared" si="54"/>
        <v>_</v>
      </c>
    </row>
    <row r="2970" spans="3:4">
      <c r="C2970" s="45"/>
      <c r="D2970" t="str">
        <f t="shared" si="54"/>
        <v>_</v>
      </c>
    </row>
    <row r="2971" spans="3:4">
      <c r="C2971" s="45"/>
      <c r="D2971" t="str">
        <f t="shared" si="54"/>
        <v>_</v>
      </c>
    </row>
    <row r="2972" spans="3:4">
      <c r="C2972" s="45"/>
      <c r="D2972" t="str">
        <f t="shared" si="54"/>
        <v>_</v>
      </c>
    </row>
    <row r="2973" spans="3:4">
      <c r="C2973" s="45"/>
      <c r="D2973" t="str">
        <f t="shared" si="54"/>
        <v>_</v>
      </c>
    </row>
    <row r="2974" spans="3:4">
      <c r="C2974" s="45"/>
      <c r="D2974" t="str">
        <f t="shared" si="54"/>
        <v>_</v>
      </c>
    </row>
    <row r="2975" spans="3:4">
      <c r="C2975" s="45"/>
      <c r="D2975" t="str">
        <f t="shared" si="54"/>
        <v>_</v>
      </c>
    </row>
    <row r="2976" spans="3:4">
      <c r="C2976" s="45"/>
      <c r="D2976" t="str">
        <f t="shared" si="54"/>
        <v>_</v>
      </c>
    </row>
    <row r="2977" spans="3:4">
      <c r="C2977" s="45"/>
      <c r="D2977" t="str">
        <f t="shared" si="54"/>
        <v>_</v>
      </c>
    </row>
    <row r="2978" spans="3:4">
      <c r="C2978" s="45"/>
      <c r="D2978" t="str">
        <f t="shared" si="54"/>
        <v>_</v>
      </c>
    </row>
    <row r="2979" spans="3:4">
      <c r="C2979" s="45"/>
      <c r="D2979" t="str">
        <f t="shared" si="54"/>
        <v>_</v>
      </c>
    </row>
    <row r="2980" spans="3:4">
      <c r="C2980" s="45"/>
      <c r="D2980" t="str">
        <f t="shared" si="54"/>
        <v>_</v>
      </c>
    </row>
    <row r="2981" spans="3:4">
      <c r="C2981" s="45"/>
      <c r="D2981" t="str">
        <f t="shared" si="54"/>
        <v>_</v>
      </c>
    </row>
    <row r="2982" spans="3:4">
      <c r="C2982" s="45"/>
      <c r="D2982" t="str">
        <f t="shared" si="54"/>
        <v>_</v>
      </c>
    </row>
    <row r="2983" spans="3:4">
      <c r="C2983" s="45"/>
      <c r="D2983" t="str">
        <f t="shared" si="54"/>
        <v>_</v>
      </c>
    </row>
    <row r="2984" spans="3:4">
      <c r="C2984" s="45"/>
      <c r="D2984" t="str">
        <f t="shared" si="54"/>
        <v>_</v>
      </c>
    </row>
    <row r="2985" spans="3:4">
      <c r="C2985" s="45"/>
      <c r="D2985" t="str">
        <f t="shared" si="54"/>
        <v>_</v>
      </c>
    </row>
    <row r="2986" spans="3:4">
      <c r="C2986" s="45"/>
      <c r="D2986" t="str">
        <f t="shared" si="54"/>
        <v>_</v>
      </c>
    </row>
    <row r="2987" spans="3:4">
      <c r="C2987" s="45"/>
      <c r="D2987" t="str">
        <f t="shared" si="54"/>
        <v>_</v>
      </c>
    </row>
    <row r="2988" spans="3:4">
      <c r="C2988" s="45"/>
      <c r="D2988" t="str">
        <f t="shared" si="54"/>
        <v>_</v>
      </c>
    </row>
    <row r="2989" spans="3:4">
      <c r="C2989" s="45"/>
      <c r="D2989" t="str">
        <f t="shared" si="54"/>
        <v>_</v>
      </c>
    </row>
    <row r="2990" spans="3:4">
      <c r="C2990" s="45"/>
      <c r="D2990" t="str">
        <f t="shared" ref="D2990:D3053" si="55">_xlfn.CONCAT(A2990,"_",B2990)</f>
        <v>_</v>
      </c>
    </row>
    <row r="2991" spans="3:4">
      <c r="C2991" s="45"/>
      <c r="D2991" t="str">
        <f t="shared" si="55"/>
        <v>_</v>
      </c>
    </row>
    <row r="2992" spans="3:4">
      <c r="C2992" s="45"/>
      <c r="D2992" t="str">
        <f t="shared" si="55"/>
        <v>_</v>
      </c>
    </row>
    <row r="2993" spans="3:4">
      <c r="C2993" s="45"/>
      <c r="D2993" t="str">
        <f t="shared" si="55"/>
        <v>_</v>
      </c>
    </row>
    <row r="2994" spans="3:4">
      <c r="C2994" s="45"/>
      <c r="D2994" t="str">
        <f t="shared" si="55"/>
        <v>_</v>
      </c>
    </row>
    <row r="2995" spans="3:4">
      <c r="C2995" s="45"/>
      <c r="D2995" t="str">
        <f t="shared" si="55"/>
        <v>_</v>
      </c>
    </row>
    <row r="2996" spans="3:4">
      <c r="C2996" s="45"/>
      <c r="D2996" t="str">
        <f t="shared" si="55"/>
        <v>_</v>
      </c>
    </row>
    <row r="2997" spans="3:4">
      <c r="C2997" s="45"/>
      <c r="D2997" t="str">
        <f t="shared" si="55"/>
        <v>_</v>
      </c>
    </row>
    <row r="2998" spans="3:4">
      <c r="C2998" s="45"/>
      <c r="D2998" t="str">
        <f t="shared" si="55"/>
        <v>_</v>
      </c>
    </row>
    <row r="2999" spans="3:4">
      <c r="C2999" s="45"/>
      <c r="D2999" t="str">
        <f t="shared" si="55"/>
        <v>_</v>
      </c>
    </row>
    <row r="3000" spans="3:4">
      <c r="C3000" s="45"/>
      <c r="D3000" t="str">
        <f t="shared" si="55"/>
        <v>_</v>
      </c>
    </row>
    <row r="3001" spans="3:4">
      <c r="C3001" s="45"/>
      <c r="D3001" t="str">
        <f t="shared" si="55"/>
        <v>_</v>
      </c>
    </row>
    <row r="3002" spans="3:4">
      <c r="C3002" s="45"/>
      <c r="D3002" t="str">
        <f t="shared" si="55"/>
        <v>_</v>
      </c>
    </row>
    <row r="3003" spans="3:4">
      <c r="C3003" s="45"/>
      <c r="D3003" t="str">
        <f t="shared" si="55"/>
        <v>_</v>
      </c>
    </row>
    <row r="3004" spans="3:4">
      <c r="C3004" s="45"/>
      <c r="D3004" t="str">
        <f t="shared" si="55"/>
        <v>_</v>
      </c>
    </row>
    <row r="3005" spans="3:4">
      <c r="C3005" s="45"/>
      <c r="D3005" t="str">
        <f t="shared" si="55"/>
        <v>_</v>
      </c>
    </row>
    <row r="3006" spans="3:4">
      <c r="C3006" s="45"/>
      <c r="D3006" t="str">
        <f t="shared" si="55"/>
        <v>_</v>
      </c>
    </row>
    <row r="3007" spans="3:4">
      <c r="C3007" s="45"/>
      <c r="D3007" t="str">
        <f t="shared" si="55"/>
        <v>_</v>
      </c>
    </row>
    <row r="3008" spans="3:4">
      <c r="C3008" s="45"/>
      <c r="D3008" t="str">
        <f t="shared" si="55"/>
        <v>_</v>
      </c>
    </row>
    <row r="3009" spans="3:4">
      <c r="C3009" s="45"/>
      <c r="D3009" t="str">
        <f t="shared" si="55"/>
        <v>_</v>
      </c>
    </row>
    <row r="3010" spans="3:4">
      <c r="C3010" s="45"/>
      <c r="D3010" t="str">
        <f t="shared" si="55"/>
        <v>_</v>
      </c>
    </row>
    <row r="3011" spans="3:4">
      <c r="C3011" s="45"/>
      <c r="D3011" t="str">
        <f t="shared" si="55"/>
        <v>_</v>
      </c>
    </row>
    <row r="3012" spans="3:4">
      <c r="C3012" s="45"/>
      <c r="D3012" t="str">
        <f t="shared" si="55"/>
        <v>_</v>
      </c>
    </row>
    <row r="3013" spans="3:4">
      <c r="C3013" s="45"/>
      <c r="D3013" t="str">
        <f t="shared" si="55"/>
        <v>_</v>
      </c>
    </row>
    <row r="3014" spans="3:4">
      <c r="C3014" s="45"/>
      <c r="D3014" t="str">
        <f t="shared" si="55"/>
        <v>_</v>
      </c>
    </row>
    <row r="3015" spans="3:4">
      <c r="C3015" s="45"/>
      <c r="D3015" t="str">
        <f t="shared" si="55"/>
        <v>_</v>
      </c>
    </row>
    <row r="3016" spans="3:4">
      <c r="C3016" s="45"/>
      <c r="D3016" t="str">
        <f t="shared" si="55"/>
        <v>_</v>
      </c>
    </row>
    <row r="3017" spans="3:4">
      <c r="C3017" s="45"/>
      <c r="D3017" t="str">
        <f t="shared" si="55"/>
        <v>_</v>
      </c>
    </row>
    <row r="3018" spans="3:4">
      <c r="C3018" s="45"/>
      <c r="D3018" t="str">
        <f t="shared" si="55"/>
        <v>_</v>
      </c>
    </row>
    <row r="3019" spans="3:4">
      <c r="C3019" s="45"/>
      <c r="D3019" t="str">
        <f t="shared" si="55"/>
        <v>_</v>
      </c>
    </row>
    <row r="3020" spans="3:4">
      <c r="C3020" s="45"/>
      <c r="D3020" t="str">
        <f t="shared" si="55"/>
        <v>_</v>
      </c>
    </row>
    <row r="3021" spans="3:4">
      <c r="C3021" s="45"/>
      <c r="D3021" t="str">
        <f t="shared" si="55"/>
        <v>_</v>
      </c>
    </row>
    <row r="3022" spans="3:4">
      <c r="C3022" s="45"/>
      <c r="D3022" t="str">
        <f t="shared" si="55"/>
        <v>_</v>
      </c>
    </row>
    <row r="3023" spans="3:4">
      <c r="C3023" s="45"/>
      <c r="D3023" t="str">
        <f t="shared" si="55"/>
        <v>_</v>
      </c>
    </row>
    <row r="3024" spans="3:4">
      <c r="C3024" s="45"/>
      <c r="D3024" t="str">
        <f t="shared" si="55"/>
        <v>_</v>
      </c>
    </row>
    <row r="3025" spans="3:4">
      <c r="C3025" s="45"/>
      <c r="D3025" t="str">
        <f t="shared" si="55"/>
        <v>_</v>
      </c>
    </row>
    <row r="3026" spans="3:4">
      <c r="C3026" s="45"/>
      <c r="D3026" t="str">
        <f t="shared" si="55"/>
        <v>_</v>
      </c>
    </row>
    <row r="3027" spans="3:4">
      <c r="C3027" s="45"/>
      <c r="D3027" t="str">
        <f t="shared" si="55"/>
        <v>_</v>
      </c>
    </row>
    <row r="3028" spans="3:4">
      <c r="C3028" s="45"/>
      <c r="D3028" t="str">
        <f t="shared" si="55"/>
        <v>_</v>
      </c>
    </row>
    <row r="3029" spans="3:4">
      <c r="C3029" s="45"/>
      <c r="D3029" t="str">
        <f t="shared" si="55"/>
        <v>_</v>
      </c>
    </row>
    <row r="3030" spans="3:4">
      <c r="C3030" s="45"/>
      <c r="D3030" t="str">
        <f t="shared" si="55"/>
        <v>_</v>
      </c>
    </row>
    <row r="3031" spans="3:4">
      <c r="C3031" s="45"/>
      <c r="D3031" t="str">
        <f t="shared" si="55"/>
        <v>_</v>
      </c>
    </row>
    <row r="3032" spans="3:4">
      <c r="C3032" s="45"/>
      <c r="D3032" t="str">
        <f t="shared" si="55"/>
        <v>_</v>
      </c>
    </row>
    <row r="3033" spans="3:4">
      <c r="C3033" s="45"/>
      <c r="D3033" t="str">
        <f t="shared" si="55"/>
        <v>_</v>
      </c>
    </row>
    <row r="3034" spans="3:4">
      <c r="C3034" s="45"/>
      <c r="D3034" t="str">
        <f t="shared" si="55"/>
        <v>_</v>
      </c>
    </row>
    <row r="3035" spans="3:4">
      <c r="C3035" s="45"/>
      <c r="D3035" t="str">
        <f t="shared" si="55"/>
        <v>_</v>
      </c>
    </row>
    <row r="3036" spans="3:4">
      <c r="C3036" s="45"/>
      <c r="D3036" t="str">
        <f t="shared" si="55"/>
        <v>_</v>
      </c>
    </row>
    <row r="3037" spans="3:4">
      <c r="C3037" s="45"/>
      <c r="D3037" t="str">
        <f t="shared" si="55"/>
        <v>_</v>
      </c>
    </row>
    <row r="3038" spans="3:4">
      <c r="C3038" s="45"/>
      <c r="D3038" t="str">
        <f t="shared" si="55"/>
        <v>_</v>
      </c>
    </row>
    <row r="3039" spans="3:4">
      <c r="C3039" s="45"/>
      <c r="D3039" t="str">
        <f t="shared" si="55"/>
        <v>_</v>
      </c>
    </row>
    <row r="3040" spans="3:4">
      <c r="C3040" s="45"/>
      <c r="D3040" t="str">
        <f t="shared" si="55"/>
        <v>_</v>
      </c>
    </row>
    <row r="3041" spans="3:4">
      <c r="C3041" s="45"/>
      <c r="D3041" t="str">
        <f t="shared" si="55"/>
        <v>_</v>
      </c>
    </row>
    <row r="3042" spans="3:4">
      <c r="C3042" s="45"/>
      <c r="D3042" t="str">
        <f t="shared" si="55"/>
        <v>_</v>
      </c>
    </row>
    <row r="3043" spans="3:4">
      <c r="C3043" s="45"/>
      <c r="D3043" t="str">
        <f t="shared" si="55"/>
        <v>_</v>
      </c>
    </row>
    <row r="3044" spans="3:4">
      <c r="C3044" s="45"/>
      <c r="D3044" t="str">
        <f t="shared" si="55"/>
        <v>_</v>
      </c>
    </row>
    <row r="3045" spans="3:4">
      <c r="C3045" s="45"/>
      <c r="D3045" t="str">
        <f t="shared" si="55"/>
        <v>_</v>
      </c>
    </row>
    <row r="3046" spans="3:4">
      <c r="C3046" s="45"/>
      <c r="D3046" t="str">
        <f t="shared" si="55"/>
        <v>_</v>
      </c>
    </row>
    <row r="3047" spans="3:4">
      <c r="C3047" s="45"/>
      <c r="D3047" t="str">
        <f t="shared" si="55"/>
        <v>_</v>
      </c>
    </row>
    <row r="3048" spans="3:4">
      <c r="C3048" s="45"/>
      <c r="D3048" t="str">
        <f t="shared" si="55"/>
        <v>_</v>
      </c>
    </row>
    <row r="3049" spans="3:4">
      <c r="C3049" s="45"/>
      <c r="D3049" t="str">
        <f t="shared" si="55"/>
        <v>_</v>
      </c>
    </row>
    <row r="3050" spans="3:4">
      <c r="C3050" s="45"/>
      <c r="D3050" t="str">
        <f t="shared" si="55"/>
        <v>_</v>
      </c>
    </row>
    <row r="3051" spans="3:4">
      <c r="C3051" s="45"/>
      <c r="D3051" t="str">
        <f t="shared" si="55"/>
        <v>_</v>
      </c>
    </row>
    <row r="3052" spans="3:4">
      <c r="C3052" s="45"/>
      <c r="D3052" t="str">
        <f t="shared" si="55"/>
        <v>_</v>
      </c>
    </row>
    <row r="3053" spans="3:4">
      <c r="C3053" s="45"/>
      <c r="D3053" t="str">
        <f t="shared" si="55"/>
        <v>_</v>
      </c>
    </row>
    <row r="3054" spans="3:4">
      <c r="C3054" s="45"/>
      <c r="D3054" t="str">
        <f t="shared" ref="D3054:D3117" si="56">_xlfn.CONCAT(A3054,"_",B3054)</f>
        <v>_</v>
      </c>
    </row>
    <row r="3055" spans="3:4">
      <c r="C3055" s="45"/>
      <c r="D3055" t="str">
        <f t="shared" si="56"/>
        <v>_</v>
      </c>
    </row>
    <row r="3056" spans="3:4">
      <c r="C3056" s="45"/>
      <c r="D3056" t="str">
        <f t="shared" si="56"/>
        <v>_</v>
      </c>
    </row>
    <row r="3057" spans="3:4">
      <c r="C3057" s="45"/>
      <c r="D3057" t="str">
        <f t="shared" si="56"/>
        <v>_</v>
      </c>
    </row>
    <row r="3058" spans="3:4">
      <c r="C3058" s="45"/>
      <c r="D3058" t="str">
        <f t="shared" si="56"/>
        <v>_</v>
      </c>
    </row>
    <row r="3059" spans="3:4">
      <c r="C3059" s="45"/>
      <c r="D3059" t="str">
        <f t="shared" si="56"/>
        <v>_</v>
      </c>
    </row>
    <row r="3060" spans="3:4">
      <c r="C3060" s="45"/>
      <c r="D3060" t="str">
        <f t="shared" si="56"/>
        <v>_</v>
      </c>
    </row>
    <row r="3061" spans="3:4">
      <c r="C3061" s="45"/>
      <c r="D3061" t="str">
        <f t="shared" si="56"/>
        <v>_</v>
      </c>
    </row>
    <row r="3062" spans="3:4">
      <c r="C3062" s="45"/>
      <c r="D3062" t="str">
        <f t="shared" si="56"/>
        <v>_</v>
      </c>
    </row>
    <row r="3063" spans="3:4">
      <c r="C3063" s="45"/>
      <c r="D3063" t="str">
        <f t="shared" si="56"/>
        <v>_</v>
      </c>
    </row>
    <row r="3064" spans="3:4">
      <c r="C3064" s="45"/>
      <c r="D3064" t="str">
        <f t="shared" si="56"/>
        <v>_</v>
      </c>
    </row>
    <row r="3065" spans="3:4">
      <c r="C3065" s="45"/>
      <c r="D3065" t="str">
        <f t="shared" si="56"/>
        <v>_</v>
      </c>
    </row>
    <row r="3066" spans="3:4">
      <c r="C3066" s="45"/>
      <c r="D3066" t="str">
        <f t="shared" si="56"/>
        <v>_</v>
      </c>
    </row>
    <row r="3067" spans="3:4">
      <c r="C3067" s="45"/>
      <c r="D3067" t="str">
        <f t="shared" si="56"/>
        <v>_</v>
      </c>
    </row>
    <row r="3068" spans="3:4">
      <c r="C3068" s="45"/>
      <c r="D3068" t="str">
        <f t="shared" si="56"/>
        <v>_</v>
      </c>
    </row>
    <row r="3069" spans="3:4">
      <c r="C3069" s="45"/>
      <c r="D3069" t="str">
        <f t="shared" si="56"/>
        <v>_</v>
      </c>
    </row>
    <row r="3070" spans="3:4">
      <c r="C3070" s="45"/>
      <c r="D3070" t="str">
        <f t="shared" si="56"/>
        <v>_</v>
      </c>
    </row>
    <row r="3071" spans="3:4">
      <c r="C3071" s="45"/>
      <c r="D3071" t="str">
        <f t="shared" si="56"/>
        <v>_</v>
      </c>
    </row>
    <row r="3072" spans="3:4">
      <c r="C3072" s="45"/>
      <c r="D3072" t="str">
        <f t="shared" si="56"/>
        <v>_</v>
      </c>
    </row>
    <row r="3073" spans="3:4">
      <c r="C3073" s="45"/>
      <c r="D3073" t="str">
        <f t="shared" si="56"/>
        <v>_</v>
      </c>
    </row>
    <row r="3074" spans="3:4">
      <c r="C3074" s="45"/>
      <c r="D3074" t="str">
        <f t="shared" si="56"/>
        <v>_</v>
      </c>
    </row>
    <row r="3075" spans="3:4">
      <c r="C3075" s="45"/>
      <c r="D3075" t="str">
        <f t="shared" si="56"/>
        <v>_</v>
      </c>
    </row>
    <row r="3076" spans="3:4">
      <c r="C3076" s="45"/>
      <c r="D3076" t="str">
        <f t="shared" si="56"/>
        <v>_</v>
      </c>
    </row>
    <row r="3077" spans="3:4">
      <c r="C3077" s="45"/>
      <c r="D3077" t="str">
        <f t="shared" si="56"/>
        <v>_</v>
      </c>
    </row>
    <row r="3078" spans="3:4">
      <c r="C3078" s="45"/>
      <c r="D3078" t="str">
        <f t="shared" si="56"/>
        <v>_</v>
      </c>
    </row>
    <row r="3079" spans="3:4">
      <c r="C3079" s="45"/>
      <c r="D3079" t="str">
        <f t="shared" si="56"/>
        <v>_</v>
      </c>
    </row>
    <row r="3080" spans="3:4">
      <c r="C3080" s="45"/>
      <c r="D3080" t="str">
        <f t="shared" si="56"/>
        <v>_</v>
      </c>
    </row>
    <row r="3081" spans="3:4">
      <c r="C3081" s="45"/>
      <c r="D3081" t="str">
        <f t="shared" si="56"/>
        <v>_</v>
      </c>
    </row>
    <row r="3082" spans="3:4">
      <c r="C3082" s="45"/>
      <c r="D3082" t="str">
        <f t="shared" si="56"/>
        <v>_</v>
      </c>
    </row>
    <row r="3083" spans="3:4">
      <c r="C3083" s="45"/>
      <c r="D3083" t="str">
        <f t="shared" si="56"/>
        <v>_</v>
      </c>
    </row>
    <row r="3084" spans="3:4">
      <c r="C3084" s="45"/>
      <c r="D3084" t="str">
        <f t="shared" si="56"/>
        <v>_</v>
      </c>
    </row>
    <row r="3085" spans="3:4">
      <c r="C3085" s="45"/>
      <c r="D3085" t="str">
        <f t="shared" si="56"/>
        <v>_</v>
      </c>
    </row>
    <row r="3086" spans="3:4">
      <c r="C3086" s="45"/>
      <c r="D3086" t="str">
        <f t="shared" si="56"/>
        <v>_</v>
      </c>
    </row>
    <row r="3087" spans="3:4">
      <c r="C3087" s="45"/>
      <c r="D3087" t="str">
        <f t="shared" si="56"/>
        <v>_</v>
      </c>
    </row>
    <row r="3088" spans="3:4">
      <c r="C3088" s="45"/>
      <c r="D3088" t="str">
        <f t="shared" si="56"/>
        <v>_</v>
      </c>
    </row>
    <row r="3089" spans="3:4">
      <c r="C3089" s="45"/>
      <c r="D3089" t="str">
        <f t="shared" si="56"/>
        <v>_</v>
      </c>
    </row>
    <row r="3090" spans="3:4">
      <c r="C3090" s="45"/>
      <c r="D3090" t="str">
        <f t="shared" si="56"/>
        <v>_</v>
      </c>
    </row>
    <row r="3091" spans="3:4">
      <c r="C3091" s="45"/>
      <c r="D3091" t="str">
        <f t="shared" si="56"/>
        <v>_</v>
      </c>
    </row>
    <row r="3092" spans="3:4">
      <c r="C3092" s="45"/>
      <c r="D3092" t="str">
        <f t="shared" si="56"/>
        <v>_</v>
      </c>
    </row>
    <row r="3093" spans="3:4">
      <c r="C3093" s="45"/>
      <c r="D3093" t="str">
        <f t="shared" si="56"/>
        <v>_</v>
      </c>
    </row>
    <row r="3094" spans="3:4">
      <c r="C3094" s="45"/>
      <c r="D3094" t="str">
        <f t="shared" si="56"/>
        <v>_</v>
      </c>
    </row>
    <row r="3095" spans="3:4">
      <c r="C3095" s="45"/>
      <c r="D3095" t="str">
        <f t="shared" si="56"/>
        <v>_</v>
      </c>
    </row>
    <row r="3096" spans="3:4">
      <c r="C3096" s="45"/>
      <c r="D3096" t="str">
        <f t="shared" si="56"/>
        <v>_</v>
      </c>
    </row>
    <row r="3097" spans="3:4">
      <c r="C3097" s="45"/>
      <c r="D3097" t="str">
        <f t="shared" si="56"/>
        <v>_</v>
      </c>
    </row>
    <row r="3098" spans="3:4">
      <c r="C3098" s="45"/>
      <c r="D3098" t="str">
        <f t="shared" si="56"/>
        <v>_</v>
      </c>
    </row>
    <row r="3099" spans="3:4">
      <c r="C3099" s="45"/>
      <c r="D3099" t="str">
        <f t="shared" si="56"/>
        <v>_</v>
      </c>
    </row>
    <row r="3100" spans="3:4">
      <c r="C3100" s="45"/>
      <c r="D3100" t="str">
        <f t="shared" si="56"/>
        <v>_</v>
      </c>
    </row>
    <row r="3101" spans="3:4">
      <c r="C3101" s="45"/>
      <c r="D3101" t="str">
        <f t="shared" si="56"/>
        <v>_</v>
      </c>
    </row>
    <row r="3102" spans="3:4">
      <c r="C3102" s="45"/>
      <c r="D3102" t="str">
        <f t="shared" si="56"/>
        <v>_</v>
      </c>
    </row>
    <row r="3103" spans="3:4">
      <c r="C3103" s="45"/>
      <c r="D3103" t="str">
        <f t="shared" si="56"/>
        <v>_</v>
      </c>
    </row>
    <row r="3104" spans="3:4">
      <c r="C3104" s="45"/>
      <c r="D3104" t="str">
        <f t="shared" si="56"/>
        <v>_</v>
      </c>
    </row>
    <row r="3105" spans="3:4">
      <c r="C3105" s="45"/>
      <c r="D3105" t="str">
        <f t="shared" si="56"/>
        <v>_</v>
      </c>
    </row>
    <row r="3106" spans="3:4">
      <c r="C3106" s="45"/>
      <c r="D3106" t="str">
        <f t="shared" si="56"/>
        <v>_</v>
      </c>
    </row>
    <row r="3107" spans="3:4">
      <c r="C3107" s="45"/>
      <c r="D3107" t="str">
        <f t="shared" si="56"/>
        <v>_</v>
      </c>
    </row>
    <row r="3108" spans="3:4">
      <c r="C3108" s="45"/>
      <c r="D3108" t="str">
        <f t="shared" si="56"/>
        <v>_</v>
      </c>
    </row>
    <row r="3109" spans="3:4">
      <c r="C3109" s="45"/>
      <c r="D3109" t="str">
        <f t="shared" si="56"/>
        <v>_</v>
      </c>
    </row>
    <row r="3110" spans="3:4">
      <c r="C3110" s="45"/>
      <c r="D3110" t="str">
        <f t="shared" si="56"/>
        <v>_</v>
      </c>
    </row>
    <row r="3111" spans="3:4">
      <c r="C3111" s="45"/>
      <c r="D3111" t="str">
        <f t="shared" si="56"/>
        <v>_</v>
      </c>
    </row>
    <row r="3112" spans="3:4">
      <c r="C3112" s="45"/>
      <c r="D3112" t="str">
        <f t="shared" si="56"/>
        <v>_</v>
      </c>
    </row>
    <row r="3113" spans="3:4">
      <c r="C3113" s="45"/>
      <c r="D3113" t="str">
        <f t="shared" si="56"/>
        <v>_</v>
      </c>
    </row>
    <row r="3114" spans="3:4">
      <c r="C3114" s="45"/>
      <c r="D3114" t="str">
        <f t="shared" si="56"/>
        <v>_</v>
      </c>
    </row>
    <row r="3115" spans="3:4">
      <c r="C3115" s="45"/>
      <c r="D3115" t="str">
        <f t="shared" si="56"/>
        <v>_</v>
      </c>
    </row>
    <row r="3116" spans="3:4">
      <c r="C3116" s="45"/>
      <c r="D3116" t="str">
        <f t="shared" si="56"/>
        <v>_</v>
      </c>
    </row>
    <row r="3117" spans="3:4">
      <c r="C3117" s="45"/>
      <c r="D3117" t="str">
        <f t="shared" si="56"/>
        <v>_</v>
      </c>
    </row>
    <row r="3118" spans="3:4">
      <c r="C3118" s="45"/>
      <c r="D3118" t="str">
        <f t="shared" ref="D3118:D3181" si="57">_xlfn.CONCAT(A3118,"_",B3118)</f>
        <v>_</v>
      </c>
    </row>
    <row r="3119" spans="3:4">
      <c r="C3119" s="45"/>
      <c r="D3119" t="str">
        <f t="shared" si="57"/>
        <v>_</v>
      </c>
    </row>
    <row r="3120" spans="3:4">
      <c r="C3120" s="45"/>
      <c r="D3120" t="str">
        <f t="shared" si="57"/>
        <v>_</v>
      </c>
    </row>
    <row r="3121" spans="3:4">
      <c r="C3121" s="45"/>
      <c r="D3121" t="str">
        <f t="shared" si="57"/>
        <v>_</v>
      </c>
    </row>
    <row r="3122" spans="3:4">
      <c r="C3122" s="45"/>
      <c r="D3122" t="str">
        <f t="shared" si="57"/>
        <v>_</v>
      </c>
    </row>
    <row r="3123" spans="3:4">
      <c r="C3123" s="45"/>
      <c r="D3123" t="str">
        <f t="shared" si="57"/>
        <v>_</v>
      </c>
    </row>
    <row r="3124" spans="3:4">
      <c r="C3124" s="45"/>
      <c r="D3124" t="str">
        <f t="shared" si="57"/>
        <v>_</v>
      </c>
    </row>
    <row r="3125" spans="3:4">
      <c r="C3125" s="45"/>
      <c r="D3125" t="str">
        <f t="shared" si="57"/>
        <v>_</v>
      </c>
    </row>
    <row r="3126" spans="3:4">
      <c r="C3126" s="45"/>
      <c r="D3126" t="str">
        <f t="shared" si="57"/>
        <v>_</v>
      </c>
    </row>
    <row r="3127" spans="3:4">
      <c r="C3127" s="45"/>
      <c r="D3127" t="str">
        <f t="shared" si="57"/>
        <v>_</v>
      </c>
    </row>
    <row r="3128" spans="3:4">
      <c r="C3128" s="45"/>
      <c r="D3128" t="str">
        <f t="shared" si="57"/>
        <v>_</v>
      </c>
    </row>
    <row r="3129" spans="3:4">
      <c r="C3129" s="45"/>
      <c r="D3129" t="str">
        <f t="shared" si="57"/>
        <v>_</v>
      </c>
    </row>
    <row r="3130" spans="3:4">
      <c r="C3130" s="45"/>
      <c r="D3130" t="str">
        <f t="shared" si="57"/>
        <v>_</v>
      </c>
    </row>
    <row r="3131" spans="3:4">
      <c r="C3131" s="45"/>
      <c r="D3131" t="str">
        <f t="shared" si="57"/>
        <v>_</v>
      </c>
    </row>
    <row r="3132" spans="3:4">
      <c r="C3132" s="45"/>
      <c r="D3132" t="str">
        <f t="shared" si="57"/>
        <v>_</v>
      </c>
    </row>
    <row r="3133" spans="3:4">
      <c r="C3133" s="45"/>
      <c r="D3133" t="str">
        <f t="shared" si="57"/>
        <v>_</v>
      </c>
    </row>
    <row r="3134" spans="3:4">
      <c r="C3134" s="45"/>
      <c r="D3134" t="str">
        <f t="shared" si="57"/>
        <v>_</v>
      </c>
    </row>
    <row r="3135" spans="3:4">
      <c r="C3135" s="45"/>
      <c r="D3135" t="str">
        <f t="shared" si="57"/>
        <v>_</v>
      </c>
    </row>
    <row r="3136" spans="3:4">
      <c r="C3136" s="45"/>
      <c r="D3136" t="str">
        <f t="shared" si="57"/>
        <v>_</v>
      </c>
    </row>
    <row r="3137" spans="3:4">
      <c r="C3137" s="45"/>
      <c r="D3137" t="str">
        <f t="shared" si="57"/>
        <v>_</v>
      </c>
    </row>
    <row r="3138" spans="3:4">
      <c r="C3138" s="45"/>
      <c r="D3138" t="str">
        <f t="shared" si="57"/>
        <v>_</v>
      </c>
    </row>
    <row r="3139" spans="3:4">
      <c r="C3139" s="45"/>
      <c r="D3139" t="str">
        <f t="shared" si="57"/>
        <v>_</v>
      </c>
    </row>
    <row r="3140" spans="3:4">
      <c r="C3140" s="45"/>
      <c r="D3140" t="str">
        <f t="shared" si="57"/>
        <v>_</v>
      </c>
    </row>
    <row r="3141" spans="3:4">
      <c r="C3141" s="45"/>
      <c r="D3141" t="str">
        <f t="shared" si="57"/>
        <v>_</v>
      </c>
    </row>
    <row r="3142" spans="3:4">
      <c r="C3142" s="45"/>
      <c r="D3142" t="str">
        <f t="shared" si="57"/>
        <v>_</v>
      </c>
    </row>
    <row r="3143" spans="3:4">
      <c r="C3143" s="45"/>
      <c r="D3143" t="str">
        <f t="shared" si="57"/>
        <v>_</v>
      </c>
    </row>
    <row r="3144" spans="3:4">
      <c r="C3144" s="45"/>
      <c r="D3144" t="str">
        <f t="shared" si="57"/>
        <v>_</v>
      </c>
    </row>
    <row r="3145" spans="3:4">
      <c r="C3145" s="45"/>
      <c r="D3145" t="str">
        <f t="shared" si="57"/>
        <v>_</v>
      </c>
    </row>
    <row r="3146" spans="3:4">
      <c r="C3146" s="45"/>
      <c r="D3146" t="str">
        <f t="shared" si="57"/>
        <v>_</v>
      </c>
    </row>
    <row r="3147" spans="3:4">
      <c r="C3147" s="45"/>
      <c r="D3147" t="str">
        <f t="shared" si="57"/>
        <v>_</v>
      </c>
    </row>
    <row r="3148" spans="3:4">
      <c r="C3148" s="45"/>
      <c r="D3148" t="str">
        <f t="shared" si="57"/>
        <v>_</v>
      </c>
    </row>
    <row r="3149" spans="3:4">
      <c r="C3149" s="45"/>
      <c r="D3149" t="str">
        <f t="shared" si="57"/>
        <v>_</v>
      </c>
    </row>
    <row r="3150" spans="3:4">
      <c r="C3150" s="45"/>
      <c r="D3150" t="str">
        <f t="shared" si="57"/>
        <v>_</v>
      </c>
    </row>
    <row r="3151" spans="3:4">
      <c r="C3151" s="45"/>
      <c r="D3151" t="str">
        <f t="shared" si="57"/>
        <v>_</v>
      </c>
    </row>
    <row r="3152" spans="3:4">
      <c r="C3152" s="45"/>
      <c r="D3152" t="str">
        <f t="shared" si="57"/>
        <v>_</v>
      </c>
    </row>
    <row r="3153" spans="3:4">
      <c r="C3153" s="45"/>
      <c r="D3153" t="str">
        <f t="shared" si="57"/>
        <v>_</v>
      </c>
    </row>
    <row r="3154" spans="3:4">
      <c r="C3154" s="45"/>
      <c r="D3154" t="str">
        <f t="shared" si="57"/>
        <v>_</v>
      </c>
    </row>
    <row r="3155" spans="3:4">
      <c r="C3155" s="45"/>
      <c r="D3155" t="str">
        <f t="shared" si="57"/>
        <v>_</v>
      </c>
    </row>
    <row r="3156" spans="3:4">
      <c r="C3156" s="45"/>
      <c r="D3156" t="str">
        <f t="shared" si="57"/>
        <v>_</v>
      </c>
    </row>
    <row r="3157" spans="3:4">
      <c r="C3157" s="45"/>
      <c r="D3157" t="str">
        <f t="shared" si="57"/>
        <v>_</v>
      </c>
    </row>
    <row r="3158" spans="3:4">
      <c r="C3158" s="45"/>
      <c r="D3158" t="str">
        <f t="shared" si="57"/>
        <v>_</v>
      </c>
    </row>
    <row r="3159" spans="3:4">
      <c r="C3159" s="45"/>
      <c r="D3159" t="str">
        <f t="shared" si="57"/>
        <v>_</v>
      </c>
    </row>
    <row r="3160" spans="3:4">
      <c r="C3160" s="45"/>
      <c r="D3160" t="str">
        <f t="shared" si="57"/>
        <v>_</v>
      </c>
    </row>
    <row r="3161" spans="3:4">
      <c r="C3161" s="45"/>
      <c r="D3161" t="str">
        <f t="shared" si="57"/>
        <v>_</v>
      </c>
    </row>
    <row r="3162" spans="3:4">
      <c r="C3162" s="45"/>
      <c r="D3162" t="str">
        <f t="shared" si="57"/>
        <v>_</v>
      </c>
    </row>
    <row r="3163" spans="3:4">
      <c r="C3163" s="45"/>
      <c r="D3163" t="str">
        <f t="shared" si="57"/>
        <v>_</v>
      </c>
    </row>
    <row r="3164" spans="3:4">
      <c r="C3164" s="45"/>
      <c r="D3164" t="str">
        <f t="shared" si="57"/>
        <v>_</v>
      </c>
    </row>
    <row r="3165" spans="3:4">
      <c r="C3165" s="45"/>
      <c r="D3165" t="str">
        <f t="shared" si="57"/>
        <v>_</v>
      </c>
    </row>
    <row r="3166" spans="3:4">
      <c r="C3166" s="45"/>
      <c r="D3166" t="str">
        <f t="shared" si="57"/>
        <v>_</v>
      </c>
    </row>
    <row r="3167" spans="3:4">
      <c r="C3167" s="45"/>
      <c r="D3167" t="str">
        <f t="shared" si="57"/>
        <v>_</v>
      </c>
    </row>
    <row r="3168" spans="3:4">
      <c r="C3168" s="45"/>
      <c r="D3168" t="str">
        <f t="shared" si="57"/>
        <v>_</v>
      </c>
    </row>
    <row r="3169" spans="3:4">
      <c r="C3169" s="45"/>
      <c r="D3169" t="str">
        <f t="shared" si="57"/>
        <v>_</v>
      </c>
    </row>
    <row r="3170" spans="3:4">
      <c r="C3170" s="45"/>
      <c r="D3170" t="str">
        <f t="shared" si="57"/>
        <v>_</v>
      </c>
    </row>
    <row r="3171" spans="3:4">
      <c r="C3171" s="45"/>
      <c r="D3171" t="str">
        <f t="shared" si="57"/>
        <v>_</v>
      </c>
    </row>
    <row r="3172" spans="3:4">
      <c r="C3172" s="45"/>
      <c r="D3172" t="str">
        <f t="shared" si="57"/>
        <v>_</v>
      </c>
    </row>
    <row r="3173" spans="3:4">
      <c r="C3173" s="45"/>
      <c r="D3173" t="str">
        <f t="shared" si="57"/>
        <v>_</v>
      </c>
    </row>
    <row r="3174" spans="3:4">
      <c r="C3174" s="45"/>
      <c r="D3174" t="str">
        <f t="shared" si="57"/>
        <v>_</v>
      </c>
    </row>
    <row r="3175" spans="3:4">
      <c r="C3175" s="45"/>
      <c r="D3175" t="str">
        <f t="shared" si="57"/>
        <v>_</v>
      </c>
    </row>
    <row r="3176" spans="3:4">
      <c r="C3176" s="45"/>
      <c r="D3176" t="str">
        <f t="shared" si="57"/>
        <v>_</v>
      </c>
    </row>
    <row r="3177" spans="3:4">
      <c r="C3177" s="45"/>
      <c r="D3177" t="str">
        <f t="shared" si="57"/>
        <v>_</v>
      </c>
    </row>
    <row r="3178" spans="3:4">
      <c r="C3178" s="45"/>
      <c r="D3178" t="str">
        <f t="shared" si="57"/>
        <v>_</v>
      </c>
    </row>
    <row r="3179" spans="3:4">
      <c r="C3179" s="45"/>
      <c r="D3179" t="str">
        <f t="shared" si="57"/>
        <v>_</v>
      </c>
    </row>
    <row r="3180" spans="3:4">
      <c r="C3180" s="45"/>
      <c r="D3180" t="str">
        <f t="shared" si="57"/>
        <v>_</v>
      </c>
    </row>
    <row r="3181" spans="3:4">
      <c r="C3181" s="45"/>
      <c r="D3181" t="str">
        <f t="shared" si="57"/>
        <v>_</v>
      </c>
    </row>
    <row r="3182" spans="3:4">
      <c r="C3182" s="45"/>
      <c r="D3182" t="str">
        <f t="shared" ref="D3182:D3185" si="58">_xlfn.CONCAT(A3182,"_",B3182)</f>
        <v>_</v>
      </c>
    </row>
    <row r="3183" spans="3:4">
      <c r="C3183" s="45"/>
      <c r="D3183" t="str">
        <f t="shared" si="58"/>
        <v>_</v>
      </c>
    </row>
    <row r="3184" spans="3:4">
      <c r="C3184" s="45"/>
      <c r="D3184" t="str">
        <f t="shared" si="58"/>
        <v>_</v>
      </c>
    </row>
    <row r="3185" spans="3:4">
      <c r="C3185" s="45"/>
      <c r="D3185" t="str">
        <f t="shared" si="58"/>
        <v>_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59FF5-045D-4029-A9B0-071490E3B29C}">
  <dimension ref="A1:E31"/>
  <sheetViews>
    <sheetView workbookViewId="0">
      <selection activeCell="D10" sqref="D10"/>
    </sheetView>
  </sheetViews>
  <sheetFormatPr defaultRowHeight="16.2"/>
  <cols>
    <col min="3" max="3" width="11.6640625" customWidth="1"/>
    <col min="4" max="4" width="14.44140625" customWidth="1"/>
    <col min="5" max="5" width="11.77734375" style="79" customWidth="1"/>
  </cols>
  <sheetData>
    <row r="1" spans="1:5">
      <c r="A1" s="74" t="s">
        <v>289</v>
      </c>
      <c r="B1" s="74" t="s">
        <v>290</v>
      </c>
      <c r="C1" s="74" t="s">
        <v>291</v>
      </c>
      <c r="D1" s="74" t="s">
        <v>80</v>
      </c>
      <c r="E1" s="75" t="s">
        <v>292</v>
      </c>
    </row>
    <row r="2" spans="1:5">
      <c r="A2" s="76">
        <v>1</v>
      </c>
      <c r="B2" s="76">
        <v>8</v>
      </c>
      <c r="C2" s="76">
        <v>7</v>
      </c>
      <c r="D2" s="77">
        <v>45979</v>
      </c>
      <c r="E2" s="78" t="s">
        <v>293</v>
      </c>
    </row>
    <row r="3" spans="1:5">
      <c r="A3" s="76">
        <v>2</v>
      </c>
      <c r="B3" s="76">
        <v>6</v>
      </c>
      <c r="C3" s="76">
        <v>22</v>
      </c>
      <c r="D3" s="77">
        <v>45979</v>
      </c>
      <c r="E3" s="78" t="s">
        <v>293</v>
      </c>
    </row>
    <row r="4" spans="1:5">
      <c r="A4" s="76">
        <v>3</v>
      </c>
      <c r="B4" s="76">
        <v>4</v>
      </c>
      <c r="C4" s="76">
        <v>17</v>
      </c>
      <c r="D4" s="77">
        <v>45979</v>
      </c>
      <c r="E4" s="78" t="s">
        <v>293</v>
      </c>
    </row>
    <row r="5" spans="1:5">
      <c r="A5" s="76">
        <v>4</v>
      </c>
      <c r="B5" s="76">
        <v>2.5</v>
      </c>
      <c r="C5" s="76">
        <v>1</v>
      </c>
      <c r="D5" s="77">
        <v>45979</v>
      </c>
      <c r="E5" s="78" t="s">
        <v>293</v>
      </c>
    </row>
    <row r="6" spans="1:5">
      <c r="A6" s="76">
        <v>5</v>
      </c>
      <c r="B6" s="76">
        <v>6</v>
      </c>
      <c r="C6" s="76">
        <v>11</v>
      </c>
      <c r="D6" s="77">
        <v>46013</v>
      </c>
      <c r="E6" s="78" t="s">
        <v>297</v>
      </c>
    </row>
    <row r="7" spans="1:5">
      <c r="A7" s="76">
        <v>6</v>
      </c>
      <c r="B7" s="76">
        <v>4</v>
      </c>
      <c r="C7" s="76">
        <v>30</v>
      </c>
      <c r="D7" s="77">
        <v>46013</v>
      </c>
      <c r="E7" s="78" t="s">
        <v>297</v>
      </c>
    </row>
    <row r="8" spans="1:5">
      <c r="A8" s="76">
        <v>7</v>
      </c>
      <c r="B8" s="76">
        <v>3</v>
      </c>
      <c r="C8" s="76">
        <v>2</v>
      </c>
      <c r="D8" s="77">
        <v>46013</v>
      </c>
      <c r="E8" s="78" t="s">
        <v>297</v>
      </c>
    </row>
    <row r="9" spans="1:5">
      <c r="A9" s="76">
        <v>8</v>
      </c>
      <c r="B9" s="76">
        <v>2.5</v>
      </c>
      <c r="C9" s="76">
        <v>1</v>
      </c>
      <c r="D9" s="77">
        <v>46013</v>
      </c>
      <c r="E9" s="78" t="s">
        <v>297</v>
      </c>
    </row>
    <row r="10" spans="1:5">
      <c r="A10" s="76">
        <v>9</v>
      </c>
      <c r="B10" s="76">
        <v>2</v>
      </c>
      <c r="C10" s="76">
        <v>1</v>
      </c>
      <c r="D10" s="77">
        <v>46013</v>
      </c>
      <c r="E10" s="78" t="s">
        <v>297</v>
      </c>
    </row>
    <row r="11" spans="1:5">
      <c r="A11" s="76"/>
      <c r="B11" s="76"/>
      <c r="C11" s="76"/>
      <c r="D11" s="76"/>
      <c r="E11" s="78"/>
    </row>
    <row r="12" spans="1:5">
      <c r="A12" s="76"/>
      <c r="B12" s="76"/>
      <c r="C12" s="76"/>
      <c r="D12" s="76"/>
      <c r="E12" s="78"/>
    </row>
    <row r="13" spans="1:5">
      <c r="A13" s="76"/>
      <c r="B13" s="76"/>
      <c r="C13" s="76"/>
      <c r="D13" s="76"/>
      <c r="E13" s="78"/>
    </row>
    <row r="14" spans="1:5">
      <c r="A14" s="76"/>
      <c r="B14" s="76"/>
      <c r="C14" s="76"/>
      <c r="D14" s="76"/>
      <c r="E14" s="78"/>
    </row>
    <row r="15" spans="1:5">
      <c r="A15" s="76"/>
      <c r="B15" s="76"/>
      <c r="C15" s="76"/>
      <c r="D15" s="76"/>
      <c r="E15" s="78"/>
    </row>
    <row r="16" spans="1:5">
      <c r="A16" s="76"/>
      <c r="B16" s="76"/>
      <c r="C16" s="76"/>
      <c r="D16" s="76"/>
      <c r="E16" s="78"/>
    </row>
    <row r="17" spans="1:5">
      <c r="A17" s="76"/>
      <c r="B17" s="76"/>
      <c r="C17" s="76"/>
      <c r="D17" s="76"/>
      <c r="E17" s="78"/>
    </row>
    <row r="18" spans="1:5">
      <c r="A18" s="76"/>
      <c r="B18" s="76"/>
      <c r="C18" s="76"/>
      <c r="D18" s="76"/>
      <c r="E18" s="78"/>
    </row>
    <row r="19" spans="1:5">
      <c r="A19" s="76"/>
      <c r="B19" s="76"/>
      <c r="C19" s="76"/>
      <c r="D19" s="76"/>
      <c r="E19" s="78"/>
    </row>
    <row r="20" spans="1:5">
      <c r="A20" s="76"/>
      <c r="B20" s="76"/>
      <c r="C20" s="76"/>
      <c r="D20" s="76"/>
      <c r="E20" s="78"/>
    </row>
    <row r="21" spans="1:5">
      <c r="A21" s="76"/>
      <c r="B21" s="76"/>
      <c r="C21" s="76"/>
      <c r="D21" s="76"/>
      <c r="E21" s="78"/>
    </row>
    <row r="22" spans="1:5">
      <c r="A22" s="76"/>
      <c r="B22" s="76"/>
      <c r="C22" s="76"/>
      <c r="D22" s="76"/>
      <c r="E22" s="78"/>
    </row>
    <row r="23" spans="1:5">
      <c r="A23" s="76"/>
      <c r="B23" s="76"/>
      <c r="C23" s="76"/>
      <c r="D23" s="76"/>
      <c r="E23" s="78"/>
    </row>
    <row r="24" spans="1:5">
      <c r="A24" s="76"/>
      <c r="B24" s="76"/>
      <c r="C24" s="76"/>
      <c r="D24" s="76"/>
      <c r="E24" s="78"/>
    </row>
    <row r="25" spans="1:5">
      <c r="A25" s="76"/>
      <c r="B25" s="76"/>
      <c r="C25" s="76"/>
      <c r="D25" s="76"/>
      <c r="E25" s="78"/>
    </row>
    <row r="26" spans="1:5">
      <c r="A26" s="76"/>
      <c r="B26" s="76"/>
      <c r="C26" s="76"/>
      <c r="D26" s="76"/>
      <c r="E26" s="78"/>
    </row>
    <row r="27" spans="1:5">
      <c r="A27" s="76"/>
      <c r="B27" s="76"/>
      <c r="C27" s="76"/>
      <c r="D27" s="76"/>
      <c r="E27" s="78"/>
    </row>
    <row r="28" spans="1:5">
      <c r="A28" s="76"/>
      <c r="B28" s="76"/>
      <c r="C28" s="76"/>
      <c r="D28" s="76"/>
      <c r="E28" s="78"/>
    </row>
    <row r="29" spans="1:5">
      <c r="A29" s="76"/>
      <c r="B29" s="76"/>
      <c r="C29" s="76"/>
      <c r="D29" s="76"/>
      <c r="E29" s="78"/>
    </row>
    <row r="30" spans="1:5">
      <c r="A30" s="76"/>
      <c r="B30" s="76"/>
      <c r="C30" s="76"/>
      <c r="D30" s="76"/>
      <c r="E30" s="78"/>
    </row>
    <row r="31" spans="1:5">
      <c r="A31" s="76"/>
      <c r="B31" s="76"/>
      <c r="C31" s="76"/>
      <c r="D31" s="76"/>
      <c r="E31" s="78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369A-FF9E-4B01-A2B0-4612EE09905E}">
  <dimension ref="A1:B8"/>
  <sheetViews>
    <sheetView workbookViewId="0">
      <selection activeCell="A4" sqref="A4:B8"/>
    </sheetView>
  </sheetViews>
  <sheetFormatPr defaultRowHeight="16.2"/>
  <cols>
    <col min="1" max="1" width="16.5546875" bestFit="1" customWidth="1"/>
    <col min="2" max="2" width="14.109375" bestFit="1" customWidth="1"/>
    <col min="3" max="3" width="13.33203125" bestFit="1" customWidth="1"/>
  </cols>
  <sheetData>
    <row r="1" spans="1:2">
      <c r="A1" s="80" t="s">
        <v>273</v>
      </c>
      <c r="B1" t="s">
        <v>296</v>
      </c>
    </row>
    <row r="3" spans="1:2">
      <c r="A3" s="80" t="s">
        <v>2</v>
      </c>
      <c r="B3" t="s">
        <v>295</v>
      </c>
    </row>
    <row r="4" spans="1:2">
      <c r="A4">
        <v>6</v>
      </c>
      <c r="B4">
        <v>11</v>
      </c>
    </row>
    <row r="5" spans="1:2">
      <c r="A5">
        <v>4</v>
      </c>
      <c r="B5">
        <v>30</v>
      </c>
    </row>
    <row r="6" spans="1:2">
      <c r="A6">
        <v>3</v>
      </c>
      <c r="B6">
        <v>2</v>
      </c>
    </row>
    <row r="7" spans="1:2">
      <c r="A7">
        <v>2.5</v>
      </c>
      <c r="B7">
        <v>1</v>
      </c>
    </row>
    <row r="8" spans="1:2">
      <c r="A8">
        <v>2</v>
      </c>
      <c r="B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銲接型式</vt:lpstr>
      <vt:lpstr>DRAWING LIST</vt:lpstr>
      <vt:lpstr>分析</vt:lpstr>
      <vt:lpstr>分析-114.05.21預製完成</vt:lpstr>
      <vt:lpstr>焊口編號明細</vt:lpstr>
      <vt:lpstr>RTPT清單</vt:lpstr>
      <vt:lpstr>缺焊口清單</vt:lpstr>
      <vt:lpstr>接頭需求</vt:lpstr>
      <vt:lpstr>焊口登報表</vt:lpstr>
      <vt:lpstr>現場PE包覆數量</vt:lpstr>
      <vt:lpstr>PE包覆分析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taco</cp:lastModifiedBy>
  <cp:lastPrinted>2025-08-26T05:38:23Z</cp:lastPrinted>
  <dcterms:created xsi:type="dcterms:W3CDTF">2019-09-27T06:17:59Z</dcterms:created>
  <dcterms:modified xsi:type="dcterms:W3CDTF">2025-12-25T12:01:11Z</dcterms:modified>
</cp:coreProperties>
</file>